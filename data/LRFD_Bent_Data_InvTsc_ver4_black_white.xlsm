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drinc-my.sharepoint.com/personal/cmiller_hdrinc_com/Documents/Documents/I-35 Upper Deck Retrofits/Future Project Update/"/>
    </mc:Choice>
  </mc:AlternateContent>
  <xr:revisionPtr revIDLastSave="2" documentId="13_ncr:1_{FB352EBB-312F-4F53-B8CB-F0A8498D2927}" xr6:coauthVersionLast="47" xr6:coauthVersionMax="47" xr10:uidLastSave="{D141AA84-E38C-4DD0-9B30-90699204D8E0}"/>
  <bookViews>
    <workbookView xWindow="-120" yWindow="-120" windowWidth="38640" windowHeight="21240" activeTab="1" xr2:uid="{DE9CDEE2-9522-433D-95A4-1D0113C8AA48}"/>
  </bookViews>
  <sheets>
    <sheet name="Bent Data" sheetId="8" r:id="rId1"/>
    <sheet name="Bent Search" sheetId="6" r:id="rId2"/>
    <sheet name="Reference" sheetId="5" r:id="rId3"/>
    <sheet name="Girder Geometries" sheetId="10" r:id="rId4"/>
    <sheet name="Macro Line Generator" sheetId="15" state="hidden" r:id="rId5"/>
    <sheet name="FromBentSearch" sheetId="16" state="hidden" r:id="rId6"/>
    <sheet name="FromBentDesignSpreadsheet" sheetId="17" state="hidden" r:id="rId7"/>
    <sheet name="FromInvTDesignSpreadsheet" sheetId="18" state="hidden" r:id="rId8"/>
    <sheet name="ToBentDesignSpreadsheet" sheetId="19" state="hidden" r:id="rId9"/>
    <sheet name="ToInvTDesignSpreadsheet" sheetId="20" state="hidden" r:id="rId10"/>
    <sheet name="Macro Line Generator for output" sheetId="14" state="hidden" r:id="rId11"/>
  </sheets>
  <externalReferences>
    <externalReference r:id="rId12"/>
  </externalReferences>
  <definedNames>
    <definedName name="_xlpm.av" hidden="1" xlm="1">#NAME?</definedName>
    <definedName name="_xlpm.de" hidden="1" xlm="1">#NAME?</definedName>
    <definedName name="_xlpm.edge_offset" hidden="1" xlm="1">#NAME?</definedName>
    <definedName name="_xlpm.h" hidden="1" xlm="1">#NAME?</definedName>
    <definedName name="_xlpm.list" hidden="1" xlm="1">#NAME?</definedName>
    <definedName name="_xlpm.num_gir" hidden="1" xlm="1">#NAME?</definedName>
    <definedName name="_xlpm.num_x" hidden="1" xlm="1">#NAME?</definedName>
    <definedName name="_xlpm.ratio" hidden="1" xlm="1">#NAME?</definedName>
    <definedName name="_xlpm.results" hidden="1" xlm="1">#NAME?</definedName>
    <definedName name="_xlpm.spa" hidden="1" xlm="1">#NAME?</definedName>
    <definedName name="_xlpm.vp" hidden="1" xlm="1">#NAME?</definedName>
    <definedName name="addl_DC_M">'Bent Search'!$G$229</definedName>
    <definedName name="addl_DC_Mx">'Bent Search'!$G$230</definedName>
    <definedName name="addl_DC_P">'Bent Search'!$G$228</definedName>
    <definedName name="addl_LL_Mx">'Bent Search'!$G$239</definedName>
    <definedName name="addl_Ll_My">'Bent Search'!$G$238</definedName>
    <definedName name="addl_LL_P">'Bent Search'!$G$237</definedName>
    <definedName name="AestheticCol">'Bent Search'!$G$79</definedName>
    <definedName name="Arow1">'Bent Search'!$G$66</definedName>
    <definedName name="Arow2">'Bent Search'!$G$67</definedName>
    <definedName name="Arow3">'Bent Search'!$G$68</definedName>
    <definedName name="BackBentSkew">'Bent Search'!$G$53</definedName>
    <definedName name="BarS">'Bent Search'!$G$76</definedName>
    <definedName name="BarsA">'Bent Search'!$G$64</definedName>
    <definedName name="BarsAdist">'Bent Search'!$G$65</definedName>
    <definedName name="BarSArrange">'Bent Search'!$G$75</definedName>
    <definedName name="BarsB">'Bent Search'!$G$69</definedName>
    <definedName name="BarsBdist">'Bent Search'!$G$70</definedName>
    <definedName name="BarsH">'Bent Search'!$G$77</definedName>
    <definedName name="BarSinsideLegs">'Bent Search'!$G$246</definedName>
    <definedName name="BarsM">'Bent Search'!$G$248</definedName>
    <definedName name="BarsMspacing">'Bent Search'!$G$249</definedName>
    <definedName name="BarsN">'Bent Search'!$G$250</definedName>
    <definedName name="BarsNspacing">'Bent Search'!$G$251</definedName>
    <definedName name="BarSspacing">'Bent Search'!$G$247</definedName>
    <definedName name="BarsTledgeNo">'Bent Search'!$G$254</definedName>
    <definedName name="BarsTstem">'Bent Search'!$G$252</definedName>
    <definedName name="BarsTstemNo">'Bent Search'!$G$253</definedName>
    <definedName name="BarsTtopLedgeNo">'Bent Search'!$G$255</definedName>
    <definedName name="BarTable">Reference!$M$6:$P$14</definedName>
    <definedName name="BBSPA1">'Bent Search'!$G$99</definedName>
    <definedName name="BBSPA10">'Bent Search'!$G$108</definedName>
    <definedName name="BBSPA11">'Bent Search'!$G$109</definedName>
    <definedName name="BBSPA12">'Bent Search'!$G$110</definedName>
    <definedName name="BBSPA13">'Bent Search'!$G$111</definedName>
    <definedName name="BBSPA14">'Bent Search'!$G$112</definedName>
    <definedName name="BBSPA15">'Bent Search'!$G$113</definedName>
    <definedName name="BBSPA16">'Bent Search'!$G$114</definedName>
    <definedName name="BBSPA17">'Bent Search'!$G$115</definedName>
    <definedName name="BBSPA18">'Bent Search'!$G$116</definedName>
    <definedName name="BBSPA19">'Bent Search'!$G$117</definedName>
    <definedName name="BBSPA2">'Bent Search'!$G$100</definedName>
    <definedName name="BBSPA20">'Bent Search'!$G$118</definedName>
    <definedName name="BBSPA3">'Bent Search'!$G$101</definedName>
    <definedName name="BBSPA4">'Bent Search'!$G$102</definedName>
    <definedName name="BBSPA5">'Bent Search'!$G$103</definedName>
    <definedName name="BBSPA6">'Bent Search'!$G$104</definedName>
    <definedName name="BBSPA7">'Bent Search'!$G$105</definedName>
    <definedName name="BBSPA8">'Bent Search'!$G$106</definedName>
    <definedName name="BBSPA9">'Bent Search'!$G$107</definedName>
    <definedName name="BeamType">Reference!$B$6:$B$45</definedName>
    <definedName name="BearingDist">'Bent Search'!$G$58</definedName>
    <definedName name="BentSkew">'Bent Search'!$G$49</definedName>
    <definedName name="BkBm1toCapEnd">'Bent Search'!$G$51</definedName>
    <definedName name="BkBms">'Bent Search'!$G$98</definedName>
    <definedName name="bkbrgpad">'Bent Search'!$G$14</definedName>
    <definedName name="bkspangirder">'Bent Search'!$G$12</definedName>
    <definedName name="bkspanhaunch">'Bent Search'!$G$13</definedName>
    <definedName name="bkspanpgl">'Bent Search'!$G$27</definedName>
    <definedName name="Bm1toCapEnd">'Bent Search'!$G$52</definedName>
    <definedName name="BR_Neglect">'Bent Search'!$G$240</definedName>
    <definedName name="Breakbacks">'Bent Search'!$G$143</definedName>
    <definedName name="Brg_Length">'Bent Search'!$G$245</definedName>
    <definedName name="Brg_Width">'Bent Search'!$G$244</definedName>
    <definedName name="Brow1">'Bent Search'!$G$71</definedName>
    <definedName name="Brow2">'Bent Search'!$G$72</definedName>
    <definedName name="Brow3">'Bent Search'!$G$73</definedName>
    <definedName name="CAP18NegMomLocation">'Bent Search'!$G$232</definedName>
    <definedName name="capdensity">'Bent Search'!$G$45</definedName>
    <definedName name="capheight">'Bent Search'!$G$59</definedName>
    <definedName name="CapitalWeight">'Bent Search'!$G$85</definedName>
    <definedName name="CapitalWidth">'Bent Search'!$G$84</definedName>
    <definedName name="CapLedgeDepth">'Bent Search'!$G$56</definedName>
    <definedName name="caplength">'Bent Search'!$G$50</definedName>
    <definedName name="capstemWidth">'Bent Search'!$G$60</definedName>
    <definedName name="CapType">'Bent Search'!$G$44</definedName>
    <definedName name="Cmplx_Bk_CCBm1">'Bent Search'!$G$166</definedName>
    <definedName name="Cmplx_Bk_CCBm10">'Bent Search'!$G$175</definedName>
    <definedName name="Cmplx_Bk_CCBm11">'Bent Search'!$G$176</definedName>
    <definedName name="Cmplx_Bk_CCBm12">'Bent Search'!$G$177</definedName>
    <definedName name="Cmplx_Bk_CCBm13">'Bent Search'!$G$178</definedName>
    <definedName name="Cmplx_Bk_CCBm14">'Bent Search'!$G$179</definedName>
    <definedName name="Cmplx_Bk_CCBm15">'Bent Search'!$G$180</definedName>
    <definedName name="Cmplx_Bk_CCBm16">'Bent Search'!$G$181</definedName>
    <definedName name="Cmplx_Bk_CCBm17">'Bent Search'!$G$182</definedName>
    <definedName name="Cmplx_Bk_CCBm18">'Bent Search'!$G$183</definedName>
    <definedName name="Cmplx_Bk_CCBm19">'Bent Search'!$G$184</definedName>
    <definedName name="Cmplx_Bk_CCBm2">'Bent Search'!$G$167</definedName>
    <definedName name="Cmplx_Bk_CCBm20">'Bent Search'!$G$185</definedName>
    <definedName name="Cmplx_Bk_CCBm3">'Bent Search'!$G$168</definedName>
    <definedName name="Cmplx_Bk_CCBm4">'Bent Search'!$G$169</definedName>
    <definedName name="Cmplx_Bk_CCBm5">'Bent Search'!$G$170</definedName>
    <definedName name="Cmplx_Bk_CCBm6">'Bent Search'!$G$171</definedName>
    <definedName name="Cmplx_Bk_CCBm7">'Bent Search'!$G$172</definedName>
    <definedName name="Cmplx_Bk_CCBm8">'Bent Search'!$G$173</definedName>
    <definedName name="Cmplx_Bk_CCBm9">'Bent Search'!$G$174</definedName>
    <definedName name="Cmplx_Bk_PGLBm1">'Bent Search'!$G$146</definedName>
    <definedName name="Cmplx_Bk_PGLBm10">'Bent Search'!$G$155</definedName>
    <definedName name="Cmplx_Bk_PGLBm11">'Bent Search'!$G$156</definedName>
    <definedName name="Cmplx_Bk_PGLBm12">'Bent Search'!$G$157</definedName>
    <definedName name="Cmplx_Bk_PGLBm13">'Bent Search'!$G$158</definedName>
    <definedName name="Cmplx_Bk_PGLBm14">'Bent Search'!$G$159</definedName>
    <definedName name="Cmplx_Bk_PGLBm15">'Bent Search'!$G$160</definedName>
    <definedName name="Cmplx_Bk_PGLBm16">'Bent Search'!$G$161</definedName>
    <definedName name="Cmplx_Bk_PGLBm17">'Bent Search'!$G$162</definedName>
    <definedName name="Cmplx_Bk_PGLBm18">'Bent Search'!$G$163</definedName>
    <definedName name="Cmplx_Bk_PGLBm19">'Bent Search'!$G$164</definedName>
    <definedName name="Cmplx_Bk_PGLBm2">'Bent Search'!$G$147</definedName>
    <definedName name="Cmplx_Bk_PGLBm20">'Bent Search'!$G$165</definedName>
    <definedName name="Cmplx_Bk_PGLBm3">'Bent Search'!$G$148</definedName>
    <definedName name="Cmplx_Bk_PGLBm4">'Bent Search'!$G$149</definedName>
    <definedName name="Cmplx_Bk_PGLBm5">'Bent Search'!$G$150</definedName>
    <definedName name="Cmplx_Bk_PGLBm6">'Bent Search'!$G$151</definedName>
    <definedName name="Cmplx_Bk_PGLBm7">'Bent Search'!$G$152</definedName>
    <definedName name="Cmplx_Bk_PGLBm8">'Bent Search'!$G$153</definedName>
    <definedName name="Cmplx_Bk_PGLBm9">'Bent Search'!$G$154</definedName>
    <definedName name="Cmplx_Bk_Width">'Bent Search'!$G$140</definedName>
    <definedName name="Cmplx_Fd_CCBm1">'Bent Search'!$G$206</definedName>
    <definedName name="Cmplx_Fd_CCBm10">'Bent Search'!$G$215</definedName>
    <definedName name="Cmplx_Fd_CCBm11">'Bent Search'!$G$216</definedName>
    <definedName name="Cmplx_Fd_CCBm12">'Bent Search'!$G$217</definedName>
    <definedName name="Cmplx_Fd_CCBm13">'Bent Search'!$G$218</definedName>
    <definedName name="Cmplx_Fd_CCBm14">'Bent Search'!$G$219</definedName>
    <definedName name="Cmplx_Fd_CCBm15">'Bent Search'!$G$220</definedName>
    <definedName name="Cmplx_Fd_CCBm16">'Bent Search'!$G$221</definedName>
    <definedName name="Cmplx_Fd_CCBm17">'Bent Search'!$G$222</definedName>
    <definedName name="Cmplx_Fd_CCBm18">'Bent Search'!$G$223</definedName>
    <definedName name="Cmplx_Fd_CCBm19">'Bent Search'!$G$224</definedName>
    <definedName name="Cmplx_Fd_CCBm2">'Bent Search'!$G$207</definedName>
    <definedName name="Cmplx_Fd_CCBm20">'Bent Search'!$G$225</definedName>
    <definedName name="Cmplx_Fd_CCBm3">'Bent Search'!$G$208</definedName>
    <definedName name="Cmplx_Fd_CCBm4">'Bent Search'!$G$209</definedName>
    <definedName name="Cmplx_Fd_CCBm5">'Bent Search'!$G$210</definedName>
    <definedName name="Cmplx_Fd_CCBm6">'Bent Search'!$G$211</definedName>
    <definedName name="Cmplx_Fd_CCBm7">'Bent Search'!$G$212</definedName>
    <definedName name="Cmplx_Fd_CCBm8">'Bent Search'!$G$213</definedName>
    <definedName name="Cmplx_Fd_CCBm9">'Bent Search'!$G$214</definedName>
    <definedName name="Cmplx_Fd_PGLBm1">'Bent Search'!$G$186</definedName>
    <definedName name="Cmplx_Fd_PGLBm10">'Bent Search'!$G$195</definedName>
    <definedName name="Cmplx_Fd_PGLBm11">'Bent Search'!$G$196</definedName>
    <definedName name="Cmplx_Fd_PGLBm12">'Bent Search'!$G$197</definedName>
    <definedName name="Cmplx_Fd_PGLBm13">'Bent Search'!$G$198</definedName>
    <definedName name="Cmplx_Fd_PGLBm14">'Bent Search'!$G$199</definedName>
    <definedName name="Cmplx_Fd_PGLBm15">'Bent Search'!$G$200</definedName>
    <definedName name="Cmplx_Fd_PGLBm16">'Bent Search'!$G$201</definedName>
    <definedName name="Cmplx_Fd_PGLBm17">'Bent Search'!$G$202</definedName>
    <definedName name="Cmplx_Fd_PGLBm18">'Bent Search'!$G$203</definedName>
    <definedName name="Cmplx_Fd_PGLBm19">'Bent Search'!$G$204</definedName>
    <definedName name="Cmplx_Fd_PGLBm2">'Bent Search'!$G$187</definedName>
    <definedName name="Cmplx_Fd_PGLBm20">'Bent Search'!$G$205</definedName>
    <definedName name="Cmplx_Fd_PGLBm3">'Bent Search'!$G$188</definedName>
    <definedName name="Cmplx_Fd_PGLBm4">'Bent Search'!$G$189</definedName>
    <definedName name="Cmplx_Fd_PGLBm5">'Bent Search'!$G$190</definedName>
    <definedName name="Cmplx_Fd_PGLBm6">'Bent Search'!$G$191</definedName>
    <definedName name="Cmplx_Fd_PGLBm7">'Bent Search'!$G$192</definedName>
    <definedName name="Cmplx_Fd_PGLBm8">'Bent Search'!$G$193</definedName>
    <definedName name="Cmplx_Fd_PGLBm9">'Bent Search'!$G$194</definedName>
    <definedName name="Cmplx_Fd_Width">'Bent Search'!$G$141</definedName>
    <definedName name="ColHeightI">'Bent Search'!$G$96</definedName>
    <definedName name="ColHeightII">'Bent Search'!$G$97</definedName>
    <definedName name="collongwidth">'Bent Search'!$G$83</definedName>
    <definedName name="ColSpa1">'Bent Search'!$G$86</definedName>
    <definedName name="ColSpa10">'Bent Search'!$G$95</definedName>
    <definedName name="ColSpa2">'Bent Search'!$G$87</definedName>
    <definedName name="ColSpa3">'Bent Search'!$G$88</definedName>
    <definedName name="ColSpa4">'Bent Search'!$G$89</definedName>
    <definedName name="ColSpa5">'Bent Search'!$G$90</definedName>
    <definedName name="ColSpa6">'Bent Search'!$G$91</definedName>
    <definedName name="ColSpa7">'Bent Search'!$G$92</definedName>
    <definedName name="ColSpa8">'Bent Search'!$G$93</definedName>
    <definedName name="ColSpa9">'Bent Search'!$G$94</definedName>
    <definedName name="coltranswidth">'Bent Search'!$G$82</definedName>
    <definedName name="ColType">'Bent Search'!$G$80</definedName>
    <definedName name="ComplexDistToSta">'Bent Search'!$G$145</definedName>
    <definedName name="ComplexGeom">'Bent Search'!$G$5</definedName>
    <definedName name="ComplexSkew">'Bent Search'!$G$144</definedName>
    <definedName name="crossslope">'Bent Search'!$G$7</definedName>
    <definedName name="DeckWidth">'Bent Search'!$G$6</definedName>
    <definedName name="DesignWindSpeed">'Bent Search'!$G$241</definedName>
    <definedName name="dsgnspeed">'Bent Search'!$G$26</definedName>
    <definedName name="Earwall_Area">'Bent Search'!$G$63</definedName>
    <definedName name="Earwall_Left">'Bent Search'!$G$61</definedName>
    <definedName name="Earwall_Right">'Bent Search'!$G$62</definedName>
    <definedName name="ElevationAdjust">'Bent Search'!$G$242</definedName>
    <definedName name="ExGirConsidered">'Bent Search'!$G$235</definedName>
    <definedName name="ExGirConsideredSC">'Bent Search'!$G$233</definedName>
    <definedName name="exposure">'Bent Search'!$G$48</definedName>
    <definedName name="FBSPA1">'Bent Search'!$G$120</definedName>
    <definedName name="FBSPA10">'Bent Search'!$G$129</definedName>
    <definedName name="FBSPA11">'Bent Search'!$G$130</definedName>
    <definedName name="FBSPA12">'Bent Search'!$G$131</definedName>
    <definedName name="FBSPA13">'Bent Search'!$G$132</definedName>
    <definedName name="FBSPA14">'Bent Search'!$G$133</definedName>
    <definedName name="FBSPA15">'Bent Search'!$G$134</definedName>
    <definedName name="FBSPA16">'Bent Search'!$G$135</definedName>
    <definedName name="FBSPA17">'Bent Search'!$G$136</definedName>
    <definedName name="FBSPA18">'Bent Search'!$G$137</definedName>
    <definedName name="FBSPA19">'Bent Search'!$G$138</definedName>
    <definedName name="FBSPA2">'Bent Search'!$G$121</definedName>
    <definedName name="FBSPA20">'Bent Search'!$G$139</definedName>
    <definedName name="FBSPA3">'Bent Search'!$G$122</definedName>
    <definedName name="FBSPA4">'Bent Search'!$G$123</definedName>
    <definedName name="FBSPA5">'Bent Search'!$G$124</definedName>
    <definedName name="FBSPA6">'Bent Search'!$G$125</definedName>
    <definedName name="FBSPA7">'Bent Search'!$G$126</definedName>
    <definedName name="FBSPA8">'Bent Search'!$G$127</definedName>
    <definedName name="FBSPA9">'Bent Search'!$G$128</definedName>
    <definedName name="fc">'Bent Search'!$G$46</definedName>
    <definedName name="FdBms">'Bent Search'!$G$119</definedName>
    <definedName name="fdbrgpad">'Bent Search'!$G$18</definedName>
    <definedName name="fdspangirder">'Bent Search'!$G$16</definedName>
    <definedName name="fdspanhaunch">'Bent Search'!$G$17</definedName>
    <definedName name="fdspanpgl">'Bent Search'!$G$28</definedName>
    <definedName name="FwdBentSkew">'Bent Search'!$G$54</definedName>
    <definedName name="FWSthickness">'Bent Search'!$G$9</definedName>
    <definedName name="FWSwt">'Bent Search'!$G$10</definedName>
    <definedName name="fy">'Bent Search'!$G$47</definedName>
    <definedName name="IncreaseClearCover">'Bent Search'!$G$74</definedName>
    <definedName name="InputIncrement">'Bent Search'!$G$231</definedName>
    <definedName name="INTBMLLDF">'Bent Search'!$G$234</definedName>
    <definedName name="INTBMLLDFMC">'Bent Search'!$G$236</definedName>
    <definedName name="InvT_P_Ext_srv">'Bent Search'!$G$256</definedName>
    <definedName name="InvTeeBotWidth">'Bent Search'!$G$57</definedName>
    <definedName name="InvTName">'Bent Search'!$F$2</definedName>
    <definedName name="IsPedestalContinuous">'Bent Search'!$G$226</definedName>
    <definedName name="IsSearchMode">'Bent Search'!$A$5</definedName>
    <definedName name="MiscCapWt">'Bent Search'!$G$227</definedName>
    <definedName name="ModuleIName">'Bent Search'!$F$1</definedName>
    <definedName name="NoHbars">'Bent Search'!$G$78</definedName>
    <definedName name="NoSupports">'Bent Search'!$G$81</definedName>
    <definedName name="offsettolevelingpad">'Bent Search'!$G$55</definedName>
    <definedName name="OSOH">'Bent Search'!$G$23</definedName>
    <definedName name="OSOHBack">'Bent Search'!$G$21</definedName>
    <definedName name="OSOHBackRT">'Bent Search'!$G$22</definedName>
    <definedName name="OSOHRT">'Bent Search'!$G$24</definedName>
    <definedName name="PedestalHt">'Bent Search'!$G$15</definedName>
    <definedName name="PGLdist">'Bent Search'!$G$20</definedName>
    <definedName name="PGLradius">'Bent Search'!$G$19</definedName>
    <definedName name="_xlnm.Print_Area" localSheetId="1">'Bent Search'!$M$3:$AH$153</definedName>
    <definedName name="_xlnm.Print_Titles" localSheetId="0">'Bent Data'!$3:$3</definedName>
    <definedName name="ProjectSubject">'Bent Search'!$G$4</definedName>
    <definedName name="rail3rd">'Bent Search'!$G$32</definedName>
    <definedName name="RailDistributeBackEnd">'Bent Search'!$G$34</definedName>
    <definedName name="RailDistributeBackStart">'Bent Search'!$G$33</definedName>
    <definedName name="RailDistributeFwdEnd">'Bent Search'!$G$36</definedName>
    <definedName name="RailDistributeFwdStart">'Bent Search'!$G$35</definedName>
    <definedName name="RailDistribution">'Bent Search'!$G$29</definedName>
    <definedName name="railLeft">'Bent Search'!$G$30</definedName>
    <definedName name="railRight">'Bent Search'!$G$31</definedName>
    <definedName name="RoughnessCategory">'Bent Search'!$G$243</definedName>
    <definedName name="sdwkdensity">'Bent Search'!$G$39</definedName>
    <definedName name="sdwkthickness">'Bent Search'!$G$38</definedName>
    <definedName name="sdwkwidth">'Bent Search'!$G$37</definedName>
    <definedName name="segmentlength">'Bent Search'!$G$142</definedName>
    <definedName name="slabthickness">'Bent Search'!$G$8</definedName>
    <definedName name="super?">'Bent Search'!$G$25</definedName>
    <definedName name="SWalkDistributeBackEnd">'Bent Search'!$G$41</definedName>
    <definedName name="SWalkDistributeBackStart">'Bent Search'!$G$40</definedName>
    <definedName name="SWalkDistributeFwdEnd">'Bent Search'!$G$43</definedName>
    <definedName name="SWalkDistributeFwdStart">'Bent Search'!$G$42</definedName>
    <definedName name="utilities">'Bent Search'!$G$11</definedName>
    <definedName name="what">[1]Geometry!$G$63</definedName>
    <definedName name="what2">[1]Geometry!$G$62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6" l="1" a="1"/>
  <c r="G5" i="6" s="1"/>
  <c r="BX63" i="6" l="1"/>
  <c r="BX62" i="6"/>
  <c r="BQ82" i="6"/>
  <c r="BI63" i="6" a="1"/>
  <c r="BI63" i="6" s="1"/>
  <c r="BQ100" i="6"/>
  <c r="BR100" i="6"/>
  <c r="BK89" i="6" a="1"/>
  <c r="BK89" i="6" s="1"/>
  <c r="P14" i="5" l="1"/>
  <c r="CI23" i="6" a="1"/>
  <c r="CI23" i="6" s="1"/>
  <c r="CI21" i="6"/>
  <c r="BX38" i="6" l="1"/>
  <c r="BX37" i="6"/>
  <c r="BQ57" i="6"/>
  <c r="BI38" i="6" a="1"/>
  <c r="BI38" i="6" s="1"/>
  <c r="CI3" i="6" l="1"/>
  <c r="BW62" i="6"/>
  <c r="CI5" i="6" a="1"/>
  <c r="CI5" i="6" s="1"/>
  <c r="BW65" i="6"/>
  <c r="BW63" i="6"/>
  <c r="BW64" i="6"/>
  <c r="BM63" i="6" a="1"/>
  <c r="BM63" i="6" s="1"/>
  <c r="BW66" i="6" s="1" a="1"/>
  <c r="BW66" i="6" s="1"/>
  <c r="BW40" i="6"/>
  <c r="BW39" i="6"/>
  <c r="BW37" i="6"/>
  <c r="BW38" i="6"/>
  <c r="BM38" i="6" a="1"/>
  <c r="BM38" i="6" s="1"/>
  <c r="BW41" i="6" s="1" a="1"/>
  <c r="BW41" i="6" s="1"/>
  <c r="AU152" i="6"/>
  <c r="AU189" i="6"/>
  <c r="AY197" i="6"/>
  <c r="AY208" i="6"/>
  <c r="AK208" i="6"/>
  <c r="AY186" i="6"/>
  <c r="AU146" i="6"/>
  <c r="AU145" i="6"/>
  <c r="AU147" i="6"/>
  <c r="AU144" i="6"/>
  <c r="AU150" i="6"/>
  <c r="AU151" i="6"/>
  <c r="BI203" i="6"/>
  <c r="AZ79" i="6"/>
  <c r="AK443" i="6"/>
  <c r="AV428" i="6" a="1"/>
  <c r="AV428" i="6" s="1"/>
  <c r="AV399" i="6" a="1"/>
  <c r="AV399" i="6" s="1"/>
  <c r="AK399" i="6" a="1"/>
  <c r="AK399" i="6" s="1"/>
  <c r="BX317" i="6" a="1"/>
  <c r="BX317" i="6" s="1"/>
  <c r="BU317" i="6" a="1"/>
  <c r="BU317" i="6" s="1"/>
  <c r="BF317" i="6" a="1"/>
  <c r="BF317" i="6" s="1"/>
  <c r="AZ317" i="6" a="1"/>
  <c r="AZ317" i="6" s="1"/>
  <c r="AT317" i="6" a="1"/>
  <c r="AT317" i="6" s="1"/>
  <c r="AQ317" i="6" a="1"/>
  <c r="AQ317" i="6" s="1"/>
  <c r="AN317" i="6" a="1"/>
  <c r="AN317" i="6" s="1"/>
  <c r="AK317" i="6" a="1"/>
  <c r="AK317" i="6" s="1"/>
  <c r="BX263" i="6" a="1"/>
  <c r="BX263" i="6" s="1"/>
  <c r="BU263" i="6" a="1"/>
  <c r="BU263" i="6" s="1"/>
  <c r="BF263" i="6" a="1"/>
  <c r="BF263" i="6" s="1"/>
  <c r="AT263" i="6" a="1"/>
  <c r="AT263" i="6" s="1"/>
  <c r="AQ263" i="6" a="1"/>
  <c r="AQ263" i="6" s="1"/>
  <c r="AK263" i="6" a="1"/>
  <c r="AK263" i="6" s="1"/>
  <c r="AZ263" i="6" a="1"/>
  <c r="AZ263" i="6" s="1"/>
  <c r="AN263" i="6" a="1"/>
  <c r="AN263" i="6" s="1"/>
  <c r="BP63" i="6" l="1" a="1"/>
  <c r="BP63" i="6" s="1"/>
  <c r="BN63" i="6" a="1"/>
  <c r="BN63" i="6" s="1"/>
  <c r="BN38" i="6" a="1"/>
  <c r="BN38" i="6" s="1"/>
  <c r="AK8" i="6" s="1" a="1"/>
  <c r="AK8" i="6" s="1"/>
  <c r="BP38" i="6" a="1"/>
  <c r="BP38" i="6" s="1"/>
  <c r="AN307" i="6"/>
  <c r="AZ390" i="6"/>
  <c r="AO390" i="6"/>
  <c r="AQ389" i="6"/>
  <c r="AN442" i="6"/>
  <c r="BB418" i="6"/>
  <c r="AO308" i="6"/>
  <c r="AR390" i="6"/>
  <c r="AO443" i="6"/>
  <c r="AZ419" i="6"/>
  <c r="AY418" i="6"/>
  <c r="AN389" i="6"/>
  <c r="BB389" i="6"/>
  <c r="BC419" i="6"/>
  <c r="BC390" i="6"/>
  <c r="AN362" i="6"/>
  <c r="AY389" i="6"/>
  <c r="AK364" i="6"/>
  <c r="AL365" i="6"/>
  <c r="W138" i="6"/>
  <c r="BF306" i="6"/>
  <c r="AQ307" i="6"/>
  <c r="AR308" i="6"/>
  <c r="AZ306" i="6"/>
  <c r="AZ252" i="6"/>
  <c r="BF252" i="6"/>
  <c r="AN253" i="6"/>
  <c r="AQ253" i="6"/>
  <c r="AO254" i="6"/>
  <c r="AR254" i="6"/>
  <c r="AN446" i="6" l="1"/>
  <c r="AL446" i="6" s="1"/>
  <c r="AR314" i="6"/>
  <c r="AU314" i="6"/>
  <c r="AO314" i="6"/>
  <c r="AP317" i="6" s="1" a="1"/>
  <c r="AP317" i="6" s="1"/>
  <c r="AW425" i="6"/>
  <c r="AW396" i="6"/>
  <c r="AL396" i="6"/>
  <c r="AN365" i="6"/>
  <c r="AL373" i="6" s="1"/>
  <c r="AU260" i="6"/>
  <c r="AR260" i="6"/>
  <c r="AO260" i="6"/>
  <c r="BJ63" i="6" a="1"/>
  <c r="AK42" i="6" a="1"/>
  <c r="AK42" i="6" s="1"/>
  <c r="BJ38" i="6" a="1"/>
  <c r="AN372" i="6" a="1"/>
  <c r="AN372" i="6" s="1"/>
  <c r="BS314" i="6"/>
  <c r="BT317" i="6" s="1" a="1"/>
  <c r="BT317" i="6" s="1"/>
  <c r="BV314" i="6"/>
  <c r="BY314" i="6"/>
  <c r="BY260" i="6"/>
  <c r="BS260" i="6"/>
  <c r="BV260" i="6"/>
  <c r="AQ450" i="6" l="1"/>
  <c r="AT450" i="6" s="1"/>
  <c r="BQ47" i="6"/>
  <c r="BQ50" i="6"/>
  <c r="BQ56" i="6"/>
  <c r="BQ45" i="6"/>
  <c r="BQ48" i="6"/>
  <c r="BQ52" i="6"/>
  <c r="BQ46" i="6"/>
  <c r="BQ51" i="6"/>
  <c r="BQ54" i="6"/>
  <c r="BQ49" i="6"/>
  <c r="BQ53" i="6"/>
  <c r="BQ55" i="6"/>
  <c r="BQ74" i="6"/>
  <c r="BQ75" i="6"/>
  <c r="BQ73" i="6"/>
  <c r="BQ77" i="6"/>
  <c r="BQ72" i="6"/>
  <c r="BQ78" i="6"/>
  <c r="BQ71" i="6"/>
  <c r="BQ79" i="6"/>
  <c r="BQ70" i="6"/>
  <c r="BQ81" i="6"/>
  <c r="BQ76" i="6"/>
  <c r="BQ80" i="6"/>
  <c r="BJ38" i="6"/>
  <c r="BQ38" i="6" s="1"/>
  <c r="BQ44" i="6"/>
  <c r="BQ69" i="6"/>
  <c r="BQ68" i="6"/>
  <c r="AL376" i="6"/>
  <c r="AL377" i="6"/>
  <c r="AR453" i="6"/>
  <c r="AR450" i="6"/>
  <c r="AR454" i="6" s="1"/>
  <c r="BQ66" i="6"/>
  <c r="BQ67" i="6"/>
  <c r="BQ43" i="6"/>
  <c r="BQ42" i="6"/>
  <c r="BJ63" i="6"/>
  <c r="BQ63" i="6"/>
  <c r="BQ65" i="6"/>
  <c r="BQ64" i="6"/>
  <c r="BQ40" i="6"/>
  <c r="BQ39" i="6"/>
  <c r="BQ41" i="6"/>
  <c r="BW317" i="6" a="1"/>
  <c r="BW317" i="6" s="1"/>
  <c r="AS317" i="6" a="1"/>
  <c r="AS317" i="6" s="1"/>
  <c r="BZ317" i="6" a="1"/>
  <c r="BZ317" i="6" s="1"/>
  <c r="AV317" i="6" a="1"/>
  <c r="AV317" i="6" s="1"/>
  <c r="AT103" i="6" a="1"/>
  <c r="AT103" i="6" s="1"/>
  <c r="AK55" i="6" a="1"/>
  <c r="AK55" i="6" s="1"/>
  <c r="AK40" i="6" a="1"/>
  <c r="AK40" i="6" s="1"/>
  <c r="BD148" i="6"/>
  <c r="AQ451" i="6" l="1"/>
  <c r="AQ454" i="6"/>
  <c r="AM317" i="6" a="1"/>
  <c r="AM317" i="6" s="1"/>
  <c r="BB317" i="6" s="1" a="1"/>
  <c r="BB317" i="6" s="1"/>
  <c r="F124" i="6"/>
  <c r="F103" i="6"/>
  <c r="S273" i="15" a="1"/>
  <c r="S273" i="15" s="1"/>
  <c r="BH317" i="6" l="1" a="1"/>
  <c r="BH317" i="6" s="1"/>
  <c r="W139" i="6"/>
  <c r="E7" i="15" a="1"/>
  <c r="E7" i="15" s="1"/>
  <c r="C263" i="15"/>
  <c r="C262" i="15"/>
  <c r="C261" i="15"/>
  <c r="C260" i="15"/>
  <c r="C259" i="15"/>
  <c r="C258" i="15"/>
  <c r="C257" i="15"/>
  <c r="C256" i="15"/>
  <c r="C255" i="15"/>
  <c r="C254" i="15"/>
  <c r="C253" i="15"/>
  <c r="C252" i="15"/>
  <c r="C251" i="15"/>
  <c r="C250" i="15"/>
  <c r="C249" i="15"/>
  <c r="C248" i="15"/>
  <c r="C247" i="15"/>
  <c r="C246" i="15"/>
  <c r="C245" i="15"/>
  <c r="C244" i="15"/>
  <c r="C243" i="15"/>
  <c r="C242" i="15"/>
  <c r="C241" i="15"/>
  <c r="C240" i="15"/>
  <c r="C239" i="15"/>
  <c r="C238" i="15"/>
  <c r="C237" i="15"/>
  <c r="C236" i="15"/>
  <c r="C235" i="15"/>
  <c r="C234" i="15"/>
  <c r="C233" i="15"/>
  <c r="C232" i="15"/>
  <c r="C231" i="15"/>
  <c r="C230" i="15"/>
  <c r="C229" i="15"/>
  <c r="C228" i="15"/>
  <c r="C227" i="15"/>
  <c r="C226" i="15"/>
  <c r="C225" i="15"/>
  <c r="C224" i="15"/>
  <c r="C223" i="15"/>
  <c r="C222" i="15"/>
  <c r="C221" i="15"/>
  <c r="C220" i="15"/>
  <c r="C219" i="15"/>
  <c r="C218" i="15"/>
  <c r="C217" i="15"/>
  <c r="C216" i="15"/>
  <c r="C215" i="15"/>
  <c r="C214" i="15"/>
  <c r="C213" i="15"/>
  <c r="C212" i="15"/>
  <c r="C211" i="15"/>
  <c r="C210" i="15"/>
  <c r="C209" i="15"/>
  <c r="C208" i="15"/>
  <c r="C207" i="15"/>
  <c r="C206" i="15"/>
  <c r="C205" i="15"/>
  <c r="C204" i="15"/>
  <c r="C203" i="15"/>
  <c r="C202" i="15"/>
  <c r="C201" i="15"/>
  <c r="C200" i="15"/>
  <c r="C199" i="15"/>
  <c r="C198" i="15"/>
  <c r="C197" i="15"/>
  <c r="C196" i="15"/>
  <c r="C195" i="15"/>
  <c r="C194" i="15"/>
  <c r="C193" i="15"/>
  <c r="C192" i="15"/>
  <c r="C191" i="15"/>
  <c r="C190" i="15"/>
  <c r="C189" i="15"/>
  <c r="C188" i="15"/>
  <c r="C187" i="15"/>
  <c r="C186" i="15"/>
  <c r="C185" i="15"/>
  <c r="C184" i="15"/>
  <c r="C183" i="15"/>
  <c r="C182" i="15"/>
  <c r="C181" i="15"/>
  <c r="C180" i="15"/>
  <c r="C179" i="15"/>
  <c r="C178" i="15"/>
  <c r="C177" i="15"/>
  <c r="C176" i="15"/>
  <c r="C175" i="15"/>
  <c r="C174" i="15"/>
  <c r="C173" i="15"/>
  <c r="C172" i="15"/>
  <c r="C171" i="15"/>
  <c r="C170" i="15"/>
  <c r="C169" i="15"/>
  <c r="C168" i="15"/>
  <c r="C167" i="15"/>
  <c r="C166" i="15"/>
  <c r="C165" i="15"/>
  <c r="C164" i="15"/>
  <c r="C163" i="15"/>
  <c r="C162" i="15"/>
  <c r="C161" i="15"/>
  <c r="C160" i="15"/>
  <c r="C159" i="15"/>
  <c r="C158" i="15"/>
  <c r="C157" i="15"/>
  <c r="C156" i="15"/>
  <c r="C155" i="15"/>
  <c r="C154" i="15"/>
  <c r="C153" i="15"/>
  <c r="C152" i="15"/>
  <c r="C151" i="15"/>
  <c r="C150" i="15"/>
  <c r="C149" i="15"/>
  <c r="C148" i="15"/>
  <c r="C147" i="15"/>
  <c r="C146" i="15"/>
  <c r="C145" i="15"/>
  <c r="C144" i="15"/>
  <c r="C143" i="15"/>
  <c r="C142" i="15"/>
  <c r="C141" i="15"/>
  <c r="C140" i="15"/>
  <c r="C139" i="15"/>
  <c r="C138" i="15"/>
  <c r="C137" i="15"/>
  <c r="C136" i="15"/>
  <c r="C135" i="15"/>
  <c r="C134" i="15"/>
  <c r="C133" i="15"/>
  <c r="C132" i="15"/>
  <c r="C131" i="15"/>
  <c r="C130" i="15"/>
  <c r="C129" i="15"/>
  <c r="C128" i="15"/>
  <c r="C127" i="15"/>
  <c r="C126" i="15"/>
  <c r="C125" i="15"/>
  <c r="C124" i="15"/>
  <c r="C123" i="15"/>
  <c r="C122" i="15"/>
  <c r="C121" i="15"/>
  <c r="C120" i="15"/>
  <c r="C119" i="15"/>
  <c r="C118" i="15"/>
  <c r="C117" i="15"/>
  <c r="C116" i="15"/>
  <c r="C115" i="15"/>
  <c r="C114" i="15"/>
  <c r="C113" i="15"/>
  <c r="C112" i="15"/>
  <c r="C111" i="15"/>
  <c r="C110" i="15"/>
  <c r="C109" i="15"/>
  <c r="C108" i="15"/>
  <c r="C107" i="15"/>
  <c r="C106" i="15"/>
  <c r="C105" i="15"/>
  <c r="C104" i="15"/>
  <c r="C103" i="15"/>
  <c r="C102" i="15"/>
  <c r="C101" i="15"/>
  <c r="C100" i="15"/>
  <c r="C99" i="15"/>
  <c r="C98" i="15"/>
  <c r="C97" i="15"/>
  <c r="C96" i="15"/>
  <c r="C95" i="15"/>
  <c r="C94" i="15"/>
  <c r="C93" i="15"/>
  <c r="C92" i="15"/>
  <c r="C91" i="15"/>
  <c r="C90" i="15"/>
  <c r="C89" i="15"/>
  <c r="C88" i="15"/>
  <c r="C87" i="15"/>
  <c r="C86" i="15"/>
  <c r="C85" i="15"/>
  <c r="C84" i="15"/>
  <c r="C83" i="15"/>
  <c r="C82" i="15"/>
  <c r="C81" i="15"/>
  <c r="C80" i="15"/>
  <c r="C79" i="15"/>
  <c r="C78" i="15"/>
  <c r="C77" i="15"/>
  <c r="C76" i="15"/>
  <c r="C75" i="15"/>
  <c r="C74" i="15"/>
  <c r="C73" i="15"/>
  <c r="C72" i="15"/>
  <c r="C71" i="15"/>
  <c r="C70" i="15"/>
  <c r="C69" i="15"/>
  <c r="C68" i="15"/>
  <c r="C67" i="15"/>
  <c r="C66" i="15"/>
  <c r="C65" i="15"/>
  <c r="C64" i="15"/>
  <c r="C63" i="15"/>
  <c r="C62" i="15"/>
  <c r="C61" i="15"/>
  <c r="C60" i="15"/>
  <c r="C59" i="15"/>
  <c r="C58" i="15"/>
  <c r="C57" i="15"/>
  <c r="C56" i="15"/>
  <c r="C55" i="15"/>
  <c r="C54" i="15"/>
  <c r="C53" i="15"/>
  <c r="C52" i="15"/>
  <c r="C51" i="15"/>
  <c r="C50" i="15"/>
  <c r="C49" i="15"/>
  <c r="C48" i="15"/>
  <c r="C47" i="15"/>
  <c r="C46" i="15"/>
  <c r="C45" i="15"/>
  <c r="C44" i="15"/>
  <c r="C43" i="15"/>
  <c r="C42" i="15"/>
  <c r="C41" i="15"/>
  <c r="C40" i="15"/>
  <c r="C39" i="15"/>
  <c r="C38" i="15"/>
  <c r="C37" i="15"/>
  <c r="C36" i="15"/>
  <c r="C35" i="15"/>
  <c r="C34" i="15"/>
  <c r="C33" i="15"/>
  <c r="C32" i="15"/>
  <c r="C31" i="15"/>
  <c r="C30" i="15"/>
  <c r="C29" i="15"/>
  <c r="C28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C13" i="15"/>
  <c r="C12" i="15"/>
  <c r="C11" i="15"/>
  <c r="C10" i="15"/>
  <c r="C9" i="15"/>
  <c r="C8" i="15"/>
  <c r="C7" i="15"/>
  <c r="H273" i="15" a="1"/>
  <c r="H273" i="15" s="1"/>
  <c r="H296" i="6" a="1"/>
  <c r="H296" i="6" s="1"/>
  <c r="Q62" i="14" a="1"/>
  <c r="Q62" i="14" s="1"/>
  <c r="T62" i="14" s="1"/>
  <c r="O62" i="14" a="1"/>
  <c r="O62" i="14" s="1"/>
  <c r="T64" i="14" s="1"/>
  <c r="Q74" i="14" a="1"/>
  <c r="Q74" i="14" s="1"/>
  <c r="T74" i="14" s="1"/>
  <c r="O74" i="14" a="1"/>
  <c r="O74" i="14" s="1"/>
  <c r="T76" i="14" s="1"/>
  <c r="Q47" i="14" a="1"/>
  <c r="Q47" i="14" s="1"/>
  <c r="T47" i="14" s="1"/>
  <c r="O47" i="14" a="1"/>
  <c r="O47" i="14" s="1"/>
  <c r="T49" i="14" s="1"/>
  <c r="Q31" i="14" a="1"/>
  <c r="Q31" i="14" s="1"/>
  <c r="T31" i="14" s="1"/>
  <c r="O31" i="14" a="1"/>
  <c r="O31" i="14" s="1"/>
  <c r="T33" i="14" s="1"/>
  <c r="Q8" i="14" a="1"/>
  <c r="Q8" i="14" s="1"/>
  <c r="T8" i="14" s="1"/>
  <c r="O8" i="14" a="1"/>
  <c r="O8" i="14" s="1"/>
  <c r="T10" i="14" s="1"/>
  <c r="H7" i="15" l="1" a="1"/>
  <c r="H7" i="15" s="1"/>
  <c r="W273" i="15" a="1"/>
  <c r="W273" i="15" s="1"/>
  <c r="H285" i="6" a="1"/>
  <c r="H285" i="6" s="1"/>
  <c r="H240" i="6"/>
  <c r="H235" i="6" a="1"/>
  <c r="H235" i="6" s="1"/>
  <c r="H233" i="6" a="1"/>
  <c r="H233" i="6" s="1"/>
  <c r="H231" i="6" a="1"/>
  <c r="H231" i="6" s="1"/>
  <c r="H241" i="6" a="1"/>
  <c r="H241" i="6" s="1"/>
  <c r="H237" i="6" a="1"/>
  <c r="H237" i="6" s="1"/>
  <c r="H228" i="6" a="1"/>
  <c r="H228" i="6" s="1"/>
  <c r="H226" i="6" a="1"/>
  <c r="H226" i="6" s="1"/>
  <c r="H79" i="6" a="1"/>
  <c r="H79" i="6" s="1"/>
  <c r="H74" i="6" a="1"/>
  <c r="H74" i="6" s="1"/>
  <c r="H29" i="6" a="1"/>
  <c r="H29" i="6" s="1"/>
  <c r="S7" i="15" l="1" a="1"/>
  <c r="S7" i="15" s="1"/>
  <c r="W7" i="15" a="1"/>
  <c r="W7" i="15" s="1"/>
  <c r="P7" i="15" a="1"/>
  <c r="P7" i="15" s="1"/>
  <c r="H244" i="6" a="1"/>
  <c r="H244" i="6" s="1"/>
  <c r="H273" i="6" a="1"/>
  <c r="H273" i="6" s="1"/>
  <c r="H261" i="6" a="1"/>
  <c r="H261" i="6" s="1"/>
  <c r="F232" i="6" l="1"/>
  <c r="F231" i="6"/>
  <c r="F236" i="6"/>
  <c r="F235" i="6"/>
  <c r="F234" i="6"/>
  <c r="F233" i="6"/>
  <c r="F85" i="6"/>
  <c r="F84" i="6"/>
  <c r="F83" i="6"/>
  <c r="F82" i="6"/>
  <c r="D213" i="10" l="1"/>
  <c r="D213" i="10" a="1"/>
  <c r="D209" i="10"/>
  <c r="E208" i="10"/>
  <c r="D208" i="10"/>
  <c r="E207" i="10"/>
  <c r="D189" i="10"/>
  <c r="D189" i="10" a="1"/>
  <c r="D188" i="10"/>
  <c r="D188" i="10" a="1"/>
  <c r="D174" i="10"/>
  <c r="D174" i="10" a="1"/>
  <c r="D173" i="10"/>
  <c r="D173" i="10" a="1"/>
  <c r="D159" i="10"/>
  <c r="D159" i="10" a="1"/>
  <c r="Q152" i="10"/>
  <c r="Q152" i="10" a="1"/>
  <c r="Q151" i="10"/>
  <c r="Q151" i="10" a="1"/>
  <c r="D144" i="10"/>
  <c r="D144" i="10" a="1"/>
  <c r="D138" i="10"/>
  <c r="Q136" i="10"/>
  <c r="Q136" i="10" a="1"/>
  <c r="Q135" i="10"/>
  <c r="Q135" i="10" a="1"/>
  <c r="D129" i="10"/>
  <c r="D128" i="10"/>
  <c r="D127" i="10"/>
  <c r="D126" i="10"/>
  <c r="B102" i="10"/>
  <c r="B102" i="10" a="1"/>
  <c r="B101" i="10"/>
  <c r="B101" i="10" a="1"/>
  <c r="B100" i="10"/>
  <c r="B100" i="10" a="1"/>
  <c r="B99" i="10"/>
  <c r="B99" i="10" a="1"/>
  <c r="B98" i="10"/>
  <c r="B98" i="10" a="1"/>
  <c r="Y93" i="10"/>
  <c r="V93" i="10"/>
  <c r="S93" i="10"/>
  <c r="P93" i="10"/>
  <c r="M93" i="10"/>
  <c r="C93" i="10"/>
  <c r="Z92" i="10"/>
  <c r="Y92" i="10"/>
  <c r="W92" i="10"/>
  <c r="V92" i="10"/>
  <c r="T92" i="10"/>
  <c r="S92" i="10"/>
  <c r="Q92" i="10"/>
  <c r="P92" i="10"/>
  <c r="N92" i="10"/>
  <c r="M92" i="10"/>
  <c r="D92" i="10"/>
  <c r="C92" i="10"/>
  <c r="Z91" i="10"/>
  <c r="Y91" i="10"/>
  <c r="W91" i="10"/>
  <c r="V91" i="10"/>
  <c r="T91" i="10"/>
  <c r="S91" i="10"/>
  <c r="Q91" i="10"/>
  <c r="P91" i="10"/>
  <c r="N91" i="10"/>
  <c r="M91" i="10"/>
  <c r="D91" i="10"/>
  <c r="C91" i="10"/>
  <c r="Z90" i="10"/>
  <c r="Y90" i="10"/>
  <c r="W90" i="10"/>
  <c r="V90" i="10"/>
  <c r="T90" i="10"/>
  <c r="S90" i="10"/>
  <c r="Q90" i="10"/>
  <c r="P90" i="10"/>
  <c r="N90" i="10"/>
  <c r="M90" i="10"/>
  <c r="D90" i="10"/>
  <c r="C90" i="10"/>
  <c r="Z89" i="10"/>
  <c r="Y89" i="10"/>
  <c r="W89" i="10"/>
  <c r="V89" i="10"/>
  <c r="T89" i="10"/>
  <c r="S89" i="10"/>
  <c r="Q89" i="10"/>
  <c r="P89" i="10"/>
  <c r="N89" i="10"/>
  <c r="M89" i="10"/>
  <c r="D89" i="10"/>
  <c r="C89" i="10"/>
  <c r="Z88" i="10"/>
  <c r="Y88" i="10"/>
  <c r="W88" i="10"/>
  <c r="V88" i="10"/>
  <c r="T88" i="10"/>
  <c r="S88" i="10"/>
  <c r="Q88" i="10"/>
  <c r="P88" i="10"/>
  <c r="N88" i="10"/>
  <c r="M88" i="10"/>
  <c r="D88" i="10"/>
  <c r="C88" i="10"/>
  <c r="Z87" i="10"/>
  <c r="Y87" i="10"/>
  <c r="W87" i="10"/>
  <c r="V87" i="10"/>
  <c r="T87" i="10"/>
  <c r="S87" i="10"/>
  <c r="Q87" i="10"/>
  <c r="P87" i="10"/>
  <c r="N87" i="10"/>
  <c r="M87" i="10"/>
  <c r="D87" i="10"/>
  <c r="C87" i="10"/>
  <c r="Z86" i="10"/>
  <c r="Y86" i="10"/>
  <c r="W86" i="10"/>
  <c r="V86" i="10"/>
  <c r="T86" i="10"/>
  <c r="S86" i="10"/>
  <c r="Q86" i="10"/>
  <c r="P86" i="10"/>
  <c r="N86" i="10"/>
  <c r="M86" i="10"/>
  <c r="D86" i="10"/>
  <c r="C86" i="10"/>
  <c r="Z85" i="10"/>
  <c r="Y85" i="10"/>
  <c r="W85" i="10"/>
  <c r="V85" i="10"/>
  <c r="T85" i="10"/>
  <c r="S85" i="10"/>
  <c r="Q85" i="10"/>
  <c r="P85" i="10"/>
  <c r="N85" i="10"/>
  <c r="M85" i="10"/>
  <c r="D85" i="10"/>
  <c r="C85" i="10"/>
  <c r="Z84" i="10"/>
  <c r="Y84" i="10"/>
  <c r="W84" i="10"/>
  <c r="V84" i="10"/>
  <c r="T84" i="10"/>
  <c r="S84" i="10"/>
  <c r="Q84" i="10"/>
  <c r="P84" i="10"/>
  <c r="N84" i="10"/>
  <c r="M84" i="10"/>
  <c r="D84" i="10"/>
  <c r="C84" i="10"/>
  <c r="Z83" i="10"/>
  <c r="W83" i="10"/>
  <c r="T83" i="10"/>
  <c r="Q83" i="10"/>
  <c r="N83" i="10"/>
  <c r="D83" i="10"/>
  <c r="Y82" i="10"/>
  <c r="V82" i="10"/>
  <c r="S82" i="10"/>
  <c r="P82" i="10"/>
  <c r="M82" i="10"/>
  <c r="G82" i="10"/>
  <c r="C82" i="10"/>
  <c r="C78" i="10"/>
  <c r="C78" i="10" a="1"/>
  <c r="B73" i="10"/>
  <c r="B73" i="10" a="1"/>
  <c r="B72" i="10"/>
  <c r="B72" i="10" a="1"/>
  <c r="P67" i="10"/>
  <c r="M67" i="10"/>
  <c r="C67" i="10"/>
  <c r="Q66" i="10"/>
  <c r="P66" i="10"/>
  <c r="N66" i="10"/>
  <c r="M66" i="10"/>
  <c r="D66" i="10"/>
  <c r="C66" i="10"/>
  <c r="Q65" i="10"/>
  <c r="P65" i="10"/>
  <c r="N65" i="10"/>
  <c r="M65" i="10"/>
  <c r="D65" i="10"/>
  <c r="C65" i="10"/>
  <c r="P64" i="10"/>
  <c r="M64" i="10"/>
  <c r="C64" i="10"/>
  <c r="P63" i="10"/>
  <c r="M63" i="10"/>
  <c r="C63" i="10"/>
  <c r="Q62" i="10"/>
  <c r="P62" i="10"/>
  <c r="N62" i="10"/>
  <c r="M62" i="10"/>
  <c r="D62" i="10"/>
  <c r="C62" i="10"/>
  <c r="Q61" i="10"/>
  <c r="P61" i="10"/>
  <c r="N61" i="10"/>
  <c r="M61" i="10"/>
  <c r="D61" i="10"/>
  <c r="C61" i="10"/>
  <c r="Q60" i="10"/>
  <c r="P60" i="10"/>
  <c r="N60" i="10"/>
  <c r="M60" i="10"/>
  <c r="D60" i="10"/>
  <c r="C60" i="10"/>
  <c r="Q59" i="10"/>
  <c r="P59" i="10"/>
  <c r="N59" i="10"/>
  <c r="M59" i="10"/>
  <c r="D59" i="10"/>
  <c r="C59" i="10"/>
  <c r="Q58" i="10"/>
  <c r="P58" i="10"/>
  <c r="N58" i="10"/>
  <c r="M58" i="10"/>
  <c r="D58" i="10"/>
  <c r="C58" i="10"/>
  <c r="Q57" i="10"/>
  <c r="N57" i="10"/>
  <c r="D57" i="10"/>
  <c r="P56" i="10"/>
  <c r="M56" i="10"/>
  <c r="C56" i="10"/>
  <c r="G55" i="10"/>
  <c r="C52" i="10"/>
  <c r="C52" i="10" a="1"/>
  <c r="B42" i="10"/>
  <c r="B42" i="10" a="1"/>
  <c r="AE37" i="10"/>
  <c r="AB37" i="10"/>
  <c r="Y37" i="10"/>
  <c r="V37" i="10"/>
  <c r="S37" i="10"/>
  <c r="P37" i="10"/>
  <c r="M37" i="10"/>
  <c r="C37" i="10"/>
  <c r="AF36" i="10"/>
  <c r="AE36" i="10"/>
  <c r="AC36" i="10"/>
  <c r="AB36" i="10"/>
  <c r="Z36" i="10"/>
  <c r="Y36" i="10"/>
  <c r="W36" i="10"/>
  <c r="V36" i="10"/>
  <c r="T36" i="10"/>
  <c r="S36" i="10"/>
  <c r="Q36" i="10"/>
  <c r="P36" i="10"/>
  <c r="N36" i="10"/>
  <c r="M36" i="10"/>
  <c r="D36" i="10"/>
  <c r="C36" i="10"/>
  <c r="AF35" i="10"/>
  <c r="AE35" i="10"/>
  <c r="AC35" i="10"/>
  <c r="AB35" i="10"/>
  <c r="Z35" i="10"/>
  <c r="Y35" i="10"/>
  <c r="W35" i="10"/>
  <c r="V35" i="10"/>
  <c r="T35" i="10"/>
  <c r="S35" i="10"/>
  <c r="Q35" i="10"/>
  <c r="P35" i="10"/>
  <c r="N35" i="10"/>
  <c r="M35" i="10"/>
  <c r="D35" i="10"/>
  <c r="C35" i="10"/>
  <c r="AF34" i="10"/>
  <c r="AE34" i="10"/>
  <c r="AC34" i="10"/>
  <c r="AB34" i="10"/>
  <c r="Z34" i="10"/>
  <c r="Y34" i="10"/>
  <c r="W34" i="10"/>
  <c r="V34" i="10"/>
  <c r="T34" i="10"/>
  <c r="S34" i="10"/>
  <c r="Q34" i="10"/>
  <c r="P34" i="10"/>
  <c r="N34" i="10"/>
  <c r="M34" i="10"/>
  <c r="D34" i="10"/>
  <c r="C34" i="10"/>
  <c r="AF33" i="10"/>
  <c r="AE33" i="10"/>
  <c r="AC33" i="10"/>
  <c r="AB33" i="10"/>
  <c r="Z33" i="10"/>
  <c r="Y33" i="10"/>
  <c r="W33" i="10"/>
  <c r="V33" i="10"/>
  <c r="T33" i="10"/>
  <c r="S33" i="10"/>
  <c r="Q33" i="10"/>
  <c r="P33" i="10"/>
  <c r="N33" i="10"/>
  <c r="M33" i="10"/>
  <c r="D33" i="10"/>
  <c r="C33" i="10"/>
  <c r="AF32" i="10"/>
  <c r="AE32" i="10"/>
  <c r="AC32" i="10"/>
  <c r="AB32" i="10"/>
  <c r="Z32" i="10"/>
  <c r="Y32" i="10"/>
  <c r="W32" i="10"/>
  <c r="V32" i="10"/>
  <c r="T32" i="10"/>
  <c r="S32" i="10"/>
  <c r="Q32" i="10"/>
  <c r="P32" i="10"/>
  <c r="N32" i="10"/>
  <c r="M32" i="10"/>
  <c r="D32" i="10"/>
  <c r="C32" i="10"/>
  <c r="AF31" i="10"/>
  <c r="AE31" i="10"/>
  <c r="AC31" i="10"/>
  <c r="AB31" i="10"/>
  <c r="Z31" i="10"/>
  <c r="Y31" i="10"/>
  <c r="W31" i="10"/>
  <c r="V31" i="10"/>
  <c r="T31" i="10"/>
  <c r="S31" i="10"/>
  <c r="Q31" i="10"/>
  <c r="P31" i="10"/>
  <c r="N31" i="10"/>
  <c r="M31" i="10"/>
  <c r="D31" i="10"/>
  <c r="C31" i="10"/>
  <c r="AF30" i="10"/>
  <c r="AE30" i="10"/>
  <c r="AC30" i="10"/>
  <c r="AB30" i="10"/>
  <c r="Z30" i="10"/>
  <c r="Y30" i="10"/>
  <c r="W30" i="10"/>
  <c r="V30" i="10"/>
  <c r="T30" i="10"/>
  <c r="S30" i="10"/>
  <c r="Q30" i="10"/>
  <c r="P30" i="10"/>
  <c r="N30" i="10"/>
  <c r="M30" i="10"/>
  <c r="D30" i="10"/>
  <c r="C30" i="10"/>
  <c r="AF29" i="10"/>
  <c r="AE29" i="10"/>
  <c r="AC29" i="10"/>
  <c r="AB29" i="10"/>
  <c r="Z29" i="10"/>
  <c r="Y29" i="10"/>
  <c r="W29" i="10"/>
  <c r="V29" i="10"/>
  <c r="T29" i="10"/>
  <c r="S29" i="10"/>
  <c r="Q29" i="10"/>
  <c r="P29" i="10"/>
  <c r="N29" i="10"/>
  <c r="M29" i="10"/>
  <c r="D29" i="10"/>
  <c r="C29" i="10"/>
  <c r="AF28" i="10"/>
  <c r="AE28" i="10"/>
  <c r="AC28" i="10"/>
  <c r="AB28" i="10"/>
  <c r="Z28" i="10"/>
  <c r="Y28" i="10"/>
  <c r="W28" i="10"/>
  <c r="V28" i="10"/>
  <c r="T28" i="10"/>
  <c r="S28" i="10"/>
  <c r="Q28" i="10"/>
  <c r="P28" i="10"/>
  <c r="N28" i="10"/>
  <c r="M28" i="10"/>
  <c r="D28" i="10"/>
  <c r="C28" i="10"/>
  <c r="AF27" i="10"/>
  <c r="AC27" i="10"/>
  <c r="Z27" i="10"/>
  <c r="W27" i="10"/>
  <c r="T27" i="10"/>
  <c r="Q27" i="10"/>
  <c r="N27" i="10"/>
  <c r="D27" i="10"/>
  <c r="AE26" i="10"/>
  <c r="AB26" i="10"/>
  <c r="Y26" i="10"/>
  <c r="V26" i="10"/>
  <c r="S26" i="10"/>
  <c r="P26" i="10"/>
  <c r="M26" i="10"/>
  <c r="C26" i="10"/>
  <c r="G25" i="10"/>
  <c r="C22" i="10"/>
  <c r="C22" i="10" a="1"/>
  <c r="K18" i="10"/>
  <c r="J18" i="10"/>
  <c r="I18" i="10"/>
  <c r="H18" i="10"/>
  <c r="G18" i="10"/>
  <c r="F18" i="10"/>
  <c r="E18" i="10"/>
  <c r="D18" i="10"/>
  <c r="C18" i="10"/>
  <c r="K17" i="10"/>
  <c r="J17" i="10"/>
  <c r="I17" i="10"/>
  <c r="H17" i="10"/>
  <c r="G17" i="10"/>
  <c r="F17" i="10"/>
  <c r="E17" i="10"/>
  <c r="D17" i="10"/>
  <c r="C17" i="10"/>
  <c r="K16" i="10"/>
  <c r="J16" i="10"/>
  <c r="I16" i="10"/>
  <c r="H16" i="10"/>
  <c r="G16" i="10"/>
  <c r="F16" i="10"/>
  <c r="D16" i="10"/>
  <c r="K15" i="10"/>
  <c r="J15" i="10"/>
  <c r="I15" i="10"/>
  <c r="H15" i="10"/>
  <c r="G15" i="10"/>
  <c r="F15" i="10"/>
  <c r="D15" i="10"/>
  <c r="C15" i="10"/>
  <c r="K14" i="10"/>
  <c r="J14" i="10"/>
  <c r="I14" i="10"/>
  <c r="H14" i="10"/>
  <c r="G14" i="10"/>
  <c r="F14" i="10"/>
  <c r="E14" i="10"/>
  <c r="D14" i="10"/>
  <c r="C14" i="10"/>
  <c r="K13" i="10"/>
  <c r="I13" i="10"/>
  <c r="H13" i="10"/>
  <c r="G13" i="10"/>
  <c r="F13" i="10"/>
  <c r="E13" i="10"/>
  <c r="D13" i="10"/>
  <c r="C13" i="10"/>
  <c r="K12" i="10"/>
  <c r="I12" i="10"/>
  <c r="H12" i="10"/>
  <c r="G12" i="10"/>
  <c r="F12" i="10"/>
  <c r="E12" i="10"/>
  <c r="D12" i="10"/>
  <c r="C12" i="10"/>
  <c r="K11" i="10"/>
  <c r="I11" i="10"/>
  <c r="H11" i="10"/>
  <c r="G11" i="10"/>
  <c r="F11" i="10"/>
  <c r="E11" i="10"/>
  <c r="D11" i="10"/>
  <c r="C11" i="10"/>
  <c r="K10" i="10"/>
  <c r="I10" i="10"/>
  <c r="H10" i="10"/>
  <c r="G10" i="10"/>
  <c r="F10" i="10"/>
  <c r="E10" i="10"/>
  <c r="D10" i="10"/>
  <c r="C10" i="10"/>
  <c r="K9" i="10"/>
  <c r="I9" i="10"/>
  <c r="H9" i="10"/>
  <c r="G9" i="10"/>
  <c r="F9" i="10"/>
  <c r="E9" i="10"/>
  <c r="D9" i="10"/>
  <c r="C9" i="10"/>
  <c r="K8" i="10"/>
  <c r="I8" i="10"/>
  <c r="H8" i="10"/>
  <c r="G8" i="10"/>
  <c r="F8" i="10"/>
  <c r="E8" i="10"/>
  <c r="D8" i="10"/>
  <c r="C8" i="10"/>
  <c r="K7" i="10"/>
  <c r="I7" i="10"/>
  <c r="H7" i="10"/>
  <c r="G7" i="10"/>
  <c r="F7" i="10"/>
  <c r="E7" i="10"/>
  <c r="D7" i="10"/>
  <c r="C7" i="10"/>
  <c r="J6" i="10"/>
  <c r="I6" i="10"/>
  <c r="H6" i="10"/>
  <c r="G6" i="10"/>
  <c r="F6" i="10"/>
  <c r="E6" i="10"/>
  <c r="D6" i="10"/>
  <c r="U5" i="10"/>
  <c r="U5" i="10" a="1"/>
  <c r="T5" i="10"/>
  <c r="T5" i="10" a="1"/>
  <c r="S5" i="10"/>
  <c r="S5" i="10" a="1"/>
  <c r="J5" i="10"/>
  <c r="I5" i="10"/>
  <c r="H5" i="10"/>
  <c r="G5" i="10"/>
  <c r="F5" i="10"/>
  <c r="E5" i="10"/>
  <c r="D5" i="10"/>
  <c r="AB33" i="5"/>
  <c r="AA33" i="5"/>
  <c r="Z33" i="5"/>
  <c r="Y33" i="5"/>
  <c r="X33" i="5"/>
  <c r="W33" i="5"/>
  <c r="V33" i="5"/>
  <c r="U33" i="5"/>
  <c r="T33" i="5"/>
  <c r="T32" i="5"/>
  <c r="T31" i="5"/>
  <c r="T30" i="5"/>
  <c r="T29" i="5"/>
  <c r="T28" i="5"/>
  <c r="T27" i="5"/>
  <c r="T26" i="5"/>
  <c r="S26" i="5"/>
  <c r="T25" i="5"/>
  <c r="T24" i="5"/>
  <c r="AB23" i="5"/>
  <c r="AA23" i="5"/>
  <c r="Z23" i="5"/>
  <c r="Y23" i="5"/>
  <c r="X23" i="5"/>
  <c r="W23" i="5"/>
  <c r="V23" i="5"/>
  <c r="U23" i="5"/>
  <c r="T23" i="5"/>
  <c r="E19" i="5"/>
  <c r="AB17" i="5"/>
  <c r="AA17" i="5"/>
  <c r="Z17" i="5"/>
  <c r="Y17" i="5"/>
  <c r="X17" i="5"/>
  <c r="W17" i="5"/>
  <c r="V17" i="5"/>
  <c r="U17" i="5"/>
  <c r="T17" i="5"/>
  <c r="T16" i="5"/>
  <c r="T15" i="5"/>
  <c r="T14" i="5"/>
  <c r="AD13" i="5"/>
  <c r="T13" i="5"/>
  <c r="T12" i="5"/>
  <c r="T11" i="5"/>
  <c r="T10" i="5"/>
  <c r="S10" i="5"/>
  <c r="T9" i="5"/>
  <c r="T8" i="5"/>
  <c r="AB7" i="5"/>
  <c r="AA7" i="5"/>
  <c r="Z7" i="5"/>
  <c r="Y7" i="5"/>
  <c r="X7" i="5"/>
  <c r="W7" i="5"/>
  <c r="V7" i="5"/>
  <c r="U7" i="5"/>
  <c r="T7" i="5"/>
  <c r="AN3" i="5" a="1"/>
  <c r="AN3" i="5" s="1"/>
  <c r="AL240" i="6" a="1"/>
  <c r="AL240" i="6" s="1"/>
  <c r="AO237" i="6"/>
  <c r="AM237" i="6"/>
  <c r="AK237" i="6"/>
  <c r="AT225" i="6" a="1"/>
  <c r="AT225" i="6" s="1"/>
  <c r="AW222" i="6"/>
  <c r="AU222" i="6"/>
  <c r="AS222" i="6"/>
  <c r="AL225" i="6" a="1"/>
  <c r="AL225" i="6" s="1"/>
  <c r="AO222" i="6"/>
  <c r="AM222" i="6"/>
  <c r="AK222" i="6"/>
  <c r="BC216" i="6"/>
  <c r="BC215" i="6"/>
  <c r="BH211" i="6"/>
  <c r="BH216" i="6" s="1"/>
  <c r="BB211" i="6"/>
  <c r="BB216" i="6" s="1"/>
  <c r="BE209" i="6"/>
  <c r="BB209" i="6"/>
  <c r="AU211" i="6"/>
  <c r="AU213" i="6" s="1"/>
  <c r="AT211" i="6"/>
  <c r="AT216" i="6" s="1"/>
  <c r="AN211" i="6"/>
  <c r="AN215" i="6" s="1"/>
  <c r="AQ209" i="6"/>
  <c r="AN209" i="6"/>
  <c r="BI205" i="6"/>
  <c r="BF205" i="6"/>
  <c r="BC205" i="6"/>
  <c r="BI204" i="6"/>
  <c r="BF204" i="6"/>
  <c r="BC204" i="6"/>
  <c r="BH198" i="6"/>
  <c r="BE198" i="6"/>
  <c r="BB198" i="6"/>
  <c r="AN202" i="6"/>
  <c r="AN201" i="6"/>
  <c r="AO200" i="6"/>
  <c r="AO204" i="6" s="1"/>
  <c r="AQ198" i="6"/>
  <c r="AN198" i="6"/>
  <c r="H256" i="6" a="1"/>
  <c r="H256" i="6" s="1"/>
  <c r="BH187" i="6"/>
  <c r="BE187" i="6"/>
  <c r="BB187" i="6"/>
  <c r="AT191" i="6"/>
  <c r="AT190" i="6"/>
  <c r="AU193" i="6"/>
  <c r="AQ187" i="6"/>
  <c r="AN187" i="6"/>
  <c r="BB176" i="6"/>
  <c r="AY176" i="6"/>
  <c r="AQ176" i="6"/>
  <c r="AN176" i="6"/>
  <c r="AN168" i="6"/>
  <c r="AN171" i="6" s="1"/>
  <c r="AN172" i="6" s="1"/>
  <c r="AX101" i="6" a="1"/>
  <c r="AX101" i="6" s="1"/>
  <c r="AX94" i="6" a="1"/>
  <c r="AX94" i="6" s="1"/>
  <c r="V142" i="6" a="1"/>
  <c r="V142" i="6" s="1"/>
  <c r="AX87" i="6" a="1"/>
  <c r="AX87" i="6" s="1"/>
  <c r="H140" i="6" a="1"/>
  <c r="H140" i="6" s="1"/>
  <c r="V128" i="6" a="1"/>
  <c r="V128" i="6" s="1"/>
  <c r="O128" i="6"/>
  <c r="H119" i="6" a="1"/>
  <c r="H119" i="6" s="1"/>
  <c r="V105" i="6" a="1"/>
  <c r="V105" i="6" s="1"/>
  <c r="V99" i="6" a="1"/>
  <c r="V99" i="6" s="1"/>
  <c r="O98" i="6"/>
  <c r="H98" i="6" a="1"/>
  <c r="H98" i="6" s="1"/>
  <c r="V75" i="6" a="1"/>
  <c r="V75" i="6" s="1"/>
  <c r="H77" i="6" a="1"/>
  <c r="H77" i="6" s="1"/>
  <c r="V69" i="6" a="1"/>
  <c r="V69" i="6" s="1"/>
  <c r="O68" i="6"/>
  <c r="H69" i="6" a="1"/>
  <c r="H69" i="6" s="1"/>
  <c r="H64" i="6" a="1"/>
  <c r="H64" i="6" s="1"/>
  <c r="H44" i="6" a="1"/>
  <c r="H44" i="6" s="1"/>
  <c r="H37" i="6" a="1"/>
  <c r="H37" i="6" s="1"/>
  <c r="AK21" i="6" a="1"/>
  <c r="AK21" i="6" s="1"/>
  <c r="BG20" i="6" a="1"/>
  <c r="BG20" i="6" s="1"/>
  <c r="BG19" i="6" a="1"/>
  <c r="BG19" i="6" s="1"/>
  <c r="H19" i="6" a="1"/>
  <c r="H19" i="6" s="1"/>
  <c r="H16" i="6" a="1"/>
  <c r="H16" i="6" s="1"/>
  <c r="H12" i="6" a="1"/>
  <c r="H12" i="6" s="1"/>
  <c r="A9" i="6"/>
  <c r="AK6" i="6" a="1"/>
  <c r="AK6" i="6" s="1"/>
  <c r="BG5" i="6" a="1"/>
  <c r="BG5" i="6" s="1"/>
  <c r="H5" i="6" a="1"/>
  <c r="H5" i="6" s="1"/>
  <c r="BG4" i="6" a="1"/>
  <c r="BG4" i="6" s="1"/>
  <c r="AB82" i="6" l="1"/>
  <c r="AB112" i="6"/>
  <c r="AN212" i="6"/>
  <c r="AN214" i="6" s="1"/>
  <c r="AN216" i="6"/>
  <c r="AO205" i="6"/>
  <c r="AO201" i="6"/>
  <c r="AU194" i="6"/>
  <c r="BB215" i="6"/>
  <c r="BB212" i="6"/>
  <c r="AT212" i="6"/>
  <c r="BH212" i="6"/>
  <c r="AU212" i="6"/>
  <c r="BH215" i="6"/>
  <c r="AU190" i="6"/>
  <c r="AT215" i="6"/>
  <c r="AK106" i="6"/>
  <c r="AY168" i="6"/>
  <c r="O9" i="6"/>
  <c r="F35" i="6"/>
  <c r="F61" i="6"/>
  <c r="W78" i="6"/>
  <c r="Y78" i="6" s="1"/>
  <c r="AP92" i="6"/>
  <c r="W108" i="6"/>
  <c r="F125" i="6"/>
  <c r="W128" i="6"/>
  <c r="F136" i="6"/>
  <c r="W146" i="6"/>
  <c r="AZ168" i="6"/>
  <c r="E11" i="5"/>
  <c r="F34" i="6"/>
  <c r="AQ132" i="6"/>
  <c r="R9" i="6"/>
  <c r="F36" i="6"/>
  <c r="F62" i="6"/>
  <c r="AL76" i="6"/>
  <c r="AQ92" i="6"/>
  <c r="F97" i="6"/>
  <c r="AP106" i="6"/>
  <c r="F104" i="6"/>
  <c r="AP124" i="6"/>
  <c r="F128" i="6"/>
  <c r="F132" i="6"/>
  <c r="W133" i="6"/>
  <c r="W142" i="6"/>
  <c r="AR146" i="6"/>
  <c r="P11" i="5"/>
  <c r="AL92" i="6"/>
  <c r="O11" i="6"/>
  <c r="AK22" i="6" a="1"/>
  <c r="AK22" i="6" s="1"/>
  <c r="F63" i="6"/>
  <c r="F87" i="6"/>
  <c r="F90" i="6"/>
  <c r="W101" i="6"/>
  <c r="W105" i="6"/>
  <c r="AK117" i="6"/>
  <c r="W129" i="6"/>
  <c r="AX88" i="6" a="1"/>
  <c r="AX88" i="6" s="1"/>
  <c r="AK5" i="6"/>
  <c r="R11" i="6"/>
  <c r="W79" i="6"/>
  <c r="Y79" i="6" s="1"/>
  <c r="AK90" i="6"/>
  <c r="F91" i="6"/>
  <c r="AL101" i="6"/>
  <c r="F102" i="6"/>
  <c r="F114" i="6"/>
  <c r="F118" i="6"/>
  <c r="AU117" i="6"/>
  <c r="W137" i="6"/>
  <c r="W147" i="6"/>
  <c r="AN158" i="6"/>
  <c r="P12" i="5"/>
  <c r="F111" i="6"/>
  <c r="AK23" i="6" a="1"/>
  <c r="AK23" i="6" s="1"/>
  <c r="BK38" i="6" s="1" a="1"/>
  <c r="BK38" i="6" s="1"/>
  <c r="BR38" i="6" s="1" a="1"/>
  <c r="BR38" i="6" s="1"/>
  <c r="AK39" i="6"/>
  <c r="F92" i="6"/>
  <c r="AP117" i="6"/>
  <c r="W111" i="6"/>
  <c r="AK125" i="6"/>
  <c r="F133" i="6"/>
  <c r="F137" i="6"/>
  <c r="AK142" i="6"/>
  <c r="AO158" i="6"/>
  <c r="F40" i="6"/>
  <c r="AP90" i="6"/>
  <c r="F95" i="6"/>
  <c r="AQ101" i="6"/>
  <c r="W130" i="6"/>
  <c r="W134" i="6"/>
  <c r="W143" i="6"/>
  <c r="AN178" i="6"/>
  <c r="P13" i="5"/>
  <c r="G19" i="5"/>
  <c r="AK124" i="6"/>
  <c r="O27" i="6"/>
  <c r="F41" i="6"/>
  <c r="W75" i="6"/>
  <c r="W80" i="6"/>
  <c r="AK96" i="6"/>
  <c r="W99" i="6"/>
  <c r="F109" i="6"/>
  <c r="F112" i="6"/>
  <c r="F115" i="6"/>
  <c r="AP125" i="6"/>
  <c r="F126" i="6"/>
  <c r="F129" i="6"/>
  <c r="AU119" i="6"/>
  <c r="AO178" i="6"/>
  <c r="G8" i="5"/>
  <c r="F60" i="6"/>
  <c r="F108" i="6"/>
  <c r="AK41" i="6" a="1"/>
  <c r="AK41" i="6" s="1"/>
  <c r="F88" i="6"/>
  <c r="AL96" i="6"/>
  <c r="AK107" i="6"/>
  <c r="F105" i="6"/>
  <c r="W106" i="6"/>
  <c r="W109" i="6"/>
  <c r="W112" i="6"/>
  <c r="Y112" i="6" s="1"/>
  <c r="F122" i="6"/>
  <c r="AV119" i="6"/>
  <c r="AY158" i="6"/>
  <c r="AY181" i="6"/>
  <c r="AN189" i="6"/>
  <c r="AN203" i="6"/>
  <c r="P8" i="5"/>
  <c r="O16" i="6"/>
  <c r="O29" i="6"/>
  <c r="F56" i="6"/>
  <c r="Y68" i="6"/>
  <c r="AK77" i="6"/>
  <c r="W81" i="6"/>
  <c r="Y81" i="6" s="1"/>
  <c r="AK91" i="6"/>
  <c r="AP96" i="6"/>
  <c r="AK105" i="6"/>
  <c r="AK108" i="6" s="1"/>
  <c r="W102" i="6"/>
  <c r="AL137" i="6"/>
  <c r="F134" i="6"/>
  <c r="F138" i="6"/>
  <c r="AZ158" i="6"/>
  <c r="R27" i="6"/>
  <c r="O7" i="6"/>
  <c r="O17" i="6"/>
  <c r="R29" i="6"/>
  <c r="F42" i="6"/>
  <c r="AL77" i="6"/>
  <c r="AQ96" i="6"/>
  <c r="AL105" i="6"/>
  <c r="AP107" i="6"/>
  <c r="F116" i="6"/>
  <c r="F123" i="6"/>
  <c r="W131" i="6"/>
  <c r="W135" i="6"/>
  <c r="AX95" i="6" a="1"/>
  <c r="AX95" i="6" s="1"/>
  <c r="AT192" i="6"/>
  <c r="G6" i="5"/>
  <c r="G9" i="5"/>
  <c r="P6" i="5"/>
  <c r="P9" i="5"/>
  <c r="R7" i="6"/>
  <c r="AK56" i="6" a="1"/>
  <c r="AK56" i="6" s="1"/>
  <c r="AP91" i="6"/>
  <c r="AP105" i="6"/>
  <c r="AP108" i="6" s="1"/>
  <c r="W144" i="6"/>
  <c r="AK7" i="6" a="1"/>
  <c r="AK7" i="6" s="1"/>
  <c r="W69" i="6"/>
  <c r="AQ87" i="6"/>
  <c r="F96" i="6"/>
  <c r="AQ105" i="6"/>
  <c r="F110" i="6"/>
  <c r="AK126" i="6"/>
  <c r="F130" i="6"/>
  <c r="AQ145" i="6"/>
  <c r="G7" i="5"/>
  <c r="W77" i="6"/>
  <c r="AO146" i="6"/>
  <c r="F93" i="6"/>
  <c r="AL110" i="6"/>
  <c r="AQ137" i="6"/>
  <c r="AN145" i="6"/>
  <c r="O31" i="6"/>
  <c r="F43" i="6"/>
  <c r="F57" i="6"/>
  <c r="W70" i="6"/>
  <c r="AK78" i="6"/>
  <c r="W82" i="6"/>
  <c r="Y82" i="6" s="1"/>
  <c r="F89" i="6"/>
  <c r="F101" i="6"/>
  <c r="W100" i="6"/>
  <c r="AQ110" i="6"/>
  <c r="W107" i="6"/>
  <c r="AP123" i="6"/>
  <c r="BX65" i="6" s="1"/>
  <c r="AK132" i="6"/>
  <c r="AK135" i="6" s="1"/>
  <c r="F127" i="6"/>
  <c r="F131" i="6"/>
  <c r="F135" i="6"/>
  <c r="F139" i="6"/>
  <c r="AU103" i="6" a="1"/>
  <c r="AU103" i="6" s="1"/>
  <c r="AV103" i="6" s="1" a="1"/>
  <c r="AV103" i="6" s="1"/>
  <c r="AT145" i="6"/>
  <c r="AO148" i="6"/>
  <c r="AO168" i="6"/>
  <c r="BB189" i="6"/>
  <c r="P7" i="5"/>
  <c r="E10" i="5"/>
  <c r="F94" i="6"/>
  <c r="W76" i="6"/>
  <c r="Y76" i="6" s="1"/>
  <c r="AK123" i="6"/>
  <c r="BX40" i="6" s="1"/>
  <c r="R31" i="6"/>
  <c r="W71" i="6"/>
  <c r="F106" i="6"/>
  <c r="F113" i="6"/>
  <c r="AP126" i="6"/>
  <c r="AL132" i="6"/>
  <c r="W132" i="6"/>
  <c r="W136" i="6"/>
  <c r="W145" i="6"/>
  <c r="AT200" i="6"/>
  <c r="P10" i="5"/>
  <c r="AL87" i="6"/>
  <c r="AK57" i="6" a="1"/>
  <c r="AK57" i="6" s="1"/>
  <c r="BK63" i="6" s="1" a="1"/>
  <c r="BK63" i="6" s="1"/>
  <c r="F33" i="6"/>
  <c r="W72" i="6"/>
  <c r="AK92" i="6"/>
  <c r="Y98" i="6"/>
  <c r="F107" i="6"/>
  <c r="W110" i="6"/>
  <c r="F117" i="6"/>
  <c r="AP132" i="6"/>
  <c r="AP135" i="6" s="1"/>
  <c r="AN169" i="6"/>
  <c r="AN181" i="6"/>
  <c r="AY178" i="6"/>
  <c r="BH189" i="6"/>
  <c r="BR63" i="6" l="1" a="1"/>
  <c r="BR63" i="6" s="1"/>
  <c r="AM225" i="6"/>
  <c r="AM226" i="6" s="1"/>
  <c r="AM227" i="6" s="1"/>
  <c r="AM228" i="6" s="1"/>
  <c r="AM229" i="6" s="1"/>
  <c r="AM230" i="6" s="1"/>
  <c r="AM231" i="6" s="1"/>
  <c r="AM232" i="6" s="1"/>
  <c r="AM240" i="6"/>
  <c r="AM241" i="6" s="1"/>
  <c r="AM242" i="6" s="1"/>
  <c r="AM243" i="6" s="1"/>
  <c r="AM244" i="6" s="1"/>
  <c r="AM245" i="6" s="1"/>
  <c r="AU225" i="6"/>
  <c r="AU226" i="6" s="1"/>
  <c r="AU227" i="6" s="1"/>
  <c r="AU228" i="6" s="1"/>
  <c r="AU229" i="6" s="1"/>
  <c r="AU230" i="6" s="1"/>
  <c r="AU231" i="6" s="1"/>
  <c r="AU232" i="6" s="1"/>
  <c r="Y75" i="6"/>
  <c r="AN170" i="6"/>
  <c r="AB111" i="6"/>
  <c r="AB109" i="6"/>
  <c r="AB108" i="6"/>
  <c r="AB106" i="6"/>
  <c r="AB105" i="6"/>
  <c r="AB78" i="6"/>
  <c r="AG78" i="6" s="1"/>
  <c r="AB76" i="6"/>
  <c r="AG76" i="6" s="1"/>
  <c r="AB75" i="6"/>
  <c r="AB81" i="6"/>
  <c r="AG81" i="6" s="1"/>
  <c r="AB79" i="6"/>
  <c r="AG79" i="6" s="1"/>
  <c r="AG112" i="6"/>
  <c r="AG82" i="6"/>
  <c r="AN213" i="6"/>
  <c r="AO203" i="6"/>
  <c r="AO202" i="6"/>
  <c r="AU192" i="6"/>
  <c r="AU191" i="6"/>
  <c r="BH214" i="6"/>
  <c r="BH213" i="6"/>
  <c r="AT214" i="6"/>
  <c r="AT213" i="6"/>
  <c r="BB214" i="6"/>
  <c r="BB213" i="6"/>
  <c r="AK134" i="6"/>
  <c r="BX41" i="6" s="1"/>
  <c r="AK133" i="6"/>
  <c r="AU125" i="6"/>
  <c r="AU121" i="6"/>
  <c r="AU124" i="6"/>
  <c r="AU120" i="6"/>
  <c r="AU127" i="6"/>
  <c r="AU89" i="6"/>
  <c r="AU123" i="6"/>
  <c r="AU126" i="6"/>
  <c r="AU122" i="6"/>
  <c r="AN180" i="6"/>
  <c r="AN179" i="6"/>
  <c r="AQ136" i="6"/>
  <c r="AQ133" i="6"/>
  <c r="AZ172" i="6"/>
  <c r="AZ169" i="6"/>
  <c r="AZ170" i="6" s="1"/>
  <c r="AZ171" i="6" s="1"/>
  <c r="BC211" i="6"/>
  <c r="AO147" i="6"/>
  <c r="AO150" i="6" s="1"/>
  <c r="AP110" i="6"/>
  <c r="AP109" i="6"/>
  <c r="BE200" i="6"/>
  <c r="AQ192" i="6"/>
  <c r="AQ146" i="6"/>
  <c r="AQ128" i="6"/>
  <c r="AQ119" i="6"/>
  <c r="AK118" i="6"/>
  <c r="AK119" i="6"/>
  <c r="AL88" i="6"/>
  <c r="AL91" i="6"/>
  <c r="AK128" i="6"/>
  <c r="AK127" i="6"/>
  <c r="BB192" i="6"/>
  <c r="BB191" i="6"/>
  <c r="BB190" i="6"/>
  <c r="AT193" i="6"/>
  <c r="AT194" i="6"/>
  <c r="AL100" i="6"/>
  <c r="AL97" i="6"/>
  <c r="AN161" i="6"/>
  <c r="AN162" i="6" s="1"/>
  <c r="AN159" i="6"/>
  <c r="AN160" i="6" s="1"/>
  <c r="AT203" i="6"/>
  <c r="AT202" i="6"/>
  <c r="AT201" i="6"/>
  <c r="BI211" i="6"/>
  <c r="BI189" i="6"/>
  <c r="AO172" i="6"/>
  <c r="AO169" i="6"/>
  <c r="AQ123" i="6"/>
  <c r="AQ109" i="6"/>
  <c r="AQ114" i="6"/>
  <c r="AQ106" i="6"/>
  <c r="AZ159" i="6"/>
  <c r="AZ160" i="6" s="1"/>
  <c r="AZ162" i="6"/>
  <c r="AK100" i="6"/>
  <c r="AK97" i="6"/>
  <c r="AK99" i="6"/>
  <c r="AK101" i="6"/>
  <c r="AK98" i="6"/>
  <c r="BX39" i="6" s="1"/>
  <c r="AN183" i="6"/>
  <c r="AN182" i="6"/>
  <c r="BC200" i="6"/>
  <c r="AO189" i="6"/>
  <c r="AO149" i="6"/>
  <c r="AO211" i="6"/>
  <c r="AN204" i="6"/>
  <c r="AN205" i="6"/>
  <c r="AO159" i="6"/>
  <c r="AO160" i="6" s="1"/>
  <c r="AO161" i="6" s="1"/>
  <c r="AO162" i="6"/>
  <c r="AY180" i="6"/>
  <c r="AY179" i="6"/>
  <c r="AU200" i="6"/>
  <c r="BI214" i="6"/>
  <c r="BH200" i="6"/>
  <c r="AT147" i="6"/>
  <c r="AT146" i="6"/>
  <c r="AQ88" i="6"/>
  <c r="AQ91" i="6"/>
  <c r="AN190" i="6"/>
  <c r="AN192" i="6"/>
  <c r="AN191" i="6"/>
  <c r="AY183" i="6"/>
  <c r="AY182" i="6"/>
  <c r="AP134" i="6"/>
  <c r="BX66" i="6" s="1"/>
  <c r="AP133" i="6"/>
  <c r="AY159" i="6"/>
  <c r="AY160" i="6" s="1"/>
  <c r="AY161" i="6"/>
  <c r="AY162" i="6" s="1"/>
  <c r="F207" i="6"/>
  <c r="F181" i="6"/>
  <c r="F175" i="6"/>
  <c r="F144" i="6"/>
  <c r="F217" i="6"/>
  <c r="F212" i="6"/>
  <c r="F206" i="6"/>
  <c r="F194" i="6"/>
  <c r="F174" i="6"/>
  <c r="F167" i="6"/>
  <c r="F205" i="6"/>
  <c r="F158" i="6"/>
  <c r="F223" i="6"/>
  <c r="F201" i="6"/>
  <c r="F187" i="6"/>
  <c r="F173" i="6"/>
  <c r="F147" i="6"/>
  <c r="F199" i="6"/>
  <c r="F142" i="6"/>
  <c r="F218" i="6"/>
  <c r="F200" i="6"/>
  <c r="F180" i="6"/>
  <c r="F159" i="6"/>
  <c r="F152" i="6"/>
  <c r="F143" i="6"/>
  <c r="F211" i="6"/>
  <c r="F169" i="6"/>
  <c r="F148" i="6"/>
  <c r="F222" i="6"/>
  <c r="F198" i="6"/>
  <c r="F186" i="6"/>
  <c r="F172" i="6"/>
  <c r="F166" i="6"/>
  <c r="F146" i="6"/>
  <c r="F176" i="6"/>
  <c r="F193" i="6"/>
  <c r="F179" i="6"/>
  <c r="F151" i="6"/>
  <c r="F170" i="6"/>
  <c r="F216" i="6"/>
  <c r="F210" i="6"/>
  <c r="F204" i="6"/>
  <c r="F192" i="6"/>
  <c r="F157" i="6"/>
  <c r="F224" i="6"/>
  <c r="F188" i="6"/>
  <c r="F153" i="6"/>
  <c r="F221" i="6"/>
  <c r="F215" i="6"/>
  <c r="F197" i="6"/>
  <c r="F191" i="6"/>
  <c r="F165" i="6"/>
  <c r="F141" i="6"/>
  <c r="F54" i="6"/>
  <c r="F6" i="6"/>
  <c r="F190" i="6"/>
  <c r="F178" i="6"/>
  <c r="F164" i="6"/>
  <c r="F156" i="6"/>
  <c r="F150" i="6"/>
  <c r="F53" i="6"/>
  <c r="F203" i="6"/>
  <c r="F185" i="6"/>
  <c r="F171" i="6"/>
  <c r="F168" i="6"/>
  <c r="F145" i="6"/>
  <c r="F220" i="6"/>
  <c r="F214" i="6"/>
  <c r="F196" i="6"/>
  <c r="F184" i="6"/>
  <c r="F163" i="6"/>
  <c r="F155" i="6"/>
  <c r="F209" i="6"/>
  <c r="F189" i="6"/>
  <c r="F183" i="6"/>
  <c r="F162" i="6"/>
  <c r="F149" i="6"/>
  <c r="F49" i="6"/>
  <c r="F208" i="6"/>
  <c r="F202" i="6"/>
  <c r="F182" i="6"/>
  <c r="F161" i="6"/>
  <c r="F154" i="6"/>
  <c r="F225" i="6"/>
  <c r="F219" i="6"/>
  <c r="F213" i="6"/>
  <c r="F195" i="6"/>
  <c r="F177" i="6"/>
  <c r="F160" i="6"/>
  <c r="F140" i="6"/>
  <c r="BH192" i="6"/>
  <c r="BH191" i="6"/>
  <c r="BH190" i="6"/>
  <c r="AL136" i="6"/>
  <c r="AL133" i="6"/>
  <c r="AP128" i="6"/>
  <c r="AP127" i="6"/>
  <c r="AN146" i="6"/>
  <c r="BB200" i="6"/>
  <c r="AN147" i="6"/>
  <c r="AL123" i="6"/>
  <c r="AL114" i="6"/>
  <c r="AL109" i="6"/>
  <c r="AL106" i="6"/>
  <c r="AK110" i="6"/>
  <c r="AK109" i="6"/>
  <c r="AY171" i="6"/>
  <c r="AY172" i="6" s="1"/>
  <c r="AY169" i="6"/>
  <c r="Y109" i="6"/>
  <c r="Y106" i="6"/>
  <c r="Y111" i="6"/>
  <c r="Y105" i="6"/>
  <c r="Y108" i="6"/>
  <c r="AL128" i="6"/>
  <c r="AL119" i="6"/>
  <c r="AQ97" i="6"/>
  <c r="AQ100" i="6"/>
  <c r="AP97" i="6"/>
  <c r="AP99" i="6"/>
  <c r="AP98" i="6"/>
  <c r="BX64" i="6" s="1"/>
  <c r="AV120" i="6"/>
  <c r="AV127" i="6"/>
  <c r="AV123" i="6"/>
  <c r="AV126" i="6"/>
  <c r="AV122" i="6"/>
  <c r="AO179" i="6"/>
  <c r="AO183" i="6"/>
  <c r="AO182" i="6"/>
  <c r="AP118" i="6"/>
  <c r="AP119" i="6"/>
  <c r="BF200" i="6"/>
  <c r="AR189" i="6"/>
  <c r="AR147" i="6"/>
  <c r="BO89" i="6" l="1" a="1"/>
  <c r="BO89" i="6" s="1"/>
  <c r="AG75" i="6"/>
  <c r="V86" i="6" s="1"/>
  <c r="AX77" i="6"/>
  <c r="AY77" i="6" s="1"/>
  <c r="AX76" i="6"/>
  <c r="AY76" i="6" s="1"/>
  <c r="AG105" i="6"/>
  <c r="AG106" i="6"/>
  <c r="AG108" i="6"/>
  <c r="AG109" i="6"/>
  <c r="AG111" i="6"/>
  <c r="AK158" i="6" a="1"/>
  <c r="AK158" i="6" s="1"/>
  <c r="AP137" i="6"/>
  <c r="AP136" i="6"/>
  <c r="AU204" i="6"/>
  <c r="AU205" i="6"/>
  <c r="AU201" i="6"/>
  <c r="AL99" i="6"/>
  <c r="AL98" i="6"/>
  <c r="BY39" i="6" s="1"/>
  <c r="AP100" i="6"/>
  <c r="AP101" i="6"/>
  <c r="BC189" i="6"/>
  <c r="AZ161" i="6"/>
  <c r="AV158" i="6" s="1" a="1"/>
  <c r="AV158" i="6" s="1"/>
  <c r="AL118" i="6"/>
  <c r="AL127" i="6"/>
  <c r="AQ107" i="6"/>
  <c r="AQ115" i="6"/>
  <c r="AQ124" i="6"/>
  <c r="AQ108" i="6"/>
  <c r="AQ193" i="6"/>
  <c r="AQ194" i="6"/>
  <c r="AU91" i="6"/>
  <c r="AU92" i="6" s="1"/>
  <c r="AU90" i="6"/>
  <c r="AU93" i="6"/>
  <c r="BE205" i="6"/>
  <c r="BE204" i="6"/>
  <c r="BE201" i="6"/>
  <c r="AN193" i="6"/>
  <c r="AN194" i="6"/>
  <c r="AQ118" i="6"/>
  <c r="AQ127" i="6"/>
  <c r="BH194" i="6"/>
  <c r="BH193" i="6"/>
  <c r="AO213" i="6"/>
  <c r="AO212" i="6"/>
  <c r="AT204" i="6"/>
  <c r="AT205" i="6"/>
  <c r="AR193" i="6"/>
  <c r="AR190" i="6"/>
  <c r="AR194" i="6"/>
  <c r="AO170" i="6"/>
  <c r="AO171" i="6" s="1"/>
  <c r="BB193" i="6"/>
  <c r="BB194" i="6"/>
  <c r="AO151" i="6"/>
  <c r="AO214" i="6"/>
  <c r="AL108" i="6"/>
  <c r="AL115" i="6"/>
  <c r="AL107" i="6"/>
  <c r="AL124" i="6"/>
  <c r="BF202" i="6"/>
  <c r="BF201" i="6"/>
  <c r="AQ90" i="6"/>
  <c r="AQ89" i="6"/>
  <c r="BY62" i="6" s="1"/>
  <c r="AO193" i="6"/>
  <c r="AO190" i="6"/>
  <c r="AO194" i="6"/>
  <c r="BC213" i="6"/>
  <c r="BC212" i="6"/>
  <c r="BC201" i="6"/>
  <c r="BC202" i="6"/>
  <c r="BI194" i="6"/>
  <c r="BI190" i="6"/>
  <c r="BI193" i="6"/>
  <c r="AO180" i="6"/>
  <c r="AO181" i="6"/>
  <c r="AZ178" i="6"/>
  <c r="AT148" i="6"/>
  <c r="AT149" i="6"/>
  <c r="AT150" i="6" s="1"/>
  <c r="AU214" i="6"/>
  <c r="AV121" i="6"/>
  <c r="AV124" i="6"/>
  <c r="AV125" i="6" s="1"/>
  <c r="BB201" i="6"/>
  <c r="BB204" i="6"/>
  <c r="BB205" i="6"/>
  <c r="BH205" i="6"/>
  <c r="BH204" i="6"/>
  <c r="BH201" i="6"/>
  <c r="BI213" i="6"/>
  <c r="BI212" i="6"/>
  <c r="AQ134" i="6"/>
  <c r="BY66" i="6" s="1"/>
  <c r="AQ135" i="6"/>
  <c r="AK137" i="6"/>
  <c r="AK136" i="6"/>
  <c r="AN148" i="6"/>
  <c r="AN149" i="6"/>
  <c r="AN150" i="6" s="1"/>
  <c r="AL135" i="6"/>
  <c r="AL134" i="6"/>
  <c r="BY41" i="6" s="1"/>
  <c r="AQ99" i="6"/>
  <c r="AQ98" i="6"/>
  <c r="BY64" i="6" s="1"/>
  <c r="AY170" i="6"/>
  <c r="AV168" i="6" s="1" a="1"/>
  <c r="AV168" i="6" s="1"/>
  <c r="BI215" i="6"/>
  <c r="BI216" i="6"/>
  <c r="AL90" i="6"/>
  <c r="AL89" i="6"/>
  <c r="BY37" i="6" s="1"/>
  <c r="V116" i="6" l="1"/>
  <c r="W86" i="6"/>
  <c r="Y86" i="6" s="1" a="1"/>
  <c r="Y86" i="6" s="1"/>
  <c r="X86" i="6"/>
  <c r="BD76" i="6"/>
  <c r="AU81" i="6" s="1"/>
  <c r="AZ77" i="6"/>
  <c r="AZ76" i="6"/>
  <c r="AK168" i="6" a="1"/>
  <c r="AK168" i="6" s="1"/>
  <c r="AU96" i="6"/>
  <c r="AU97" i="6" s="1"/>
  <c r="AY211" i="6" a="1"/>
  <c r="BA208" i="6" s="1"/>
  <c r="AK178" i="6" a="1"/>
  <c r="AX89" i="6" a="1"/>
  <c r="AX89" i="6" s="1"/>
  <c r="BB203" i="6"/>
  <c r="BB202" i="6"/>
  <c r="AK144" i="6" a="1"/>
  <c r="BE203" i="6"/>
  <c r="BE202" i="6"/>
  <c r="BC193" i="6"/>
  <c r="BC194" i="6"/>
  <c r="BC190" i="6"/>
  <c r="AO192" i="6"/>
  <c r="AO191" i="6"/>
  <c r="AU216" i="6"/>
  <c r="AU215" i="6"/>
  <c r="AR192" i="6"/>
  <c r="AR191" i="6"/>
  <c r="BH203" i="6"/>
  <c r="BH202" i="6"/>
  <c r="AZ183" i="6"/>
  <c r="AZ182" i="6"/>
  <c r="AZ179" i="6"/>
  <c r="AU203" i="6"/>
  <c r="AU202" i="6"/>
  <c r="AK200" i="6" s="1" a="1"/>
  <c r="AM197" i="6" s="1"/>
  <c r="AO216" i="6"/>
  <c r="AO215" i="6"/>
  <c r="AQ116" i="6"/>
  <c r="BY63" i="6" s="1"/>
  <c r="AQ125" i="6"/>
  <c r="BY65" i="6" s="1"/>
  <c r="AL116" i="6"/>
  <c r="BY38" i="6" s="1"/>
  <c r="AL125" i="6"/>
  <c r="BY40" i="6" s="1"/>
  <c r="BI192" i="6"/>
  <c r="BI191" i="6"/>
  <c r="AQ126" i="6"/>
  <c r="AQ117" i="6"/>
  <c r="AL126" i="6"/>
  <c r="AL117" i="6"/>
  <c r="AU98" i="6" l="1"/>
  <c r="X116" i="6"/>
  <c r="W116" i="6"/>
  <c r="Y116" i="6" s="1" a="1"/>
  <c r="Y116" i="6" s="1"/>
  <c r="AK197" i="6"/>
  <c r="AK308" i="6"/>
  <c r="AL362" i="6"/>
  <c r="AK446" i="6"/>
  <c r="AL308" i="6"/>
  <c r="AK200" i="6"/>
  <c r="AL197" i="6" s="1"/>
  <c r="AY211" i="6"/>
  <c r="AZ208" i="6" s="1"/>
  <c r="AM175" i="6"/>
  <c r="AK175" i="6"/>
  <c r="AR452" i="6"/>
  <c r="AR451" i="6"/>
  <c r="AL443" i="6"/>
  <c r="AQ452" i="6" s="1"/>
  <c r="AW419" i="6"/>
  <c r="AX425" i="6" s="1"/>
  <c r="AL390" i="6"/>
  <c r="AX419" i="6"/>
  <c r="AK390" i="6"/>
  <c r="AV422" i="6"/>
  <c r="AX428" i="6" s="1" a="1"/>
  <c r="AX428" i="6" s="1"/>
  <c r="AW390" i="6"/>
  <c r="AV393" i="6"/>
  <c r="AL374" i="6"/>
  <c r="AL375" i="6" s="1"/>
  <c r="AL378" i="6" s="1" a="1"/>
  <c r="AL378" i="6" s="1"/>
  <c r="AL382" i="6" s="1" a="1"/>
  <c r="AL382" i="6" s="1"/>
  <c r="AL393" i="6"/>
  <c r="AK254" i="6"/>
  <c r="AL254" i="6"/>
  <c r="BZ263" i="6" a="1"/>
  <c r="BZ263" i="6" s="1"/>
  <c r="BW263" i="6" a="1"/>
  <c r="BW263" i="6" s="1"/>
  <c r="BT263" i="6" a="1"/>
  <c r="BT263" i="6" s="1"/>
  <c r="AK178" i="6"/>
  <c r="AL175" i="6" s="1"/>
  <c r="AV263" i="6" a="1"/>
  <c r="AV263" i="6" s="1"/>
  <c r="AP263" i="6" a="1"/>
  <c r="AP263" i="6" s="1"/>
  <c r="AS263" i="6" a="1"/>
  <c r="AS263" i="6" s="1"/>
  <c r="AK144" i="6"/>
  <c r="BB151" i="6"/>
  <c r="BC151" i="6" s="1"/>
  <c r="BB150" i="6"/>
  <c r="BC150" i="6" s="1"/>
  <c r="BB76" i="6"/>
  <c r="BC81" i="6" s="1"/>
  <c r="AX82" i="6"/>
  <c r="AY82" i="6" s="1"/>
  <c r="AK189" i="6" a="1"/>
  <c r="AM186" i="6" s="1"/>
  <c r="AU99" i="6"/>
  <c r="AU100" i="6"/>
  <c r="AK211" i="6" a="1"/>
  <c r="AM208" i="6" s="1"/>
  <c r="AY200" i="6" a="1"/>
  <c r="AZ181" i="6"/>
  <c r="AZ180" i="6"/>
  <c r="BC192" i="6"/>
  <c r="BC191" i="6"/>
  <c r="AK186" i="6" l="1"/>
  <c r="BZ314" i="6"/>
  <c r="BY317" i="6" s="1" a="1"/>
  <c r="BY317" i="6" s="1"/>
  <c r="BB145" i="6"/>
  <c r="BC145" i="6" s="1"/>
  <c r="BH145" i="6" s="1"/>
  <c r="AY150" i="6" s="1"/>
  <c r="AK362" i="6"/>
  <c r="AK373" i="6" s="1"/>
  <c r="AK374" i="6" s="1"/>
  <c r="AK211" i="6"/>
  <c r="AL208" i="6" s="1"/>
  <c r="AY200" i="6"/>
  <c r="AZ197" i="6" s="1"/>
  <c r="BA197" i="6"/>
  <c r="AK189" i="6"/>
  <c r="AL186" i="6" s="1"/>
  <c r="BT314" i="6"/>
  <c r="BS317" i="6" s="1" a="1"/>
  <c r="BS317" i="6" s="1"/>
  <c r="AU450" i="6"/>
  <c r="AQ453" i="6"/>
  <c r="AK450" i="6" s="1" a="1"/>
  <c r="AK450" i="6" s="1"/>
  <c r="AT451" i="6"/>
  <c r="AP314" i="6"/>
  <c r="AO317" i="6" s="1" a="1"/>
  <c r="AO317" i="6" s="1"/>
  <c r="AS314" i="6"/>
  <c r="AR317" i="6" s="1" a="1"/>
  <c r="AR317" i="6" s="1"/>
  <c r="AV314" i="6"/>
  <c r="AU317" i="6" s="1" a="1"/>
  <c r="AU317" i="6" s="1"/>
  <c r="BW314" i="6"/>
  <c r="BV317" i="6" s="1" a="1"/>
  <c r="BV317" i="6" s="1"/>
  <c r="AK375" i="6"/>
  <c r="AK376" i="6" s="1"/>
  <c r="BZ260" i="6"/>
  <c r="BY263" i="6" s="1" a="1"/>
  <c r="BY263" i="6" s="1"/>
  <c r="BT260" i="6"/>
  <c r="BS263" i="6" s="1" a="1"/>
  <c r="BS263" i="6" s="1"/>
  <c r="BW260" i="6"/>
  <c r="BV263" i="6" s="1" a="1"/>
  <c r="BV263" i="6" s="1"/>
  <c r="AP260" i="6"/>
  <c r="AO263" i="6" s="1" a="1"/>
  <c r="AO263" i="6" s="1"/>
  <c r="AM263" i="6" a="1"/>
  <c r="AM263" i="6" s="1"/>
  <c r="AS260" i="6"/>
  <c r="AR263" i="6" s="1" a="1"/>
  <c r="AR263" i="6" s="1"/>
  <c r="AV260" i="6"/>
  <c r="AU263" i="6" s="1" a="1"/>
  <c r="AU263" i="6" s="1"/>
  <c r="BH150" i="6"/>
  <c r="AZ150" i="6" s="1"/>
  <c r="BB146" i="6"/>
  <c r="BC146" i="6" s="1"/>
  <c r="BD151" i="6"/>
  <c r="AZ82" i="6"/>
  <c r="BD150" i="6"/>
  <c r="AY189" i="6" a="1"/>
  <c r="BA186" i="6" s="1"/>
  <c r="AX96" i="6" a="1"/>
  <c r="AX96" i="6" s="1"/>
  <c r="AX81" i="6" s="1"/>
  <c r="AY81" i="6" s="1"/>
  <c r="AV178" i="6" a="1"/>
  <c r="AV178" i="6" s="1"/>
  <c r="AL317" i="6" l="1" a="1"/>
  <c r="AL317" i="6" s="1"/>
  <c r="BD145" i="6"/>
  <c r="AK377" i="6"/>
  <c r="AO365" i="6"/>
  <c r="AN373" i="6" s="1" a="1"/>
  <c r="AK382" i="6" s="1" a="1"/>
  <c r="AK382" i="6" s="1"/>
  <c r="AY189" i="6"/>
  <c r="AZ186" i="6" s="1"/>
  <c r="BG156" i="6" s="1" a="1"/>
  <c r="BG156" i="6" s="1"/>
  <c r="AU451" i="6"/>
  <c r="AN450" i="6" s="1" a="1"/>
  <c r="AN450" i="6" s="1"/>
  <c r="BB263" i="6" a="1"/>
  <c r="BB263" i="6" s="1"/>
  <c r="BH263" i="6" a="1"/>
  <c r="BH263" i="6" s="1"/>
  <c r="AL263" i="6" a="1"/>
  <c r="AL263" i="6" s="1"/>
  <c r="AL399" i="6" s="1" a="1"/>
  <c r="AL399" i="6" s="1"/>
  <c r="BD81" i="6"/>
  <c r="AV81" i="6" s="1"/>
  <c r="BD146" i="6"/>
  <c r="BF145" i="6" s="1"/>
  <c r="BG150" i="6" s="1"/>
  <c r="BF150" i="6"/>
  <c r="BG145" i="6" s="1"/>
  <c r="AZ81" i="6"/>
  <c r="BB81" i="6" s="1"/>
  <c r="BA317" i="6" l="1" a="1"/>
  <c r="BA317" i="6" s="1"/>
  <c r="AW428" i="6" a="1"/>
  <c r="AW428" i="6" s="1"/>
  <c r="AK378" i="6" a="1"/>
  <c r="AK378" i="6" s="1"/>
  <c r="AN373" i="6"/>
  <c r="AK393" i="6"/>
  <c r="AM396" i="6" s="1"/>
  <c r="AM399" i="6" s="1" a="1"/>
  <c r="AM399" i="6" s="1"/>
  <c r="AW399" i="6" a="1"/>
  <c r="AW399" i="6" s="1"/>
  <c r="BG317" i="6" a="1"/>
  <c r="BG317" i="6" s="1"/>
  <c r="AW393" i="6"/>
  <c r="AX396" i="6" s="1"/>
  <c r="AX399" i="6" s="1" a="1"/>
  <c r="AX399" i="6" s="1"/>
  <c r="BA263" i="6" a="1"/>
  <c r="BA263" i="6" s="1"/>
  <c r="BG263" i="6" a="1"/>
  <c r="BG263" i="6" s="1"/>
  <c r="BH146" i="6"/>
  <c r="AY151" i="6" s="1"/>
  <c r="BH151" i="6"/>
  <c r="AZ151" i="6" s="1"/>
  <c r="BD82" i="6"/>
  <c r="AV82" i="6" s="1"/>
  <c r="BC76" i="6"/>
  <c r="BD77" i="6" l="1"/>
  <c r="AU82" i="6" s="1"/>
  <c r="BL89" i="6" a="1"/>
  <c r="BR98" i="6" l="1"/>
  <c r="BR97" i="6"/>
  <c r="BR96" i="6"/>
  <c r="BR95" i="6"/>
  <c r="BR94" i="6"/>
  <c r="BQ99" i="6"/>
  <c r="BR93" i="6"/>
  <c r="BQ96" i="6"/>
  <c r="BQ93" i="6"/>
  <c r="BQ95" i="6"/>
  <c r="BQ98" i="6"/>
  <c r="BQ94" i="6"/>
  <c r="BQ97" i="6"/>
  <c r="BR99" i="6"/>
  <c r="BQ92" i="6"/>
  <c r="BR92" i="6"/>
  <c r="BR90" i="6"/>
  <c r="BR91" i="6"/>
  <c r="BQ90" i="6"/>
  <c r="BL89" i="6"/>
  <c r="BM89" i="6" s="1" a="1"/>
  <c r="BM89" i="6" s="1"/>
  <c r="BQ91" i="6"/>
  <c r="BQ89" i="6" l="1"/>
  <c r="BR89" i="6"/>
  <c r="BS89" i="6" s="1" a="1"/>
  <c r="BS89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Miller, Cole</author>
  </authors>
  <commentList>
    <comment ref="F248" authorId="0" shapeId="0" xr:uid="{30D22EB1-284E-4513-ACE5-911373BA0605}">
      <text>
        <r>
          <rPr>
            <b/>
            <sz val="9"/>
            <color indexed="81"/>
            <rFont val="Tahoma"/>
            <family val="2"/>
          </rPr>
          <t>Miller, Cole:</t>
        </r>
        <r>
          <rPr>
            <sz val="9"/>
            <color indexed="81"/>
            <rFont val="Tahoma"/>
            <family val="2"/>
          </rPr>
          <t xml:space="preserve">
Will need to add the abitlity to add manual spacing in inches</t>
        </r>
      </text>
    </comment>
    <comment ref="F250" authorId="0" shapeId="0" xr:uid="{20A1AB65-B357-4FD1-B487-43274F569551}">
      <text>
        <r>
          <rPr>
            <b/>
            <sz val="9"/>
            <color indexed="81"/>
            <rFont val="Tahoma"/>
            <family val="2"/>
          </rPr>
          <t>Miller, Cole:</t>
        </r>
        <r>
          <rPr>
            <sz val="9"/>
            <color indexed="81"/>
            <rFont val="Tahoma"/>
            <family val="2"/>
          </rPr>
          <t xml:space="preserve">
Will need to add the abitlity to add manual spacing in inches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Miller, Cole</author>
  </authors>
  <commentList>
    <comment ref="AL317" authorId="0" shapeId="0" xr:uid="{CFE6BA56-7831-4931-8A13-75F7E1DDC193}">
      <text>
        <r>
          <rPr>
            <b/>
            <sz val="9"/>
            <color indexed="81"/>
            <rFont val="Tahoma"/>
            <family val="2"/>
          </rPr>
          <t>Miller, Cole:</t>
        </r>
        <r>
          <rPr>
            <sz val="9"/>
            <color indexed="81"/>
            <rFont val="Tahoma"/>
            <family val="2"/>
          </rPr>
          <t xml:space="preserve">
Need to update for correct bundled spacing check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Miller, Cole</author>
    <author>Steven J. Austin</author>
  </authors>
  <commentList>
    <comment ref="M14" authorId="0" shapeId="0" xr:uid="{F0DA5BC1-6153-4890-9393-BA820FB56B56}">
      <text>
        <r>
          <rPr>
            <b/>
            <sz val="9"/>
            <color indexed="81"/>
            <rFont val="Tahoma"/>
            <family val="2"/>
          </rPr>
          <t>Miller, Cole:</t>
        </r>
        <r>
          <rPr>
            <sz val="9"/>
            <color indexed="81"/>
            <rFont val="Tahoma"/>
            <family val="2"/>
          </rPr>
          <t xml:space="preserve">
added bar #14</t>
        </r>
      </text>
    </comment>
    <comment ref="W42" authorId="1" shapeId="0" xr:uid="{C83DC916-61DB-4973-81AD-C860484C9213}">
      <text>
        <r>
          <rPr>
            <sz val="8"/>
            <color indexed="81"/>
            <rFont val="Tahoma"/>
            <family val="2"/>
          </rPr>
          <t>Blank values will revert nodes to quarter points.</t>
        </r>
      </text>
    </comment>
    <comment ref="X42" authorId="1" shapeId="0" xr:uid="{D0E24311-D91E-492C-8CB6-D540D358195A}">
      <text>
        <r>
          <rPr>
            <sz val="8"/>
            <color indexed="81"/>
            <rFont val="Tahoma"/>
            <family val="2"/>
          </rPr>
          <t>Blank values will revert nodes to quarter points.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<sst xmlns="http://schemas.openxmlformats.org/spreadsheetml/2006/main" count="8688" uniqueCount="2088">
  <si>
    <t>Beam Type =</t>
  </si>
  <si>
    <t>IV</t>
  </si>
  <si>
    <t>#6</t>
  </si>
  <si>
    <t>#7</t>
  </si>
  <si>
    <t>Slab Thickness (in) =</t>
  </si>
  <si>
    <t>Haunch Height (in) =</t>
  </si>
  <si>
    <t>Cross Slope or Superelevation (%) =</t>
  </si>
  <si>
    <t>Bent Cap Length (ft) =</t>
  </si>
  <si>
    <t>fy (ksi) =</t>
  </si>
  <si>
    <t>Backward Span along PGL (ft) =</t>
  </si>
  <si>
    <t xml:space="preserve"> Forward Span along PGL (ft) =</t>
  </si>
  <si>
    <t>Right</t>
  </si>
  <si>
    <t>No</t>
  </si>
  <si>
    <t>#11</t>
  </si>
  <si>
    <t xml:space="preserve">Bar </t>
  </si>
  <si>
    <t>Diameter</t>
  </si>
  <si>
    <t>Area</t>
  </si>
  <si>
    <t>Ld</t>
  </si>
  <si>
    <t>#4</t>
  </si>
  <si>
    <t>#5</t>
  </si>
  <si>
    <t>#8</t>
  </si>
  <si>
    <t>#9</t>
  </si>
  <si>
    <t>#10</t>
  </si>
  <si>
    <t>W (in) =</t>
  </si>
  <si>
    <t>EVERY</t>
  </si>
  <si>
    <t>Unique Description</t>
  </si>
  <si>
    <t>General Bridge Geometry and Superstructure</t>
  </si>
  <si>
    <t>Complex Geometry =</t>
  </si>
  <si>
    <t>Future Wearing Surface Thickness (in) =</t>
  </si>
  <si>
    <t>Future Wearing Surface Weight (kcf) =</t>
  </si>
  <si>
    <t>Utilities (klf) =</t>
  </si>
  <si>
    <t>Brg Pad thickness (in) =</t>
  </si>
  <si>
    <t>Pedestal Build-up height (average) (in) =</t>
  </si>
  <si>
    <t>C</t>
  </si>
  <si>
    <t>Back Span</t>
  </si>
  <si>
    <t>Forward Span</t>
  </si>
  <si>
    <t>Span Geometry</t>
  </si>
  <si>
    <t>Roadway Curve Radius (PGL) (ft) =</t>
  </si>
  <si>
    <t>Back Span - Slab Overhang at O.S. bm &amp; C.L. of Bent (left) (ft) =</t>
  </si>
  <si>
    <t>Back Span - Slab Overhang at O.S. bm &amp; C.L. of Bent (right) (ft) =</t>
  </si>
  <si>
    <t>Fwd Span - Slab Overhang at O.S. bm &amp; C.L. of Bent (left) (ft) =</t>
  </si>
  <si>
    <t>Fwd Span - Slab Overhang at O.S. bm &amp; C.L. of Bent (right) (ft) =</t>
  </si>
  <si>
    <t>Is super-elevation provided? =</t>
  </si>
  <si>
    <t>Yes</t>
  </si>
  <si>
    <t>Design Speed =</t>
  </si>
  <si>
    <t>Left Rail =</t>
  </si>
  <si>
    <t>Right Rail =</t>
  </si>
  <si>
    <t>Other Rails =</t>
  </si>
  <si>
    <t>T551</t>
  </si>
  <si>
    <t>FOR SHEAR CALCULATIONS</t>
  </si>
  <si>
    <t>Girders</t>
  </si>
  <si>
    <t>Rails</t>
  </si>
  <si>
    <t>Reinforcing Bars</t>
  </si>
  <si>
    <r>
      <t>q</t>
    </r>
    <r>
      <rPr>
        <b/>
        <sz val="9"/>
        <rFont val="Tahoma"/>
        <family val="2"/>
      </rPr>
      <t xml:space="preserve"> - VALUES FROM TABLE B5.2-1</t>
    </r>
  </si>
  <si>
    <t>Type</t>
  </si>
  <si>
    <t>Depth (in)</t>
  </si>
  <si>
    <t>Wt (plf)</t>
  </si>
  <si>
    <t>Brg Seat Width</t>
  </si>
  <si>
    <t>Bot Flange</t>
  </si>
  <si>
    <t>Dist from end of bm to face of inv-tee or CL bent</t>
  </si>
  <si>
    <t>Dist to nom face of rail (ft)</t>
  </si>
  <si>
    <t>Height (in)</t>
  </si>
  <si>
    <t>v/f'c</t>
  </si>
  <si>
    <t>A</t>
  </si>
  <si>
    <t>None</t>
  </si>
  <si>
    <t>B</t>
  </si>
  <si>
    <t>SSCB</t>
  </si>
  <si>
    <t>T1F</t>
  </si>
  <si>
    <t>T1W</t>
  </si>
  <si>
    <t>Based on 80' Span</t>
  </si>
  <si>
    <t>U-40</t>
  </si>
  <si>
    <t>T1P</t>
  </si>
  <si>
    <t>Based on 100' Span</t>
  </si>
  <si>
    <t>U-54</t>
  </si>
  <si>
    <t>T2P</t>
  </si>
  <si>
    <r>
      <t>e</t>
    </r>
    <r>
      <rPr>
        <b/>
        <sz val="9"/>
        <rFont val="Tahoma"/>
        <family val="2"/>
      </rPr>
      <t>x</t>
    </r>
  </si>
  <si>
    <t>Tx28</t>
  </si>
  <si>
    <t>T221</t>
  </si>
  <si>
    <t>Tx34</t>
  </si>
  <si>
    <t>T222</t>
  </si>
  <si>
    <t>Tx40</t>
  </si>
  <si>
    <t>T223</t>
  </si>
  <si>
    <t>Tx46</t>
  </si>
  <si>
    <t>T224</t>
  </si>
  <si>
    <t>assumed λrc =</t>
  </si>
  <si>
    <t>Tx54</t>
  </si>
  <si>
    <t>Tx62</t>
  </si>
  <si>
    <t>Col/Bm Numbers</t>
  </si>
  <si>
    <t>Cap Types</t>
  </si>
  <si>
    <t>Tx70</t>
  </si>
  <si>
    <t>T411</t>
  </si>
  <si>
    <t>Rectangular</t>
  </si>
  <si>
    <t>-</t>
  </si>
  <si>
    <t>Tee</t>
  </si>
  <si>
    <t>T552</t>
  </si>
  <si>
    <t>Inverted-Tee</t>
  </si>
  <si>
    <r>
      <t>b</t>
    </r>
    <r>
      <rPr>
        <b/>
        <sz val="9"/>
        <rFont val="Tahoma"/>
        <family val="2"/>
      </rPr>
      <t xml:space="preserve"> - VALUES FROM TABLE B5.2-1</t>
    </r>
  </si>
  <si>
    <t>T631</t>
  </si>
  <si>
    <t>T631LS</t>
  </si>
  <si>
    <t>T66</t>
  </si>
  <si>
    <t>T77</t>
  </si>
  <si>
    <t>SSTR</t>
  </si>
  <si>
    <t>CurveDirections</t>
  </si>
  <si>
    <t>T80HT</t>
  </si>
  <si>
    <t>Left</t>
  </si>
  <si>
    <t>T80SS</t>
  </si>
  <si>
    <t>C1W</t>
  </si>
  <si>
    <t>C2P</t>
  </si>
  <si>
    <t>C221</t>
  </si>
  <si>
    <t>C223</t>
  </si>
  <si>
    <t>C402</t>
  </si>
  <si>
    <t>C411</t>
  </si>
  <si>
    <t>C412</t>
  </si>
  <si>
    <t>C66</t>
  </si>
  <si>
    <t>PR1/PR11</t>
  </si>
  <si>
    <t>PR2</t>
  </si>
  <si>
    <t>PR22</t>
  </si>
  <si>
    <t>PR3</t>
  </si>
  <si>
    <t>T101</t>
  </si>
  <si>
    <t>T203</t>
  </si>
  <si>
    <t>Aesthetic Column Properties</t>
  </si>
  <si>
    <t>T501</t>
  </si>
  <si>
    <t>Nominal Size</t>
  </si>
  <si>
    <t>Nominal Trans. Width (in)</t>
  </si>
  <si>
    <t>Nominal Long. Width (in)</t>
  </si>
  <si>
    <t>Trans. Width (For Wind Loads) (in)</t>
  </si>
  <si>
    <t>Longit. Width (For Wind Loads) (in)</t>
  </si>
  <si>
    <t>Effective Capital Width (in)</t>
  </si>
  <si>
    <t>Capital Weight (kips)</t>
  </si>
  <si>
    <r>
      <t>Area (in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</t>
    </r>
  </si>
  <si>
    <r>
      <t>Transverse I</t>
    </r>
    <r>
      <rPr>
        <vertAlign val="subscript"/>
        <sz val="9"/>
        <rFont val="Arial"/>
        <family val="2"/>
      </rPr>
      <t>g</t>
    </r>
    <r>
      <rPr>
        <sz val="9"/>
        <rFont val="Arial"/>
        <family val="2"/>
      </rPr>
      <t xml:space="preserve"> (in</t>
    </r>
    <r>
      <rPr>
        <vertAlign val="superscript"/>
        <sz val="9"/>
        <rFont val="Arial"/>
        <family val="2"/>
      </rPr>
      <t>4</t>
    </r>
    <r>
      <rPr>
        <sz val="9"/>
        <rFont val="Arial"/>
        <family val="2"/>
      </rPr>
      <t>)</t>
    </r>
  </si>
  <si>
    <r>
      <t>Longitudinal
 I</t>
    </r>
    <r>
      <rPr>
        <vertAlign val="subscript"/>
        <sz val="9"/>
        <rFont val="Arial"/>
        <family val="2"/>
      </rPr>
      <t>g</t>
    </r>
    <r>
      <rPr>
        <sz val="9"/>
        <rFont val="Arial"/>
        <family val="2"/>
      </rPr>
      <t xml:space="preserve"> (in</t>
    </r>
    <r>
      <rPr>
        <vertAlign val="superscript"/>
        <sz val="9"/>
        <rFont val="Arial"/>
        <family val="2"/>
      </rPr>
      <t>4</t>
    </r>
    <r>
      <rPr>
        <sz val="9"/>
        <rFont val="Arial"/>
        <family val="2"/>
      </rPr>
      <t>)</t>
    </r>
  </si>
  <si>
    <t>Trans. Dist. CL Col to Column nodes (ft)</t>
  </si>
  <si>
    <t>Long. Dist. CL Col to Column nodes (ft)</t>
  </si>
  <si>
    <t>T502</t>
  </si>
  <si>
    <t>T503</t>
  </si>
  <si>
    <t>T504</t>
  </si>
  <si>
    <t>T6</t>
  </si>
  <si>
    <t>HT</t>
  </si>
  <si>
    <t>C203</t>
  </si>
  <si>
    <t>C501</t>
  </si>
  <si>
    <t>C502</t>
  </si>
  <si>
    <t>B3</t>
  </si>
  <si>
    <t>SSR</t>
  </si>
  <si>
    <t>Sample Entry:</t>
  </si>
  <si>
    <t>SWPkwy_5'x5'</t>
  </si>
  <si>
    <t>SWPkwy_5'x11'-6"</t>
  </si>
  <si>
    <t>Notes:</t>
  </si>
  <si>
    <t>SWPkwy Capitals based on Cap Depth and 2:1 slope</t>
  </si>
  <si>
    <t>Sidewalks</t>
  </si>
  <si>
    <t>Width (ft) =</t>
  </si>
  <si>
    <t>Density (kcf) =</t>
  </si>
  <si>
    <t>Thickness (ft) =</t>
  </si>
  <si>
    <t>Bent Cap Section Properties</t>
  </si>
  <si>
    <t>Reinf Conc Unit Wt. (pcf) =</t>
  </si>
  <si>
    <t>f'c (ksi) =</t>
  </si>
  <si>
    <t>Exposure Condition=</t>
  </si>
  <si>
    <t>Offset to leveling Pad (in) =</t>
  </si>
  <si>
    <t>Cap Type =</t>
  </si>
  <si>
    <t>CL Bent to CL Brg (⊥ bent) (in) =</t>
  </si>
  <si>
    <t>Overall Cap Depth (in) =</t>
  </si>
  <si>
    <t>Flexural Top-Neg. Reinf.</t>
  </si>
  <si>
    <t>Size =</t>
  </si>
  <si>
    <t>Dist. Between rows (in) =</t>
  </si>
  <si>
    <t>1st Row =</t>
  </si>
  <si>
    <t>2nd Row =</t>
  </si>
  <si>
    <t>3rd Row =</t>
  </si>
  <si>
    <t>Flexural Bot-Pos. Reinf.</t>
  </si>
  <si>
    <t>Shear Reinf.</t>
  </si>
  <si>
    <t>Skin/Temp Reinf.</t>
  </si>
  <si>
    <t>Main Cap Stirrups =</t>
  </si>
  <si>
    <t>Main Cap Stirrup Size =</t>
  </si>
  <si>
    <t>No. of Bars per face =</t>
  </si>
  <si>
    <t>Column Type =</t>
  </si>
  <si>
    <t>Spacing along Lft Cap End to Col 1 (ft) =</t>
  </si>
  <si>
    <t>Number of Columns =</t>
  </si>
  <si>
    <t>Beam Girder Spacing - Back Span</t>
  </si>
  <si>
    <t>Beam Spacing from Edge of Slab to Bm 1 (ft) =</t>
  </si>
  <si>
    <t>Beam Spacing from Bm 1 to Bm 2 (ft) =</t>
  </si>
  <si>
    <t>Beam Girder Spacing - Fwd Span</t>
  </si>
  <si>
    <t>Number of Back Span Beams =</t>
  </si>
  <si>
    <t>Number of Forward Span Beams =</t>
  </si>
  <si>
    <t>Bent Number</t>
  </si>
  <si>
    <t>Back Span Design Width (ft) =</t>
  </si>
  <si>
    <t>Forward Span Design Width (ft) =</t>
  </si>
  <si>
    <t>Segment Length Back/Forward Edge (ft) =</t>
  </si>
  <si>
    <t>Breakbacks? =</t>
  </si>
  <si>
    <t>Skew Angle =</t>
  </si>
  <si>
    <t>Column/Support Section Properties and Spacing</t>
  </si>
  <si>
    <t>Distance to Station Line (ft) =</t>
  </si>
  <si>
    <t>Distance to Beam #3 (ft) =</t>
  </si>
  <si>
    <t>Beam 3 (ft) =</t>
  </si>
  <si>
    <t>Beam 4 (ft) =</t>
  </si>
  <si>
    <t>Beam 5 (ft) =</t>
  </si>
  <si>
    <t>Beam 6 (ft) =</t>
  </si>
  <si>
    <t>Beam 7 (ft) =</t>
  </si>
  <si>
    <t>Beam 8 (ft) =</t>
  </si>
  <si>
    <t>Beam 9 (ft) =</t>
  </si>
  <si>
    <t>Beam 10 (ft) =</t>
  </si>
  <si>
    <t>Beam 11 (ft) =</t>
  </si>
  <si>
    <t>Beam 12 (ft) =</t>
  </si>
  <si>
    <t>Beam 13 (ft) =</t>
  </si>
  <si>
    <t>Beam 14 (ft) =</t>
  </si>
  <si>
    <t>Beam 15 (ft) =</t>
  </si>
  <si>
    <t>Beam 16 (ft) =</t>
  </si>
  <si>
    <t>Beam 17 (ft) =</t>
  </si>
  <si>
    <t>Beam 18 (ft) =</t>
  </si>
  <si>
    <t>Beam 19 (ft) =</t>
  </si>
  <si>
    <t>Beam 20 (ft) =</t>
  </si>
  <si>
    <t>Complex Geometry</t>
  </si>
  <si>
    <t>Forward Span - Beam Distance</t>
  </si>
  <si>
    <t>Backward Span - Beam Distance</t>
  </si>
  <si>
    <t>Overall Deck Width (ft) = or Equivalent Slab Width at Centerline Bent (ft) =</t>
  </si>
  <si>
    <t>Distance from PGL to Left Edge of Slab (Non Complex Geometry) (ft) =</t>
  </si>
  <si>
    <t>Design Bent Skew (Rt Fwd is Positive) (Non Complex Geometry) (°) =</t>
  </si>
  <si>
    <t>Bk Bent Skew (Rt Fwd is Positive) (Non Complex Geometry) (°) =</t>
  </si>
  <si>
    <t>Fwd Bent Skew (Rt Fwd is Positive) (Non Complex Geometry) (°) =</t>
  </si>
  <si>
    <t>Ledge Depth (Inv T) (in), Top Fl Depth (Tee) (in), NA (Rectangular) =</t>
  </si>
  <si>
    <t>Total Cap Width @ bot (Inv T) (in) , Top Flange Width (Tee) (in), NA (Rectangular) =</t>
  </si>
  <si>
    <t>Stem Width (Inv T or Tee) or Cap Width (Rectangular) (in) =</t>
  </si>
  <si>
    <t>Earwall Width - Left (Inv T) (ft) =</t>
  </si>
  <si>
    <t>Earwall Width - Right (Inv T) (ft) =</t>
  </si>
  <si>
    <t>Earwall X-Sect. Area (Inv T) (sf) =</t>
  </si>
  <si>
    <t>Transverse Width (┴ to Rdwy) (Rect) (in) or Diameter (Circular) (in) =</t>
  </si>
  <si>
    <t>Longitudinal Width (║ to Rdwy) (Inv T) (in) =</t>
  </si>
  <si>
    <t>Effective Capital Width or Radius (0 if no capital) (in) =</t>
  </si>
  <si>
    <t>Capital Weight (0 if no capital) (kips) =</t>
  </si>
  <si>
    <t>Spacing from Col 1 to Col 2 (ft) =</t>
  </si>
  <si>
    <t>Spacing from Col 2 to Col 3 (ft) =</t>
  </si>
  <si>
    <t>Spacing from Col 3 to Col 4 (ft) =</t>
  </si>
  <si>
    <t>Spacing from Col 4 to Col 5 (ft) =</t>
  </si>
  <si>
    <t>Spacing from Col 5 to Col 6 (ft) =</t>
  </si>
  <si>
    <t>Spacing from Col 6 to Col 7 (ft) =</t>
  </si>
  <si>
    <t>Spacing from Col 7 to Col 8 (ft) =</t>
  </si>
  <si>
    <t>Spacing from Col 8 to Col 9 (ft) =</t>
  </si>
  <si>
    <t>Spacing from Col 9 to Col 10 (ft) =</t>
  </si>
  <si>
    <t>Beam Spacing from Bm 2 to Bm 3 (ft) =</t>
  </si>
  <si>
    <t>Beam Spacing from Bm 3 to Bm 4 (ft) =</t>
  </si>
  <si>
    <t>Beam Spacing from Bm 4 to Bm 5 (ft) =</t>
  </si>
  <si>
    <t>Beam Spacing from Bm 5 to Bm 6 (ft) =</t>
  </si>
  <si>
    <t>Beam Spacing from Bm 6 to Bm 7 (ft) =</t>
  </si>
  <si>
    <t>Beam Spacing from Bm 7 to Bm 8 (ft) =</t>
  </si>
  <si>
    <t>Beam Spacing from Bm 8 to Bm 9 (ft) =</t>
  </si>
  <si>
    <t>Beam Spacing from Bm 9 to Bm 10 (ft) =</t>
  </si>
  <si>
    <t>Beam Spacing from Bm 10 to Bm 11 (ft) =</t>
  </si>
  <si>
    <t>Beam Spacing from Bm 11 to Bm 12 (ft) =</t>
  </si>
  <si>
    <t>Beam Spacing from Bm 12 to Bm 13 (ft) =</t>
  </si>
  <si>
    <t>Beam Spacing from Bm 13 to Bm 14 (ft) =</t>
  </si>
  <si>
    <t>Beam Spacing from Bm 14 to Bm 15 (ft) =</t>
  </si>
  <si>
    <t>Beam Spacing from Bm 15 to Bm 16 (ft) =</t>
  </si>
  <si>
    <t>Beam Spacing from Bm 16 to Bm 17 (ft) =</t>
  </si>
  <si>
    <t>Beam Spacing from Bm 17 to Bm 18 (ft) =</t>
  </si>
  <si>
    <t>Beam Spacing from Bm 18 to Bm 19 (ft) =</t>
  </si>
  <si>
    <t>Beam Spacing from Bm 19 to Bm 20 (ft) =</t>
  </si>
  <si>
    <t>Distance to Beam #6 (ft) =</t>
  </si>
  <si>
    <t>Distance to Beam #7 (ft) =</t>
  </si>
  <si>
    <t>Distance to Beam #8 (ft) =</t>
  </si>
  <si>
    <t>Distance to Beam #9 (ft) =</t>
  </si>
  <si>
    <t>Distance to Beam #10 (ft) =</t>
  </si>
  <si>
    <t>Distance to Beam #11 (ft) =</t>
  </si>
  <si>
    <t>Distance to Beam #12 (ft) =</t>
  </si>
  <si>
    <t>Distance to Beam #13 (ft) =</t>
  </si>
  <si>
    <t>Distance to Beam #14 (ft) =</t>
  </si>
  <si>
    <t>Distance to Beam #15 (ft) =</t>
  </si>
  <si>
    <t>Distance to Beam #16 (ft) =</t>
  </si>
  <si>
    <t>Distance to Beam #17 (ft) =</t>
  </si>
  <si>
    <t>Distance to Beam #18 (ft) =</t>
  </si>
  <si>
    <t>Distance to Beam #19 (ft) =</t>
  </si>
  <si>
    <t>Distance to Beam #20 (ft) =</t>
  </si>
  <si>
    <t>Distance to Beam #4 (ft) =</t>
  </si>
  <si>
    <t>Distance to Beam #5 (ft) =</t>
  </si>
  <si>
    <t>Distribute Other Rail to Beams From (Bk Span) =</t>
  </si>
  <si>
    <t>Distribute Other Rail to Beams to (Bk Span) =</t>
  </si>
  <si>
    <t>Distribute Other Rail to Beams From (Fwd Span) =</t>
  </si>
  <si>
    <t>Distribute Other Rail to Beams to (Fwd Span) =</t>
  </si>
  <si>
    <t>Distribute Sidewalk to Beams From (Bk Span) =</t>
  </si>
  <si>
    <t>Distribute Sidewalk to Beams to (Bk Span) =</t>
  </si>
  <si>
    <t>Distribute Sidewalk to Beams From (Fwd Span) =</t>
  </si>
  <si>
    <t>Distribute Sidewalk to Beams to (Fwd Span) =</t>
  </si>
  <si>
    <t>Fwd Dist. from CL bm 1 to end of cap (along CL bent) (ft) =</t>
  </si>
  <si>
    <t>Back Dist. from CL bm 1 to end of cap (along CL bent) (ft) =</t>
  </si>
  <si>
    <t>Column "H2" Height (ft) =</t>
  </si>
  <si>
    <t>Column "H1" Height (ft) =</t>
  </si>
  <si>
    <t>Arow1</t>
  </si>
  <si>
    <t>Bent Search'!$G$64</t>
  </si>
  <si>
    <t>Arow2</t>
  </si>
  <si>
    <t>Bent Search'!$G$65</t>
  </si>
  <si>
    <t>Arow3</t>
  </si>
  <si>
    <t>Bent Search'!$G$66</t>
  </si>
  <si>
    <t>BackBentSkew</t>
  </si>
  <si>
    <t>Bent Search'!$G$51</t>
  </si>
  <si>
    <t>BarS</t>
  </si>
  <si>
    <t>Bent Search'!$G$73</t>
  </si>
  <si>
    <t>BarsA</t>
  </si>
  <si>
    <t>Bent Search'!$G$62</t>
  </si>
  <si>
    <t>BarsAdist</t>
  </si>
  <si>
    <t>Bent Search'!$G$63</t>
  </si>
  <si>
    <t>BarSArrange</t>
  </si>
  <si>
    <t>Bent Search'!$G$72</t>
  </si>
  <si>
    <t>BarsB</t>
  </si>
  <si>
    <t>Bent Search'!$G$67</t>
  </si>
  <si>
    <t>BarsBdist</t>
  </si>
  <si>
    <t>Bent Search'!$G$68</t>
  </si>
  <si>
    <t>BarsH</t>
  </si>
  <si>
    <t>Bent Search'!$G$74</t>
  </si>
  <si>
    <t>BBSPA1</t>
  </si>
  <si>
    <t>Bent Search'!$G$95</t>
  </si>
  <si>
    <t>BBSPA10</t>
  </si>
  <si>
    <t>Bent Search'!$G$104</t>
  </si>
  <si>
    <t>BBSPA11</t>
  </si>
  <si>
    <t>Bent Search'!$G$105</t>
  </si>
  <si>
    <t>BBSPA12</t>
  </si>
  <si>
    <t>Bent Search'!$G$106</t>
  </si>
  <si>
    <t>BBSPA13</t>
  </si>
  <si>
    <t>Bent Search'!$G$107</t>
  </si>
  <si>
    <t>BBSPA14</t>
  </si>
  <si>
    <t>Bent Search'!$G$108</t>
  </si>
  <si>
    <t>BBSPA15</t>
  </si>
  <si>
    <t>Bent Search'!$G$109</t>
  </si>
  <si>
    <t>BBSPA16</t>
  </si>
  <si>
    <t>Bent Search'!$G$110</t>
  </si>
  <si>
    <t>BBSPA17</t>
  </si>
  <si>
    <t>Bent Search'!$G$111</t>
  </si>
  <si>
    <t>BBSPA18</t>
  </si>
  <si>
    <t>Bent Search'!$G$112</t>
  </si>
  <si>
    <t>BBSPA19</t>
  </si>
  <si>
    <t>Bent Search'!$G$113</t>
  </si>
  <si>
    <t>BBSPA2</t>
  </si>
  <si>
    <t>Bent Search'!$G$96</t>
  </si>
  <si>
    <t>BBSPA20</t>
  </si>
  <si>
    <t>Bent Search'!$G$114</t>
  </si>
  <si>
    <t>BBSPA3</t>
  </si>
  <si>
    <t>Bent Search'!$G$97</t>
  </si>
  <si>
    <t>BBSPA4</t>
  </si>
  <si>
    <t>Bent Search'!$G$98</t>
  </si>
  <si>
    <t>BBSPA5</t>
  </si>
  <si>
    <t>Bent Search'!$G$99</t>
  </si>
  <si>
    <t>BBSPA6</t>
  </si>
  <si>
    <t>Bent Search'!$G$100</t>
  </si>
  <si>
    <t>BBSPA7</t>
  </si>
  <si>
    <t>Bent Search'!$G$101</t>
  </si>
  <si>
    <t>BBSPA8</t>
  </si>
  <si>
    <t>Bent Search'!$G$102</t>
  </si>
  <si>
    <t>BBSPA9</t>
  </si>
  <si>
    <t>Bent Search'!$G$103</t>
  </si>
  <si>
    <t>BearingDist</t>
  </si>
  <si>
    <t>Bent Search'!$G$56</t>
  </si>
  <si>
    <t>BentSkew</t>
  </si>
  <si>
    <t>Bent Search'!$G$47</t>
  </si>
  <si>
    <t>BkBm1toCapEnd</t>
  </si>
  <si>
    <t>Bent Search'!$G$49</t>
  </si>
  <si>
    <t>BkBms</t>
  </si>
  <si>
    <t>Bent Search'!$G$94</t>
  </si>
  <si>
    <t>bkbrgpad</t>
  </si>
  <si>
    <t>Bent Search'!$G$13</t>
  </si>
  <si>
    <t>bkspangirder</t>
  </si>
  <si>
    <t>Bent Search'!$G$11</t>
  </si>
  <si>
    <t>bkspanhaunch</t>
  </si>
  <si>
    <t>Bent Search'!$G$12</t>
  </si>
  <si>
    <t>bkspanpgl</t>
  </si>
  <si>
    <t>Bent Search'!$G$26</t>
  </si>
  <si>
    <t>Bm1toCapEnd</t>
  </si>
  <si>
    <t>Bent Search'!$G$50</t>
  </si>
  <si>
    <t>Breakbacks</t>
  </si>
  <si>
    <t>Bent Search'!$G$139</t>
  </si>
  <si>
    <t>Brow1</t>
  </si>
  <si>
    <t>Bent Search'!$G$69</t>
  </si>
  <si>
    <t>Brow2</t>
  </si>
  <si>
    <t>Bent Search'!$G$70</t>
  </si>
  <si>
    <t>Brow3</t>
  </si>
  <si>
    <t>Bent Search'!$G$71</t>
  </si>
  <si>
    <t>capdensity</t>
  </si>
  <si>
    <t>Bent Search'!$G$43</t>
  </si>
  <si>
    <t>capheight</t>
  </si>
  <si>
    <t>Bent Search'!$G$57</t>
  </si>
  <si>
    <t>CapitalWeight</t>
  </si>
  <si>
    <t>Bent Search'!$G$81</t>
  </si>
  <si>
    <t>CapitalWidth</t>
  </si>
  <si>
    <t>Bent Search'!$G$80</t>
  </si>
  <si>
    <t>CapLedgeDepth</t>
  </si>
  <si>
    <t>Bent Search'!$G$54</t>
  </si>
  <si>
    <t>caplength</t>
  </si>
  <si>
    <t>Bent Search'!$G$48</t>
  </si>
  <si>
    <t>capstemWidth</t>
  </si>
  <si>
    <t>Bent Search'!$G$58</t>
  </si>
  <si>
    <t>CapType</t>
  </si>
  <si>
    <t>Bent Search'!$G$42</t>
  </si>
  <si>
    <t>Cmplx_Bk_CCBm1</t>
  </si>
  <si>
    <t>Bent Search'!$G$162</t>
  </si>
  <si>
    <t>Cmplx_Bk_CCBm10</t>
  </si>
  <si>
    <t>Bent Search'!$G$171</t>
  </si>
  <si>
    <t>Cmplx_Bk_CCBm11</t>
  </si>
  <si>
    <t>Bent Search'!$G$172</t>
  </si>
  <si>
    <t>Cmplx_Bk_CCBm12</t>
  </si>
  <si>
    <t>Bent Search'!$G$173</t>
  </si>
  <si>
    <t>Cmplx_Bk_CCBm13</t>
  </si>
  <si>
    <t>Bent Search'!$G$174</t>
  </si>
  <si>
    <t>Cmplx_Bk_CCBm14</t>
  </si>
  <si>
    <t>Bent Search'!$G$175</t>
  </si>
  <si>
    <t>Cmplx_Bk_CCBm15</t>
  </si>
  <si>
    <t>Bent Search'!$G$176</t>
  </si>
  <si>
    <t>Cmplx_Bk_CCBm16</t>
  </si>
  <si>
    <t>Bent Search'!$G$177</t>
  </si>
  <si>
    <t>Cmplx_Bk_CCBm17</t>
  </si>
  <si>
    <t>Bent Search'!$G$178</t>
  </si>
  <si>
    <t>Cmplx_Bk_CCBm18</t>
  </si>
  <si>
    <t>Bent Search'!$G$179</t>
  </si>
  <si>
    <t>Cmplx_Bk_CCBm19</t>
  </si>
  <si>
    <t>Bent Search'!$G$180</t>
  </si>
  <si>
    <t>Cmplx_Bk_CCBm2</t>
  </si>
  <si>
    <t>Bent Search'!$G$163</t>
  </si>
  <si>
    <t>Cmplx_Bk_CCBm20</t>
  </si>
  <si>
    <t>Bent Search'!$G$181</t>
  </si>
  <si>
    <t>Cmplx_Bk_CCBm3</t>
  </si>
  <si>
    <t>Bent Search'!$G$164</t>
  </si>
  <si>
    <t>Cmplx_Bk_CCBm4</t>
  </si>
  <si>
    <t>Bent Search'!$G$165</t>
  </si>
  <si>
    <t>Cmplx_Bk_CCBm5</t>
  </si>
  <si>
    <t>Bent Search'!$G$166</t>
  </si>
  <si>
    <t>Cmplx_Bk_CCBm6</t>
  </si>
  <si>
    <t>Bent Search'!$G$167</t>
  </si>
  <si>
    <t>Cmplx_Bk_CCBm7</t>
  </si>
  <si>
    <t>Bent Search'!$G$168</t>
  </si>
  <si>
    <t>Cmplx_Bk_CCBm8</t>
  </si>
  <si>
    <t>Bent Search'!$G$169</t>
  </si>
  <si>
    <t>Cmplx_Bk_CCBm9</t>
  </si>
  <si>
    <t>Bent Search'!$G$170</t>
  </si>
  <si>
    <t>Cmplx_Bk_PGLBm1</t>
  </si>
  <si>
    <t>Bent Search'!$G$142</t>
  </si>
  <si>
    <t>Cmplx_Bk_PGLBm10</t>
  </si>
  <si>
    <t>Bent Search'!$G$151</t>
  </si>
  <si>
    <t>Cmplx_Bk_PGLBm11</t>
  </si>
  <si>
    <t>Bent Search'!$G$152</t>
  </si>
  <si>
    <t>Cmplx_Bk_PGLBm12</t>
  </si>
  <si>
    <t>Bent Search'!$G$153</t>
  </si>
  <si>
    <t>Cmplx_Bk_PGLBm13</t>
  </si>
  <si>
    <t>Bent Search'!$G$154</t>
  </si>
  <si>
    <t>Cmplx_Bk_PGLBm14</t>
  </si>
  <si>
    <t>Bent Search'!$G$155</t>
  </si>
  <si>
    <t>Cmplx_Bk_PGLBm15</t>
  </si>
  <si>
    <t>Bent Search'!$G$156</t>
  </si>
  <si>
    <t>Cmplx_Bk_PGLBm16</t>
  </si>
  <si>
    <t>Bent Search'!$G$157</t>
  </si>
  <si>
    <t>Cmplx_Bk_PGLBm17</t>
  </si>
  <si>
    <t>Bent Search'!$G$158</t>
  </si>
  <si>
    <t>Cmplx_Bk_PGLBm18</t>
  </si>
  <si>
    <t>Bent Search'!$G$159</t>
  </si>
  <si>
    <t>Cmplx_Bk_PGLBm19</t>
  </si>
  <si>
    <t>Bent Search'!$G$160</t>
  </si>
  <si>
    <t>Cmplx_Bk_PGLBm2</t>
  </si>
  <si>
    <t>Bent Search'!$G$143</t>
  </si>
  <si>
    <t>Cmplx_Bk_PGLBm20</t>
  </si>
  <si>
    <t>Bent Search'!$G$161</t>
  </si>
  <si>
    <t>Cmplx_Bk_PGLBm3</t>
  </si>
  <si>
    <t>Bent Search'!$G$144</t>
  </si>
  <si>
    <t>Cmplx_Bk_PGLBm4</t>
  </si>
  <si>
    <t>Bent Search'!$G$145</t>
  </si>
  <si>
    <t>Cmplx_Bk_PGLBm5</t>
  </si>
  <si>
    <t>Bent Search'!$G$146</t>
  </si>
  <si>
    <t>Cmplx_Bk_PGLBm6</t>
  </si>
  <si>
    <t>Bent Search'!$G$147</t>
  </si>
  <si>
    <t>Cmplx_Bk_PGLBm7</t>
  </si>
  <si>
    <t>Bent Search'!$G$148</t>
  </si>
  <si>
    <t>Cmplx_Bk_PGLBm8</t>
  </si>
  <si>
    <t>Bent Search'!$G$149</t>
  </si>
  <si>
    <t>Cmplx_Bk_PGLBm9</t>
  </si>
  <si>
    <t>Bent Search'!$G$150</t>
  </si>
  <si>
    <t>Cmplx_Bk_Width</t>
  </si>
  <si>
    <t>Bent Search'!$G$136</t>
  </si>
  <si>
    <t>Cmplx_Fd_CCBm1</t>
  </si>
  <si>
    <t>Bent Search'!$G$202</t>
  </si>
  <si>
    <t>Cmplx_Fd_CCBm10</t>
  </si>
  <si>
    <t>Bent Search'!$G$211</t>
  </si>
  <si>
    <t>Cmplx_Fd_CCBm11</t>
  </si>
  <si>
    <t>Bent Search'!$G$212</t>
  </si>
  <si>
    <t>Cmplx_Fd_CCBm12</t>
  </si>
  <si>
    <t>Bent Search'!$G$213</t>
  </si>
  <si>
    <t>Cmplx_Fd_CCBm13</t>
  </si>
  <si>
    <t>Bent Search'!$G$214</t>
  </si>
  <si>
    <t>Cmplx_Fd_CCBm14</t>
  </si>
  <si>
    <t>Bent Search'!$G$215</t>
  </si>
  <si>
    <t>Cmplx_Fd_CCBm15</t>
  </si>
  <si>
    <t>Bent Search'!$G$216</t>
  </si>
  <si>
    <t>Cmplx_Fd_CCBm16</t>
  </si>
  <si>
    <t>Bent Search'!$G$217</t>
  </si>
  <si>
    <t>Cmplx_Fd_CCBm17</t>
  </si>
  <si>
    <t>Bent Search'!$G$218</t>
  </si>
  <si>
    <t>Cmplx_Fd_CCBm18</t>
  </si>
  <si>
    <t>Bent Search'!$G$219</t>
  </si>
  <si>
    <t>Cmplx_Fd_CCBm19</t>
  </si>
  <si>
    <t>Bent Search'!$G$220</t>
  </si>
  <si>
    <t>Cmplx_Fd_CCBm2</t>
  </si>
  <si>
    <t>Bent Search'!$G$203</t>
  </si>
  <si>
    <t>Cmplx_Fd_CCBm20</t>
  </si>
  <si>
    <t>Bent Search'!$G$221</t>
  </si>
  <si>
    <t>Cmplx_Fd_CCBm3</t>
  </si>
  <si>
    <t>Bent Search'!$G$204</t>
  </si>
  <si>
    <t>Cmplx_Fd_CCBm4</t>
  </si>
  <si>
    <t>Bent Search'!$G$205</t>
  </si>
  <si>
    <t>Cmplx_Fd_CCBm5</t>
  </si>
  <si>
    <t>Bent Search'!$G$206</t>
  </si>
  <si>
    <t>Cmplx_Fd_CCBm6</t>
  </si>
  <si>
    <t>Bent Search'!$G$207</t>
  </si>
  <si>
    <t>Cmplx_Fd_CCBm7</t>
  </si>
  <si>
    <t>Bent Search'!$G$208</t>
  </si>
  <si>
    <t>Cmplx_Fd_CCBm8</t>
  </si>
  <si>
    <t>Bent Search'!$G$209</t>
  </si>
  <si>
    <t>Cmplx_Fd_CCBm9</t>
  </si>
  <si>
    <t>Bent Search'!$G$210</t>
  </si>
  <si>
    <t>Cmplx_Fd_PGLBm1</t>
  </si>
  <si>
    <t>Bent Search'!$G$182</t>
  </si>
  <si>
    <t>Cmplx_Fd_PGLBm10</t>
  </si>
  <si>
    <t>Bent Search'!$G$191</t>
  </si>
  <si>
    <t>Cmplx_Fd_PGLBm11</t>
  </si>
  <si>
    <t>Bent Search'!$G$192</t>
  </si>
  <si>
    <t>Cmplx_Fd_PGLBm12</t>
  </si>
  <si>
    <t>Bent Search'!$G$193</t>
  </si>
  <si>
    <t>Cmplx_Fd_PGLBm13</t>
  </si>
  <si>
    <t>Bent Search'!$G$194</t>
  </si>
  <si>
    <t>Cmplx_Fd_PGLBm14</t>
  </si>
  <si>
    <t>Bent Search'!$G$195</t>
  </si>
  <si>
    <t>Cmplx_Fd_PGLBm15</t>
  </si>
  <si>
    <t>Bent Search'!$G$196</t>
  </si>
  <si>
    <t>Cmplx_Fd_PGLBm16</t>
  </si>
  <si>
    <t>Bent Search'!$G$197</t>
  </si>
  <si>
    <t>Cmplx_Fd_PGLBm17</t>
  </si>
  <si>
    <t>Bent Search'!$G$198</t>
  </si>
  <si>
    <t>Cmplx_Fd_PGLBm18</t>
  </si>
  <si>
    <t>Bent Search'!$G$199</t>
  </si>
  <si>
    <t>Cmplx_Fd_PGLBm19</t>
  </si>
  <si>
    <t>Bent Search'!$G$200</t>
  </si>
  <si>
    <t>Cmplx_Fd_PGLBm2</t>
  </si>
  <si>
    <t>Bent Search'!$G$183</t>
  </si>
  <si>
    <t>Cmplx_Fd_PGLBm20</t>
  </si>
  <si>
    <t>Bent Search'!$G$201</t>
  </si>
  <si>
    <t>Cmplx_Fd_PGLBm3</t>
  </si>
  <si>
    <t>Bent Search'!$G$184</t>
  </si>
  <si>
    <t>Cmplx_Fd_PGLBm4</t>
  </si>
  <si>
    <t>Bent Search'!$G$185</t>
  </si>
  <si>
    <t>Cmplx_Fd_PGLBm5</t>
  </si>
  <si>
    <t>Bent Search'!$G$186</t>
  </si>
  <si>
    <t>Cmplx_Fd_PGLBm6</t>
  </si>
  <si>
    <t>Bent Search'!$G$187</t>
  </si>
  <si>
    <t>Cmplx_Fd_PGLBm7</t>
  </si>
  <si>
    <t>Bent Search'!$G$188</t>
  </si>
  <si>
    <t>Cmplx_Fd_PGLBm8</t>
  </si>
  <si>
    <t>Bent Search'!$G$189</t>
  </si>
  <si>
    <t>Cmplx_Fd_PGLBm9</t>
  </si>
  <si>
    <t>Bent Search'!$G$190</t>
  </si>
  <si>
    <t>Cmplx_Fd_Width</t>
  </si>
  <si>
    <t>Bent Search'!$G$137</t>
  </si>
  <si>
    <t>ColHeightI</t>
  </si>
  <si>
    <t>Bent Search'!$G$92</t>
  </si>
  <si>
    <t>ColHeightII</t>
  </si>
  <si>
    <t>Bent Search'!$G$93</t>
  </si>
  <si>
    <t>collongwidth</t>
  </si>
  <si>
    <t>Bent Search'!$G$79</t>
  </si>
  <si>
    <t>ColSpa1</t>
  </si>
  <si>
    <t>Bent Search'!$G$82</t>
  </si>
  <si>
    <t>ColSpa10</t>
  </si>
  <si>
    <t>Bent Search'!$G$91</t>
  </si>
  <si>
    <t>ColSpa2</t>
  </si>
  <si>
    <t>Bent Search'!$G$83</t>
  </si>
  <si>
    <t>ColSpa3</t>
  </si>
  <si>
    <t>Bent Search'!$G$84</t>
  </si>
  <si>
    <t>ColSpa4</t>
  </si>
  <si>
    <t>Bent Search'!$G$85</t>
  </si>
  <si>
    <t>ColSpa5</t>
  </si>
  <si>
    <t>Bent Search'!$G$86</t>
  </si>
  <si>
    <t>ColSpa6</t>
  </si>
  <si>
    <t>Bent Search'!$G$87</t>
  </si>
  <si>
    <t>ColSpa7</t>
  </si>
  <si>
    <t>Bent Search'!$G$88</t>
  </si>
  <si>
    <t>ColSpa8</t>
  </si>
  <si>
    <t>Bent Search'!$G$89</t>
  </si>
  <si>
    <t>ColSpa9</t>
  </si>
  <si>
    <t>Bent Search'!$G$90</t>
  </si>
  <si>
    <t>coltranswidth</t>
  </si>
  <si>
    <t>Bent Search'!$G$78</t>
  </si>
  <si>
    <t>ColType</t>
  </si>
  <si>
    <t>Bent Search'!$G$76</t>
  </si>
  <si>
    <t>ComplexDistToSta</t>
  </si>
  <si>
    <t>Bent Search'!$G$141</t>
  </si>
  <si>
    <t>ComplexGeom</t>
  </si>
  <si>
    <t>Bent Search'!$G$4</t>
  </si>
  <si>
    <t>ComplexSkew</t>
  </si>
  <si>
    <t>Bent Search'!$G$140</t>
  </si>
  <si>
    <t>crossslope</t>
  </si>
  <si>
    <t>Bent Search'!$G$6</t>
  </si>
  <si>
    <t>DeckWidth</t>
  </si>
  <si>
    <t>Bent Search'!$G$5</t>
  </si>
  <si>
    <t>dsgnspeed</t>
  </si>
  <si>
    <t>Bent Search'!$G$25</t>
  </si>
  <si>
    <t>Earwall_Area</t>
  </si>
  <si>
    <t>Bent Search'!$G$61</t>
  </si>
  <si>
    <t>Earwall_Left</t>
  </si>
  <si>
    <t>Bent Search'!$G$59</t>
  </si>
  <si>
    <t>Earwall_Right</t>
  </si>
  <si>
    <t>Bent Search'!$G$60</t>
  </si>
  <si>
    <t>exposure</t>
  </si>
  <si>
    <t>Bent Search'!$G$46</t>
  </si>
  <si>
    <t>FBSPA1</t>
  </si>
  <si>
    <t>Bent Search'!$G$116</t>
  </si>
  <si>
    <t>FBSPA10</t>
  </si>
  <si>
    <t>Bent Search'!$G$125</t>
  </si>
  <si>
    <t>FBSPA11</t>
  </si>
  <si>
    <t>Bent Search'!$G$126</t>
  </si>
  <si>
    <t>FBSPA12</t>
  </si>
  <si>
    <t>Bent Search'!$G$127</t>
  </si>
  <si>
    <t>FBSPA13</t>
  </si>
  <si>
    <t>Bent Search'!$G$128</t>
  </si>
  <si>
    <t>FBSPA14</t>
  </si>
  <si>
    <t>Bent Search'!$G$129</t>
  </si>
  <si>
    <t>FBSPA15</t>
  </si>
  <si>
    <t>Bent Search'!$G$130</t>
  </si>
  <si>
    <t>FBSPA16</t>
  </si>
  <si>
    <t>Bent Search'!$G$131</t>
  </si>
  <si>
    <t>FBSPA17</t>
  </si>
  <si>
    <t>Bent Search'!$G$132</t>
  </si>
  <si>
    <t>FBSPA18</t>
  </si>
  <si>
    <t>Bent Search'!$G$133</t>
  </si>
  <si>
    <t>FBSPA19</t>
  </si>
  <si>
    <t>Bent Search'!$G$134</t>
  </si>
  <si>
    <t>FBSPA2</t>
  </si>
  <si>
    <t>Bent Search'!$G$117</t>
  </si>
  <si>
    <t>FBSPA20</t>
  </si>
  <si>
    <t>Bent Search'!$G$135</t>
  </si>
  <si>
    <t>FBSPA3</t>
  </si>
  <si>
    <t>Bent Search'!$G$118</t>
  </si>
  <si>
    <t>FBSPA4</t>
  </si>
  <si>
    <t>Bent Search'!$G$119</t>
  </si>
  <si>
    <t>FBSPA5</t>
  </si>
  <si>
    <t>Bent Search'!$G$120</t>
  </si>
  <si>
    <t>FBSPA6</t>
  </si>
  <si>
    <t>Bent Search'!$G$121</t>
  </si>
  <si>
    <t>FBSPA7</t>
  </si>
  <si>
    <t>Bent Search'!$G$122</t>
  </si>
  <si>
    <t>FBSPA8</t>
  </si>
  <si>
    <t>Bent Search'!$G$123</t>
  </si>
  <si>
    <t>FBSPA9</t>
  </si>
  <si>
    <t>Bent Search'!$G$124</t>
  </si>
  <si>
    <t>fc</t>
  </si>
  <si>
    <t>Bent Search'!$G$44</t>
  </si>
  <si>
    <t>FdBms</t>
  </si>
  <si>
    <t>Bent Search'!$G$115</t>
  </si>
  <si>
    <t>fdbrgpad</t>
  </si>
  <si>
    <t>Bent Search'!$G$17</t>
  </si>
  <si>
    <t>fdspangirder</t>
  </si>
  <si>
    <t>Bent Search'!$G$15</t>
  </si>
  <si>
    <t>fdspanhaunch</t>
  </si>
  <si>
    <t>Bent Search'!$G$16</t>
  </si>
  <si>
    <t>fdspanpgl</t>
  </si>
  <si>
    <t>Bent Search'!$G$27</t>
  </si>
  <si>
    <t>FwdBentSkew</t>
  </si>
  <si>
    <t>Bent Search'!$G$52</t>
  </si>
  <si>
    <t>FWSthickness</t>
  </si>
  <si>
    <t>Bent Search'!$G$8</t>
  </si>
  <si>
    <t>FWSwt</t>
  </si>
  <si>
    <t>Bent Search'!$G$9</t>
  </si>
  <si>
    <t>fy</t>
  </si>
  <si>
    <t>Bent Search'!$G$45</t>
  </si>
  <si>
    <t>InvTeeBotWidth</t>
  </si>
  <si>
    <t>Bent Search'!$G$55</t>
  </si>
  <si>
    <t>NoHbars</t>
  </si>
  <si>
    <t>Bent Search'!$G$75</t>
  </si>
  <si>
    <t>NoSupports</t>
  </si>
  <si>
    <t>Bent Search'!$G$77</t>
  </si>
  <si>
    <t>offsettolevelingpad</t>
  </si>
  <si>
    <t>Bent Search'!$G$53</t>
  </si>
  <si>
    <t>OSOH</t>
  </si>
  <si>
    <t>Bent Search'!$G$22</t>
  </si>
  <si>
    <t>OSOHBack</t>
  </si>
  <si>
    <t>Bent Search'!$G$20</t>
  </si>
  <si>
    <t>OSOHBackRT</t>
  </si>
  <si>
    <t>Bent Search'!$G$21</t>
  </si>
  <si>
    <t>OSOHRT</t>
  </si>
  <si>
    <t>Bent Search'!$G$23</t>
  </si>
  <si>
    <t>PedestalHt</t>
  </si>
  <si>
    <t>Bent Search'!$G$14</t>
  </si>
  <si>
    <t>PGLdist</t>
  </si>
  <si>
    <t>Bent Search'!$G$19</t>
  </si>
  <si>
    <t>PGLradius</t>
  </si>
  <si>
    <t>Bent Search'!$G$18</t>
  </si>
  <si>
    <t>ProjectSubject</t>
  </si>
  <si>
    <t>rail3rd</t>
  </si>
  <si>
    <t>Bent Search'!$G$30</t>
  </si>
  <si>
    <t>RailDistributeBackEnd</t>
  </si>
  <si>
    <t>Bent Search'!$G$32</t>
  </si>
  <si>
    <t>RailDistributeBackStart</t>
  </si>
  <si>
    <t>Bent Search'!$G$31</t>
  </si>
  <si>
    <t>RailDistributeFwdEnd</t>
  </si>
  <si>
    <t>Bent Search'!$G$34</t>
  </si>
  <si>
    <t>RailDistributeFwdStart</t>
  </si>
  <si>
    <t>Bent Search'!$G$33</t>
  </si>
  <si>
    <t>railLeft</t>
  </si>
  <si>
    <t>Bent Search'!$G$28</t>
  </si>
  <si>
    <t>railRight</t>
  </si>
  <si>
    <t>Bent Search'!$G$29</t>
  </si>
  <si>
    <t>sdwkdensity</t>
  </si>
  <si>
    <t>Bent Search'!$G$37</t>
  </si>
  <si>
    <t>sdwkthickness</t>
  </si>
  <si>
    <t>Bent Search'!$G$36</t>
  </si>
  <si>
    <t>sdwkwidth</t>
  </si>
  <si>
    <t>Bent Search'!$G$35</t>
  </si>
  <si>
    <t>segmentlength</t>
  </si>
  <si>
    <t>Bent Search'!$G$138</t>
  </si>
  <si>
    <t>slabthickness</t>
  </si>
  <si>
    <t>Bent Search'!$G$7</t>
  </si>
  <si>
    <t>super?</t>
  </si>
  <si>
    <t>Bent Search'!$G$24</t>
  </si>
  <si>
    <t>SWalkDistributeBackEnd</t>
  </si>
  <si>
    <t>Bent Search'!$G$39</t>
  </si>
  <si>
    <t>SWalkDistributeBackStart</t>
  </si>
  <si>
    <t>Bent Search'!$G$38</t>
  </si>
  <si>
    <t>SWalkDistributeFwdEnd</t>
  </si>
  <si>
    <t>Bent Search'!$G$41</t>
  </si>
  <si>
    <t>SWalkDistributeFwdStart</t>
  </si>
  <si>
    <t>Bent Search'!$G$40</t>
  </si>
  <si>
    <t>utilities</t>
  </si>
  <si>
    <t>Bent Search'!$G$10</t>
  </si>
  <si>
    <t>Ref #</t>
  </si>
  <si>
    <t>Name</t>
  </si>
  <si>
    <t>Value</t>
  </si>
  <si>
    <t>Address</t>
  </si>
  <si>
    <t>Order</t>
  </si>
  <si>
    <t>Sort By Order</t>
  </si>
  <si>
    <t>To Be Added to Macro</t>
  </si>
  <si>
    <t>Text for FromBentSearch Method for BentClass</t>
  </si>
  <si>
    <t>Text for FromBentDesignSpreadsheet Method for BentClass</t>
  </si>
  <si>
    <t>List of Named Ranges (found using mdNames macro)</t>
  </si>
  <si>
    <t>Parent Sheet</t>
  </si>
  <si>
    <t>Geometry</t>
  </si>
  <si>
    <t>Bent Names</t>
  </si>
  <si>
    <t>L (in) =</t>
  </si>
  <si>
    <t>Number of Inside Legs =</t>
  </si>
  <si>
    <t>Spacing (in) =</t>
  </si>
  <si>
    <t>Bars M =</t>
  </si>
  <si>
    <t>Bars N =</t>
  </si>
  <si>
    <t>Bars M Spacing (in) =</t>
  </si>
  <si>
    <t>Bars N Spacing (in) =</t>
  </si>
  <si>
    <t>Bars T Each Face of Stem =</t>
  </si>
  <si>
    <t>Bars T Stem =</t>
  </si>
  <si>
    <t>Bars T Each Face of Ledge =</t>
  </si>
  <si>
    <t>Outputs from New Module-I Spreadsheet</t>
  </si>
  <si>
    <t>Inv-Tee Geometry (Old Bent Spreadsheet, Special)</t>
  </si>
  <si>
    <r>
      <t>V</t>
    </r>
    <r>
      <rPr>
        <vertAlign val="subscript"/>
        <sz val="9"/>
        <color theme="1"/>
        <rFont val="Arial"/>
        <family val="2"/>
      </rPr>
      <t>u</t>
    </r>
    <r>
      <rPr>
        <sz val="9"/>
        <color theme="1"/>
        <rFont val="Arial"/>
        <family val="2"/>
      </rPr>
      <t xml:space="preserve"> (kips) =</t>
    </r>
  </si>
  <si>
    <t>Girder Type</t>
  </si>
  <si>
    <t>Width (ft)</t>
  </si>
  <si>
    <t>Depth (ft)</t>
  </si>
  <si>
    <t>Total Top Flange Width (ft)</t>
  </si>
  <si>
    <t>Top Flange Thickness (ft)</t>
  </si>
  <si>
    <t>Web Thickness (ft)</t>
  </si>
  <si>
    <t>Total Bottom Flange Width (ft)</t>
  </si>
  <si>
    <t>Bottom Flange Thickness (ft)</t>
  </si>
  <si>
    <t>x</t>
  </si>
  <si>
    <t>y</t>
  </si>
  <si>
    <t>Roadway Width</t>
  </si>
  <si>
    <t>ft</t>
  </si>
  <si>
    <t>Slab Thickness</t>
  </si>
  <si>
    <t>in</t>
  </si>
  <si>
    <t>Type of Girders</t>
  </si>
  <si>
    <t>No. of Girders</t>
  </si>
  <si>
    <t>Edge Offset (i)</t>
  </si>
  <si>
    <t>Edge Offset (j)</t>
  </si>
  <si>
    <t>Girder Spacing (i)</t>
  </si>
  <si>
    <t>Clear Span (i)</t>
  </si>
  <si>
    <t>Girder Spacing (j)</t>
  </si>
  <si>
    <t>Clear Span (j)</t>
  </si>
  <si>
    <t>Road Way Points</t>
  </si>
  <si>
    <t>Tx54_x</t>
  </si>
  <si>
    <t>Tx54_y</t>
  </si>
  <si>
    <t>U54_x</t>
  </si>
  <si>
    <t>U54_y</t>
  </si>
  <si>
    <t>IV_x</t>
  </si>
  <si>
    <t>IV_y</t>
  </si>
  <si>
    <t>Top Taper Depth</t>
  </si>
  <si>
    <t>Bottom Taper Depth</t>
  </si>
  <si>
    <t>NA</t>
  </si>
  <si>
    <t>Top Taper Depth (ft)</t>
  </si>
  <si>
    <t>Bottom Taper Depth (ft)</t>
  </si>
  <si>
    <t>Tx28_x</t>
  </si>
  <si>
    <t>Tx28_y</t>
  </si>
  <si>
    <t>Tx34_x</t>
  </si>
  <si>
    <t>Tx34_y</t>
  </si>
  <si>
    <t>Tx40_x</t>
  </si>
  <si>
    <t>Tx40_y</t>
  </si>
  <si>
    <t>Tx46_x</t>
  </si>
  <si>
    <t>Tx46_y</t>
  </si>
  <si>
    <t>Tx62_x</t>
  </si>
  <si>
    <t>Tx62_y</t>
  </si>
  <si>
    <t>Tx70_x</t>
  </si>
  <si>
    <t>Tx70_y</t>
  </si>
  <si>
    <t>Tx_x</t>
  </si>
  <si>
    <t>Tx_y</t>
  </si>
  <si>
    <t>TxGirder Types</t>
  </si>
  <si>
    <t>U Girder Types</t>
  </si>
  <si>
    <t>Older Types</t>
  </si>
  <si>
    <t>Old_Type_x</t>
  </si>
  <si>
    <t>Old_Type_y</t>
  </si>
  <si>
    <t>A_x</t>
  </si>
  <si>
    <t>A_y</t>
  </si>
  <si>
    <t>B_x</t>
  </si>
  <si>
    <t>B_y</t>
  </si>
  <si>
    <t>C_x</t>
  </si>
  <si>
    <t>C_y</t>
  </si>
  <si>
    <t>Col x standard points</t>
  </si>
  <si>
    <t>Col y standard points</t>
  </si>
  <si>
    <t>Col Spacing</t>
  </si>
  <si>
    <t>Cumulative Col Spacing</t>
  </si>
  <si>
    <t>Tx Girder Type</t>
  </si>
  <si>
    <t>U Girder Type</t>
  </si>
  <si>
    <t>Old Girder Type</t>
  </si>
  <si>
    <t>U-40_x</t>
  </si>
  <si>
    <t>U-40_y</t>
  </si>
  <si>
    <t>U-54_x</t>
  </si>
  <si>
    <t>U-54_y</t>
  </si>
  <si>
    <t>Inverted Tee Cross Section Points</t>
  </si>
  <si>
    <t>x points</t>
  </si>
  <si>
    <t>y points</t>
  </si>
  <si>
    <t>Rectangular Cross Section Points</t>
  </si>
  <si>
    <t>Tee Cross Section Points</t>
  </si>
  <si>
    <t>Bearing Pad 1 Points</t>
  </si>
  <si>
    <t>Bearing Pad 1 - Inverted Tee</t>
  </si>
  <si>
    <t>Bearing Pad 1 - Rectangular</t>
  </si>
  <si>
    <t>Bearing Pad 2 Points</t>
  </si>
  <si>
    <t>Bearing Pad 2 - Inverted Tee</t>
  </si>
  <si>
    <t>Bearing Pad 2 - Rectangular</t>
  </si>
  <si>
    <t>BOTH VIEWS ARE LOOKING UPSTATION</t>
  </si>
  <si>
    <t>Red</t>
  </si>
  <si>
    <t>yellow</t>
  </si>
  <si>
    <t>Green</t>
  </si>
  <si>
    <t>Pedestal 1 Points</t>
  </si>
  <si>
    <t>Pedestal 2 Points</t>
  </si>
  <si>
    <t>av (left)</t>
  </si>
  <si>
    <t>af (left)</t>
  </si>
  <si>
    <t xml:space="preserve">bw </t>
  </si>
  <si>
    <t>bl</t>
  </si>
  <si>
    <t>d</t>
  </si>
  <si>
    <t>bf</t>
  </si>
  <si>
    <t>hs</t>
  </si>
  <si>
    <t>bf - Tee</t>
  </si>
  <si>
    <t>bw - Tee</t>
  </si>
  <si>
    <t>h - Tee</t>
  </si>
  <si>
    <t>h</t>
  </si>
  <si>
    <t>hs - Tee</t>
  </si>
  <si>
    <t>Distance from PGL to Left Edge of Slab (ft)</t>
  </si>
  <si>
    <t>Backward Span -
C-C Bent Distance</t>
  </si>
  <si>
    <t>Forward Span -
C-C Bent Distance</t>
  </si>
  <si>
    <t xml:space="preserve">Text for ToBentDesignSpreadsheet Method for BentClass </t>
  </si>
  <si>
    <t>Brg_Width</t>
  </si>
  <si>
    <t>Brg_Length</t>
  </si>
  <si>
    <t>BarSspacing</t>
  </si>
  <si>
    <t>BarSinsideLegs</t>
  </si>
  <si>
    <t>BarsM</t>
  </si>
  <si>
    <t>BarsMspacing</t>
  </si>
  <si>
    <t>BarsN</t>
  </si>
  <si>
    <t>BarsNspacing</t>
  </si>
  <si>
    <t>BarsTstem</t>
  </si>
  <si>
    <t>BarsTstemNo</t>
  </si>
  <si>
    <t>BarsTledgeNo</t>
  </si>
  <si>
    <r>
      <t>P</t>
    </r>
    <r>
      <rPr>
        <vertAlign val="subscript"/>
        <sz val="9"/>
        <color theme="1"/>
        <rFont val="Arial"/>
        <family val="2"/>
      </rPr>
      <t>u,ext</t>
    </r>
    <r>
      <rPr>
        <sz val="9"/>
        <color theme="1"/>
        <rFont val="Arial"/>
        <family val="2"/>
      </rPr>
      <t xml:space="preserve"> (kips) =</t>
    </r>
  </si>
  <si>
    <r>
      <t>P</t>
    </r>
    <r>
      <rPr>
        <vertAlign val="subscript"/>
        <sz val="9"/>
        <color theme="1"/>
        <rFont val="Arial"/>
        <family val="2"/>
      </rPr>
      <t>u,int</t>
    </r>
    <r>
      <rPr>
        <sz val="9"/>
        <color theme="1"/>
        <rFont val="Arial"/>
        <family val="2"/>
      </rPr>
      <t xml:space="preserve"> (kips) =</t>
    </r>
  </si>
  <si>
    <r>
      <t>P</t>
    </r>
    <r>
      <rPr>
        <vertAlign val="subscript"/>
        <sz val="9"/>
        <color theme="1"/>
        <rFont val="Arial"/>
        <family val="2"/>
      </rPr>
      <t>srv,ext</t>
    </r>
    <r>
      <rPr>
        <sz val="9"/>
        <color theme="1"/>
        <rFont val="Arial"/>
        <family val="2"/>
      </rPr>
      <t xml:space="preserve"> (kips) =</t>
    </r>
  </si>
  <si>
    <r>
      <t>P</t>
    </r>
    <r>
      <rPr>
        <vertAlign val="subscript"/>
        <sz val="9"/>
        <color theme="1"/>
        <rFont val="Arial"/>
        <family val="2"/>
      </rPr>
      <t>srv,int</t>
    </r>
    <r>
      <rPr>
        <sz val="9"/>
        <color theme="1"/>
        <rFont val="Arial"/>
        <family val="2"/>
      </rPr>
      <t xml:space="preserve"> (kips) =</t>
    </r>
  </si>
  <si>
    <t>Inv-Tee Geometry (Inv T Spreadsheet, Special)</t>
  </si>
  <si>
    <t>Ledge Flexure Ratio =</t>
  </si>
  <si>
    <t>Ledge Flexure Min As Check 1 =</t>
  </si>
  <si>
    <t>Ledge Flexure Min As Check 2 =</t>
  </si>
  <si>
    <t>Ledge Flexure steel yielded? =</t>
  </si>
  <si>
    <t>Shear Friction Min Av check =</t>
  </si>
  <si>
    <t>Web Shear Theta Check =</t>
  </si>
  <si>
    <t>Web Shear Strength (kips) =</t>
  </si>
  <si>
    <t>Web Shear Max Spacing Check =</t>
  </si>
  <si>
    <t>Web Shear Min Av Check =</t>
  </si>
  <si>
    <t>Shear w Torsion Theta Check =</t>
  </si>
  <si>
    <t>Shear w Torsion Ratio =</t>
  </si>
  <si>
    <t>Torsion w Shear Theta Check =</t>
  </si>
  <si>
    <t>Torsion w Shear Ratio =</t>
  </si>
  <si>
    <t>Skin Reinforcement Ratio =</t>
  </si>
  <si>
    <t>Ledge Checks -Exterior Girder Location (outputs from Inv T Spreadsheet)</t>
  </si>
  <si>
    <t>Ledge Checks -Interior Girder Location (outputs from Inv T Spreadsheet)</t>
  </si>
  <si>
    <t>Whole Section Checks -Interior Girder Location (outputs from Inv T Spreadsheet)</t>
  </si>
  <si>
    <t>Moment rectangular behavior check =</t>
  </si>
  <si>
    <t>Steel yielded? =</t>
  </si>
  <si>
    <t>Moment Strength Ratio =</t>
  </si>
  <si>
    <t>Moment min reinforcement Check =</t>
  </si>
  <si>
    <t>Bar Spacing Check =</t>
  </si>
  <si>
    <t>Moment Service Ratio =</t>
  </si>
  <si>
    <t>Whole Section Checks -Face of Column Location (outputs from Module I Spreadsheet)</t>
  </si>
  <si>
    <t>Punching Shear Pyramid Check 1 =</t>
  </si>
  <si>
    <t>Punching Shear Pyramid Check 2 =</t>
  </si>
  <si>
    <t>Beam 1 (ft)</t>
  </si>
  <si>
    <t>Beam 2 (ft)</t>
  </si>
  <si>
    <t>Distance to Beam #5 (ft)</t>
  </si>
  <si>
    <t>Distance to Beam #4 (ft)</t>
  </si>
  <si>
    <t>Distance to Beam #3 (ft)</t>
  </si>
  <si>
    <t>Distance to Beam #2 (ft)</t>
  </si>
  <si>
    <t>Distance from PGL to Beam #1 (ft)</t>
  </si>
  <si>
    <t>Yes-Steel has yielded at Mn</t>
  </si>
  <si>
    <t>Minimum Reinforcement OK</t>
  </si>
  <si>
    <t>Punching Shear Ratio =</t>
  </si>
  <si>
    <t>Bearing Ratio =</t>
  </si>
  <si>
    <t>Bar M Development Length Ratio =</t>
  </si>
  <si>
    <t>Shear Friction Ratio =</t>
  </si>
  <si>
    <t>Mid Corbel Bar Ratio =</t>
  </si>
  <si>
    <t>Hanger Strength Ratio =</t>
  </si>
  <si>
    <t>Hanger Service Ratio =</t>
  </si>
  <si>
    <t>OK, S ≥ 2df + W, pyramid failure surfaces do not overlap in transverse direction</t>
  </si>
  <si>
    <t>OK</t>
  </si>
  <si>
    <t>Max Spacing OK</t>
  </si>
  <si>
    <t>Minimum Steel OK</t>
  </si>
  <si>
    <t>c &lt; ledge depth - OK</t>
  </si>
  <si>
    <t>As &gt; Asmin - OK</t>
  </si>
  <si>
    <t>Other Exterior Girder Checks</t>
  </si>
  <si>
    <t>Graphed Exterior Girder Checks</t>
  </si>
  <si>
    <t>kips</t>
  </si>
  <si>
    <t>ΦVn</t>
  </si>
  <si>
    <t>Vu</t>
  </si>
  <si>
    <t>Whole Section Checks</t>
  </si>
  <si>
    <t>Ledge Checks -Interior Girder Location</t>
  </si>
  <si>
    <t>Ledge Checks -Exterior Girder Location</t>
  </si>
  <si>
    <t>Graphed Interior Girder Checks</t>
  </si>
  <si>
    <t>Other Interior Girder Checks</t>
  </si>
  <si>
    <t>Graphed Whole Section Checks</t>
  </si>
  <si>
    <t>Other Whole Section Checks</t>
  </si>
  <si>
    <t>Bundled Spacing - NG</t>
  </si>
  <si>
    <t>Bent 6</t>
  </si>
  <si>
    <t>Class 1</t>
  </si>
  <si>
    <t>Triple</t>
  </si>
  <si>
    <t>OK, 0.5bw + av ≥ 0.5L + df, pyramid failure surfaces do not overlap in longitudinal direction</t>
  </si>
  <si>
    <t>Type_54</t>
  </si>
  <si>
    <t>Type_54_x</t>
  </si>
  <si>
    <t>Type_54_y</t>
  </si>
  <si>
    <t>Φ</t>
  </si>
  <si>
    <t>Slab Thickness (back span) (in) =</t>
  </si>
  <si>
    <t>Overall Max Cap Depth (in) =</t>
  </si>
  <si>
    <t>1st Row (Number of Bars) =</t>
  </si>
  <si>
    <t>2nd Row (Number of Bars) =</t>
  </si>
  <si>
    <t>3rd Row (Number of Bars) =</t>
  </si>
  <si>
    <t>T4</t>
  </si>
  <si>
    <t>Web Shear Strength Ratio =</t>
  </si>
  <si>
    <t>Bearing Capacity Ratio =</t>
  </si>
  <si>
    <t>Distribute outside rails to all beams =</t>
  </si>
  <si>
    <t>RailDistribution</t>
  </si>
  <si>
    <t>Use Increased Clear Cover (+ 0.5") =</t>
  </si>
  <si>
    <t>Use Project Specific Aesthetic Column =</t>
  </si>
  <si>
    <t>Conc DL Tab</t>
  </si>
  <si>
    <t>Is Pedestal Continuous? =</t>
  </si>
  <si>
    <t>Misc. Cap Wt from Aesthetics (kplf) =</t>
  </si>
  <si>
    <t>Dead Load Moment Tab</t>
  </si>
  <si>
    <t>Additional Axial DC Load (kips) =</t>
  </si>
  <si>
    <t>Additional Transverse Moment DC Load (kips) =</t>
  </si>
  <si>
    <t>Additional Longitudinal Moment DC Load (kips) =</t>
  </si>
  <si>
    <t>CAP18 Inputs</t>
  </si>
  <si>
    <t>Output CAP18 at what increment =</t>
  </si>
  <si>
    <t>Force at Face of Column</t>
  </si>
  <si>
    <t>Inv Tee-SC Tab</t>
  </si>
  <si>
    <t>Inv Tee Tab</t>
  </si>
  <si>
    <t>Live Load on Column Tab</t>
  </si>
  <si>
    <t>Additional Axial LL Load (kips) =</t>
  </si>
  <si>
    <t>Additional Transverse Moment LL Load (kips) =</t>
  </si>
  <si>
    <t>Additional Longitudinal Moment LL Load (kips) =</t>
  </si>
  <si>
    <t>CE &amp; BR Tab</t>
  </si>
  <si>
    <t>Loads to Consider =</t>
  </si>
  <si>
    <t>Consider only the 5% of Truck + lane load in accordance with the TxDOT LRFD BDM</t>
  </si>
  <si>
    <t>Wind Loads Tab</t>
  </si>
  <si>
    <t>Base Design Wind Speed, V (mph) =</t>
  </si>
  <si>
    <t xml:space="preserve">Elevation Adjustment (Added to col H ht for wind elev) (ft) = </t>
  </si>
  <si>
    <t>Roughness Category =</t>
  </si>
  <si>
    <t>Exterior Girder Considered =</t>
  </si>
  <si>
    <t>Use greater of Int and Ext LLDF for Ext beam =</t>
  </si>
  <si>
    <t>Bars T Each Top of Ledge =</t>
  </si>
  <si>
    <t>Distribution of Reinf. For Crack Control =</t>
  </si>
  <si>
    <t>Point A</t>
  </si>
  <si>
    <t>Exterior Girder</t>
  </si>
  <si>
    <t>Sheet</t>
  </si>
  <si>
    <t>Location</t>
  </si>
  <si>
    <t>Punching Shear Capacity</t>
  </si>
  <si>
    <t>Ledge Dimensions</t>
  </si>
  <si>
    <t>D34</t>
  </si>
  <si>
    <t>O35</t>
  </si>
  <si>
    <t>G242</t>
  </si>
  <si>
    <t>Bearing Capacity</t>
  </si>
  <si>
    <t>E76</t>
  </si>
  <si>
    <t>O77</t>
  </si>
  <si>
    <t>G243</t>
  </si>
  <si>
    <t>Bar M Development Length</t>
  </si>
  <si>
    <t>N46</t>
  </si>
  <si>
    <t>O46</t>
  </si>
  <si>
    <t>G244</t>
  </si>
  <si>
    <t>Ledge Flexure steel yielded?</t>
  </si>
  <si>
    <t>Ledge Flexure</t>
  </si>
  <si>
    <t>N78</t>
  </si>
  <si>
    <t>G245</t>
  </si>
  <si>
    <t>O83</t>
  </si>
  <si>
    <t>G246</t>
  </si>
  <si>
    <t>Ledge Flexure Min As Check 1</t>
  </si>
  <si>
    <t>N90</t>
  </si>
  <si>
    <t>G247</t>
  </si>
  <si>
    <t>Ledge Flexure Min As Check 2</t>
  </si>
  <si>
    <t>N98</t>
  </si>
  <si>
    <t>G248</t>
  </si>
  <si>
    <t>Shear Friction</t>
  </si>
  <si>
    <t>Ledge Shear</t>
  </si>
  <si>
    <t>D61</t>
  </si>
  <si>
    <t>O62</t>
  </si>
  <si>
    <t>G249</t>
  </si>
  <si>
    <t>Shear Friction Min Av check</t>
  </si>
  <si>
    <t>N67</t>
  </si>
  <si>
    <t>G250</t>
  </si>
  <si>
    <t>This is inverse to everything</t>
  </si>
  <si>
    <t>Mid Corbel Bar</t>
  </si>
  <si>
    <t>N96</t>
  </si>
  <si>
    <t>O96</t>
  </si>
  <si>
    <t>G251</t>
  </si>
  <si>
    <t>Hanger Strength</t>
  </si>
  <si>
    <t>Hanger</t>
  </si>
  <si>
    <t>D77</t>
  </si>
  <si>
    <t>O78</t>
  </si>
  <si>
    <t>G252</t>
  </si>
  <si>
    <t xml:space="preserve">Hanger Service </t>
  </si>
  <si>
    <t>D86</t>
  </si>
  <si>
    <t>O87</t>
  </si>
  <si>
    <t>G253</t>
  </si>
  <si>
    <t>Point B</t>
  </si>
  <si>
    <t>Interior Girder</t>
  </si>
  <si>
    <t>D26</t>
  </si>
  <si>
    <t>O27</t>
  </si>
  <si>
    <t>E67</t>
  </si>
  <si>
    <t>O68</t>
  </si>
  <si>
    <t>N36</t>
  </si>
  <si>
    <t>O41</t>
  </si>
  <si>
    <t>N48</t>
  </si>
  <si>
    <t>N56</t>
  </si>
  <si>
    <t>D35</t>
  </si>
  <si>
    <t>O36</t>
  </si>
  <si>
    <t>N41</t>
  </si>
  <si>
    <t>N84</t>
  </si>
  <si>
    <t>O84</t>
  </si>
  <si>
    <t>D36</t>
  </si>
  <si>
    <t>O37</t>
  </si>
  <si>
    <t>D45</t>
  </si>
  <si>
    <t>Whole Cap Section</t>
  </si>
  <si>
    <t>J16</t>
  </si>
  <si>
    <t>J19</t>
  </si>
  <si>
    <t>Web Shear</t>
  </si>
  <si>
    <t>M27</t>
  </si>
  <si>
    <t>M40</t>
  </si>
  <si>
    <t>M42</t>
  </si>
  <si>
    <t>Max Shear w Torsion</t>
  </si>
  <si>
    <t>N54</t>
  </si>
  <si>
    <t>Max Torsion w Shear</t>
  </si>
  <si>
    <t>Skin</t>
  </si>
  <si>
    <t>O28</t>
  </si>
  <si>
    <t>Point C</t>
  </si>
  <si>
    <t>Bars A</t>
  </si>
  <si>
    <t>L19</t>
  </si>
  <si>
    <t>L24</t>
  </si>
  <si>
    <t>D30</t>
  </si>
  <si>
    <t>J40</t>
  </si>
  <si>
    <t>L52</t>
  </si>
  <si>
    <t>H65</t>
  </si>
  <si>
    <t>Loads</t>
  </si>
  <si>
    <t>Pu,ext (kips) =</t>
  </si>
  <si>
    <t>I34</t>
  </si>
  <si>
    <t>Pu,int (kips) =</t>
  </si>
  <si>
    <t>I35</t>
  </si>
  <si>
    <t>Psrv,ext (kips) =</t>
  </si>
  <si>
    <t>L34</t>
  </si>
  <si>
    <t>Psrv,int (kips) =</t>
  </si>
  <si>
    <t>L35</t>
  </si>
  <si>
    <t>Vu (kips) =</t>
  </si>
  <si>
    <t>I36</t>
  </si>
  <si>
    <t>L75</t>
  </si>
  <si>
    <t>addl_DC_M</t>
  </si>
  <si>
    <t>Bent Search'!$G$229</t>
  </si>
  <si>
    <t>addl_DC_Mx</t>
  </si>
  <si>
    <t>Bent Search'!$G$230</t>
  </si>
  <si>
    <t>addl_DC_P</t>
  </si>
  <si>
    <t>Bent Search'!$G$228</t>
  </si>
  <si>
    <t>addl_LL_Mx</t>
  </si>
  <si>
    <t>Bent Search'!$G$239</t>
  </si>
  <si>
    <t>addl_Ll_My</t>
  </si>
  <si>
    <t>Bent Search'!$G$238</t>
  </si>
  <si>
    <t>addl_LL_P</t>
  </si>
  <si>
    <t>Bent Search'!$G$237</t>
  </si>
  <si>
    <t>AestheticCol</t>
  </si>
  <si>
    <t>Bent Search'!$G$246</t>
  </si>
  <si>
    <t>Bent Search'!$G$248</t>
  </si>
  <si>
    <t>Bent Search'!$G$249</t>
  </si>
  <si>
    <t>Bent Search'!$G$250</t>
  </si>
  <si>
    <t>Bent Search'!$G$251</t>
  </si>
  <si>
    <t>Bent Search'!$G$247</t>
  </si>
  <si>
    <t>Bent Search'!$G$254</t>
  </si>
  <si>
    <t>Bent Search'!$G$252</t>
  </si>
  <si>
    <t>Bent Search'!$G$253</t>
  </si>
  <si>
    <t>BarsTtopLedgeNo</t>
  </si>
  <si>
    <t>Bent Search'!$G$255</t>
  </si>
  <si>
    <t>BR_Neglect</t>
  </si>
  <si>
    <t>Bent Search'!$G$240</t>
  </si>
  <si>
    <t>Bent Search'!$G$245</t>
  </si>
  <si>
    <t>Bent Search'!$G$244</t>
  </si>
  <si>
    <t>CAP18NegMomLocation</t>
  </si>
  <si>
    <t>Bent Search'!$G$232</t>
  </si>
  <si>
    <t>Bent Search'!$G$222</t>
  </si>
  <si>
    <t>Bent Search'!$G$223</t>
  </si>
  <si>
    <t>Bent Search'!$G$224</t>
  </si>
  <si>
    <t>Bent Search'!$G$225</t>
  </si>
  <si>
    <t>DesignWindSpeed</t>
  </si>
  <si>
    <t>Bent Search'!$G$241</t>
  </si>
  <si>
    <t>ElevationAdjust</t>
  </si>
  <si>
    <t>Bent Search'!$G$242</t>
  </si>
  <si>
    <t>ExGirConsidered</t>
  </si>
  <si>
    <t>Bent Search'!$G$235</t>
  </si>
  <si>
    <t>ExGirConsideredSC</t>
  </si>
  <si>
    <t>Bent Search'!$G$233</t>
  </si>
  <si>
    <t>IncreaseClearCover</t>
  </si>
  <si>
    <t>InputIncrement</t>
  </si>
  <si>
    <t>Bent Search'!$G$231</t>
  </si>
  <si>
    <t>INTBMLLDF</t>
  </si>
  <si>
    <t>Bent Search'!$G$234</t>
  </si>
  <si>
    <t>INTBMLLDFMC</t>
  </si>
  <si>
    <t>Bent Search'!$G$236</t>
  </si>
  <si>
    <t>InvT_P_Ext_srv</t>
  </si>
  <si>
    <t>Bent Search'!$G$256</t>
  </si>
  <si>
    <t>InvTName</t>
  </si>
  <si>
    <t>Bent Search'!$F$2</t>
  </si>
  <si>
    <t>IsPedestalContinuous</t>
  </si>
  <si>
    <t>Bent Search'!$G$226</t>
  </si>
  <si>
    <t>IsSearchMode</t>
  </si>
  <si>
    <t>Bent Search'!$A$5</t>
  </si>
  <si>
    <t>MiscCapWt</t>
  </si>
  <si>
    <t>Bent Search'!$G$227</t>
  </si>
  <si>
    <t>ModuleIName</t>
  </si>
  <si>
    <t>Bent Search'!$F$1</t>
  </si>
  <si>
    <t>Bent Search'!Print_Area</t>
  </si>
  <si>
    <t>Bent Search'!$M$310:$AH$460</t>
  </si>
  <si>
    <t>RoughnessCategory</t>
  </si>
  <si>
    <t>Bent Search'!$G$243</t>
  </si>
  <si>
    <t>Conc DL</t>
  </si>
  <si>
    <t>Dead Load Moment</t>
  </si>
  <si>
    <t>CAP18 Input</t>
  </si>
  <si>
    <t>CAP18 Out(1)</t>
  </si>
  <si>
    <t>Transfer Data To/From Module I:</t>
  </si>
  <si>
    <t>Transfer Data To/From Inv T:</t>
  </si>
  <si>
    <t>Inv Tee-SC</t>
  </si>
  <si>
    <t>Inv Tee</t>
  </si>
  <si>
    <t>Live Load on Column</t>
  </si>
  <si>
    <t>CE &amp; BR</t>
  </si>
  <si>
    <t>Wind Loads</t>
  </si>
  <si>
    <t>Spacing - OK</t>
  </si>
  <si>
    <t>Double</t>
  </si>
  <si>
    <t/>
  </si>
  <si>
    <t>Bent 6 - double</t>
  </si>
  <si>
    <t>ProjectSubject = Range("ProjectSubject")</t>
  </si>
  <si>
    <t>ComplexGeom = Range("ComplexGeom")</t>
  </si>
  <si>
    <t>DeckWidth = Range("DeckWidth")</t>
  </si>
  <si>
    <t>crossslope = Range("crossslope")</t>
  </si>
  <si>
    <t>slabthickness = Range("slabthickness")</t>
  </si>
  <si>
    <t>FWSthickness = Range("FWSthickness")</t>
  </si>
  <si>
    <t>FWSwt = Range("FWSwt")</t>
  </si>
  <si>
    <t>utilities = Range("utilities")</t>
  </si>
  <si>
    <t>bkspangirder = Range("bkspangirder")</t>
  </si>
  <si>
    <t>bkspanhaunch = Range("bkspanhaunch")</t>
  </si>
  <si>
    <t>bkbrgpad = Range("bkbrgpad")</t>
  </si>
  <si>
    <t>PedestalHt = Range("PedestalHt")</t>
  </si>
  <si>
    <t>fdspangirder = Range("fdspangirder")</t>
  </si>
  <si>
    <t>fdspanhaunch = Range("fdspanhaunch")</t>
  </si>
  <si>
    <t>fdbrgpad = Range("fdbrgpad")</t>
  </si>
  <si>
    <t>PGLradius = Range("PGLradius")</t>
  </si>
  <si>
    <t>PGLdist = Range("PGLdist")</t>
  </si>
  <si>
    <t>OSOHBack = Range("OSOHBack")</t>
  </si>
  <si>
    <t>OSOHBackRT = Range("OSOHBackRT")</t>
  </si>
  <si>
    <t>OSOH = Range("OSOH")</t>
  </si>
  <si>
    <t>OSOHRT = Range("OSOHRT")</t>
  </si>
  <si>
    <t>issuper = Range("super?")</t>
  </si>
  <si>
    <t>dsgnspeed = Range("dsgnspeed")</t>
  </si>
  <si>
    <t>bkspanpgl = Range("bkspanpgl")</t>
  </si>
  <si>
    <t>fdspanpgl = Range("fdspanpgl")</t>
  </si>
  <si>
    <t>RailDistribution = Range("RailDistribution")</t>
  </si>
  <si>
    <t>railLeft = Range("railLeft")</t>
  </si>
  <si>
    <t>railRight = Range("railRight")</t>
  </si>
  <si>
    <t>rail3rd = Range("rail3rd")</t>
  </si>
  <si>
    <t>RailDistributeBackStart = Range("RailDistributeBackStart")</t>
  </si>
  <si>
    <t>RailDistributeBackEnd = Range("RailDistributeBackEnd")</t>
  </si>
  <si>
    <t>RailDistributeFwdStart = Range("RailDistributeFwdStart")</t>
  </si>
  <si>
    <t>RailDistributeFwdEnd = Range("RailDistributeFwdEnd")</t>
  </si>
  <si>
    <t>sdwkwidth = Range("sdwkwidth")</t>
  </si>
  <si>
    <t>sdwkthickness = Range("sdwkthickness")</t>
  </si>
  <si>
    <t>sdwkdensity = Range("sdwkdensity")</t>
  </si>
  <si>
    <t>SWalkDistributeBackStart = Range("SWalkDistributeBackStart")</t>
  </si>
  <si>
    <t>SWalkDistributeBackEnd = Range("SWalkDistributeBackEnd")</t>
  </si>
  <si>
    <t>SWalkDistributeFwdStart = Range("SWalkDistributeFwdStart")</t>
  </si>
  <si>
    <t>SWalkDistributeFwdEnd = Range("SWalkDistributeFwdEnd")</t>
  </si>
  <si>
    <t>CapType = Range("CapType")</t>
  </si>
  <si>
    <t>capdensity = Range("capdensity")</t>
  </si>
  <si>
    <t>fc = Range("fc")</t>
  </si>
  <si>
    <t>fy = Range("fy")</t>
  </si>
  <si>
    <t>exposure = Range("exposure")</t>
  </si>
  <si>
    <t>BentSkew = Range("BentSkew")</t>
  </si>
  <si>
    <t>caplength = Range("caplength")</t>
  </si>
  <si>
    <t>BkBm1toCapEnd = Range("BkBm1toCapEnd")</t>
  </si>
  <si>
    <t>Bm1toCapEnd = Range("Bm1toCapEnd")</t>
  </si>
  <si>
    <t>BackBentSkew = Range("BackBentSkew")</t>
  </si>
  <si>
    <t>FwdBentSkew = Range("FwdBentSkew")</t>
  </si>
  <si>
    <t>offsettolevelingpad = Range("offsettolevelingpad")</t>
  </si>
  <si>
    <t>CapLedgeDepth = Range("CapLedgeDepth")</t>
  </si>
  <si>
    <t>InvTeeBotWidth = Range("InvTeeBotWidth")</t>
  </si>
  <si>
    <t>BearingDist = Range("BearingDist")</t>
  </si>
  <si>
    <t>capheight = Range("capheight")</t>
  </si>
  <si>
    <t>capstemWidth = Range("capstemWidth")</t>
  </si>
  <si>
    <t>Earwall_Left = Range("Earwall_Left")</t>
  </si>
  <si>
    <t>Earwall_Right = Range("Earwall_Right")</t>
  </si>
  <si>
    <t>Earwall_Area = Range("Earwall_Area")</t>
  </si>
  <si>
    <t>BarsA = Range("BarsA")</t>
  </si>
  <si>
    <t>BarsAdist = Range("BarsAdist")</t>
  </si>
  <si>
    <t>Arow1 = Range("Arow1")</t>
  </si>
  <si>
    <t>Arow2 = Range("Arow2")</t>
  </si>
  <si>
    <t>Arow3 = Range("Arow3")</t>
  </si>
  <si>
    <t>BarsB = Range("BarsB")</t>
  </si>
  <si>
    <t>BarsBdist = Range("BarsBdist")</t>
  </si>
  <si>
    <t>Brow1 = Range("Brow1")</t>
  </si>
  <si>
    <t>Brow2 = Range("Brow2")</t>
  </si>
  <si>
    <t>Brow3 = Range("Brow3")</t>
  </si>
  <si>
    <t>IncreaseClearCover = Range("IncreaseClearCover")</t>
  </si>
  <si>
    <t>BarSArrange = Range("BarSArrange")</t>
  </si>
  <si>
    <t>BarS = Range("BarS")</t>
  </si>
  <si>
    <t>BarsH = Range("BarsH")</t>
  </si>
  <si>
    <t>NoHbars = Range("NoHbars")</t>
  </si>
  <si>
    <t>AestheticCol = Range("AestheticCol")</t>
  </si>
  <si>
    <t>ColType = Range("ColType")</t>
  </si>
  <si>
    <t>NoSupports = Range("NoSupports")</t>
  </si>
  <si>
    <t>coltranswidth = Range("coltranswidth")</t>
  </si>
  <si>
    <t>collongwidth = Range("collongwidth")</t>
  </si>
  <si>
    <t>CapitalWidth = Range("CapitalWidth")</t>
  </si>
  <si>
    <t>CapitalWeight = Range("CapitalWeight")</t>
  </si>
  <si>
    <t>ColSpa1 = Range("ColSpa1")</t>
  </si>
  <si>
    <t>ColSpa2 = Range("ColSpa2")</t>
  </si>
  <si>
    <t>ColSpa3 = Range("ColSpa3")</t>
  </si>
  <si>
    <t>ColSpa4 = Range("ColSpa4")</t>
  </si>
  <si>
    <t>ColSpa5 = Range("ColSpa5")</t>
  </si>
  <si>
    <t>ColSpa6 = Range("ColSpa6")</t>
  </si>
  <si>
    <t>ColSpa7 = Range("ColSpa7")</t>
  </si>
  <si>
    <t>ColSpa8 = Range("ColSpa8")</t>
  </si>
  <si>
    <t>ColSpa9 = Range("ColSpa9")</t>
  </si>
  <si>
    <t>ColSpa10 = Range("ColSpa10")</t>
  </si>
  <si>
    <t>ColHeightI = Range("ColHeightI")</t>
  </si>
  <si>
    <t>ColHeightII = Range("ColHeightII")</t>
  </si>
  <si>
    <t>BkBms = Range("BkBms")</t>
  </si>
  <si>
    <t>BBSPA1 = Range("BBSPA1")</t>
  </si>
  <si>
    <t>BBSPA2 = Range("BBSPA2")</t>
  </si>
  <si>
    <t>BBSPA3 = Range("BBSPA3")</t>
  </si>
  <si>
    <t>BBSPA4 = Range("BBSPA4")</t>
  </si>
  <si>
    <t>BBSPA5 = Range("BBSPA5")</t>
  </si>
  <si>
    <t>BBSPA6 = Range("BBSPA6")</t>
  </si>
  <si>
    <t>BBSPA7 = Range("BBSPA7")</t>
  </si>
  <si>
    <t>BBSPA8 = Range("BBSPA8")</t>
  </si>
  <si>
    <t>BBSPA9 = Range("BBSPA9")</t>
  </si>
  <si>
    <t>BBSPA10 = Range("BBSPA10")</t>
  </si>
  <si>
    <t>BBSPA11 = Range("BBSPA11")</t>
  </si>
  <si>
    <t>BBSPA12 = Range("BBSPA12")</t>
  </si>
  <si>
    <t>BBSPA13 = Range("BBSPA13")</t>
  </si>
  <si>
    <t>BBSPA14 = Range("BBSPA14")</t>
  </si>
  <si>
    <t>BBSPA15 = Range("BBSPA15")</t>
  </si>
  <si>
    <t>BBSPA16 = Range("BBSPA16")</t>
  </si>
  <si>
    <t>BBSPA17 = Range("BBSPA17")</t>
  </si>
  <si>
    <t>BBSPA18 = Range("BBSPA18")</t>
  </si>
  <si>
    <t>BBSPA19 = Range("BBSPA19")</t>
  </si>
  <si>
    <t>BBSPA20 = Range("BBSPA20")</t>
  </si>
  <si>
    <t>FdBms = Range("FdBms")</t>
  </si>
  <si>
    <t>FBSPA1 = Range("FBSPA1")</t>
  </si>
  <si>
    <t>FBSPA2 = Range("FBSPA2")</t>
  </si>
  <si>
    <t>FBSPA3 = Range("FBSPA3")</t>
  </si>
  <si>
    <t>FBSPA4 = Range("FBSPA4")</t>
  </si>
  <si>
    <t>FBSPA5 = Range("FBSPA5")</t>
  </si>
  <si>
    <t>FBSPA6 = Range("FBSPA6")</t>
  </si>
  <si>
    <t>FBSPA7 = Range("FBSPA7")</t>
  </si>
  <si>
    <t>FBSPA8 = Range("FBSPA8")</t>
  </si>
  <si>
    <t>FBSPA9 = Range("FBSPA9")</t>
  </si>
  <si>
    <t>FBSPA10 = Range("FBSPA10")</t>
  </si>
  <si>
    <t>FBSPA11 = Range("FBSPA11")</t>
  </si>
  <si>
    <t>FBSPA12 = Range("FBSPA12")</t>
  </si>
  <si>
    <t>FBSPA13 = Range("FBSPA13")</t>
  </si>
  <si>
    <t>FBSPA14 = Range("FBSPA14")</t>
  </si>
  <si>
    <t>FBSPA15 = Range("FBSPA15")</t>
  </si>
  <si>
    <t>FBSPA16 = Range("FBSPA16")</t>
  </si>
  <si>
    <t>FBSPA17 = Range("FBSPA17")</t>
  </si>
  <si>
    <t>FBSPA18 = Range("FBSPA18")</t>
  </si>
  <si>
    <t>FBSPA19 = Range("FBSPA19")</t>
  </si>
  <si>
    <t>FBSPA20 = Range("FBSPA20")</t>
  </si>
  <si>
    <t>Cmplx_Bk_Width = Range("Cmplx_Bk_Width")</t>
  </si>
  <si>
    <t>Cmplx_Fd_Width = Range("Cmplx_Fd_Width")</t>
  </si>
  <si>
    <t>segmentlength = Range("segmentlength")</t>
  </si>
  <si>
    <t>Breakbacks = Range("Breakbacks")</t>
  </si>
  <si>
    <t>ComplexSkew = Range("ComplexSkew")</t>
  </si>
  <si>
    <t>ComplexDistToSta = Range("ComplexDistToSta")</t>
  </si>
  <si>
    <t>Cmplx_Bk_PGLBm1 = Range("Cmplx_Bk_PGLBm1")</t>
  </si>
  <si>
    <t>Cmplx_Bk_PGLBm2 = Range("Cmplx_Bk_PGLBm2")</t>
  </si>
  <si>
    <t>Cmplx_Bk_PGLBm3 = Range("Cmplx_Bk_PGLBm3")</t>
  </si>
  <si>
    <t>Cmplx_Bk_PGLBm4 = Range("Cmplx_Bk_PGLBm4")</t>
  </si>
  <si>
    <t>Cmplx_Bk_PGLBm5 = Range("Cmplx_Bk_PGLBm5")</t>
  </si>
  <si>
    <t>Cmplx_Bk_PGLBm6 = Range("Cmplx_Bk_PGLBm6")</t>
  </si>
  <si>
    <t>Cmplx_Bk_PGLBm7 = Range("Cmplx_Bk_PGLBm7")</t>
  </si>
  <si>
    <t>Cmplx_Bk_PGLBm8 = Range("Cmplx_Bk_PGLBm8")</t>
  </si>
  <si>
    <t>Cmplx_Bk_PGLBm9 = Range("Cmplx_Bk_PGLBm9")</t>
  </si>
  <si>
    <t>Cmplx_Bk_PGLBm10 = Range("Cmplx_Bk_PGLBm10")</t>
  </si>
  <si>
    <t>Cmplx_Bk_PGLBm11 = Range("Cmplx_Bk_PGLBm11")</t>
  </si>
  <si>
    <t>Cmplx_Bk_PGLBm12 = Range("Cmplx_Bk_PGLBm12")</t>
  </si>
  <si>
    <t>Cmplx_Bk_PGLBm13 = Range("Cmplx_Bk_PGLBm13")</t>
  </si>
  <si>
    <t>Cmplx_Bk_PGLBm14 = Range("Cmplx_Bk_PGLBm14")</t>
  </si>
  <si>
    <t>Cmplx_Bk_PGLBm15 = Range("Cmplx_Bk_PGLBm15")</t>
  </si>
  <si>
    <t>Cmplx_Bk_PGLBm16 = Range("Cmplx_Bk_PGLBm16")</t>
  </si>
  <si>
    <t>Cmplx_Bk_PGLBm17 = Range("Cmplx_Bk_PGLBm17")</t>
  </si>
  <si>
    <t>Cmplx_Bk_PGLBm18 = Range("Cmplx_Bk_PGLBm18")</t>
  </si>
  <si>
    <t>Cmplx_Bk_PGLBm19 = Range("Cmplx_Bk_PGLBm19")</t>
  </si>
  <si>
    <t>Cmplx_Bk_PGLBm20 = Range("Cmplx_Bk_PGLBm20")</t>
  </si>
  <si>
    <t>Cmplx_Bk_CCBm1 = Range("Cmplx_Bk_CCBm1")</t>
  </si>
  <si>
    <t>Cmplx_Bk_CCBm2 = Range("Cmplx_Bk_CCBm2")</t>
  </si>
  <si>
    <t>Cmplx_Bk_CCBm3 = Range("Cmplx_Bk_CCBm3")</t>
  </si>
  <si>
    <t>Cmplx_Bk_CCBm4 = Range("Cmplx_Bk_CCBm4")</t>
  </si>
  <si>
    <t>Cmplx_Bk_CCBm5 = Range("Cmplx_Bk_CCBm5")</t>
  </si>
  <si>
    <t>Cmplx_Bk_CCBm6 = Range("Cmplx_Bk_CCBm6")</t>
  </si>
  <si>
    <t>Cmplx_Bk_CCBm7 = Range("Cmplx_Bk_CCBm7")</t>
  </si>
  <si>
    <t>Cmplx_Bk_CCBm8 = Range("Cmplx_Bk_CCBm8")</t>
  </si>
  <si>
    <t>Cmplx_Bk_CCBm9 = Range("Cmplx_Bk_CCBm9")</t>
  </si>
  <si>
    <t>Cmplx_Bk_CCBm10 = Range("Cmplx_Bk_CCBm10")</t>
  </si>
  <si>
    <t>Cmplx_Bk_CCBm11 = Range("Cmplx_Bk_CCBm11")</t>
  </si>
  <si>
    <t>Cmplx_Bk_CCBm12 = Range("Cmplx_Bk_CCBm12")</t>
  </si>
  <si>
    <t>Cmplx_Bk_CCBm13 = Range("Cmplx_Bk_CCBm13")</t>
  </si>
  <si>
    <t>Cmplx_Bk_CCBm14 = Range("Cmplx_Bk_CCBm14")</t>
  </si>
  <si>
    <t>Cmplx_Bk_CCBm15 = Range("Cmplx_Bk_CCBm15")</t>
  </si>
  <si>
    <t>Cmplx_Bk_CCBm16 = Range("Cmplx_Bk_CCBm16")</t>
  </si>
  <si>
    <t>Cmplx_Bk_CCBm17 = Range("Cmplx_Bk_CCBm17")</t>
  </si>
  <si>
    <t>Cmplx_Bk_CCBm18 = Range("Cmplx_Bk_CCBm18")</t>
  </si>
  <si>
    <t>Cmplx_Bk_CCBm19 = Range("Cmplx_Bk_CCBm19")</t>
  </si>
  <si>
    <t>Cmplx_Bk_CCBm20 = Range("Cmplx_Bk_CCBm20")</t>
  </si>
  <si>
    <t>Cmplx_Fd_PGLBm1 = Range("Cmplx_Fd_PGLBm1")</t>
  </si>
  <si>
    <t>Cmplx_Fd_PGLBm2 = Range("Cmplx_Fd_PGLBm2")</t>
  </si>
  <si>
    <t>Cmplx_Fd_PGLBm3 = Range("Cmplx_Fd_PGLBm3")</t>
  </si>
  <si>
    <t>Cmplx_Fd_PGLBm4 = Range("Cmplx_Fd_PGLBm4")</t>
  </si>
  <si>
    <t>Cmplx_Fd_PGLBm5 = Range("Cmplx_Fd_PGLBm5")</t>
  </si>
  <si>
    <t>Cmplx_Fd_PGLBm6 = Range("Cmplx_Fd_PGLBm6")</t>
  </si>
  <si>
    <t>Cmplx_Fd_PGLBm7 = Range("Cmplx_Fd_PGLBm7")</t>
  </si>
  <si>
    <t>Cmplx_Fd_PGLBm8 = Range("Cmplx_Fd_PGLBm8")</t>
  </si>
  <si>
    <t>Cmplx_Fd_PGLBm9 = Range("Cmplx_Fd_PGLBm9")</t>
  </si>
  <si>
    <t>Cmplx_Fd_PGLBm10 = Range("Cmplx_Fd_PGLBm10")</t>
  </si>
  <si>
    <t>Cmplx_Fd_PGLBm11 = Range("Cmplx_Fd_PGLBm11")</t>
  </si>
  <si>
    <t>Cmplx_Fd_PGLBm12 = Range("Cmplx_Fd_PGLBm12")</t>
  </si>
  <si>
    <t>Cmplx_Fd_PGLBm13 = Range("Cmplx_Fd_PGLBm13")</t>
  </si>
  <si>
    <t>Cmplx_Fd_PGLBm14 = Range("Cmplx_Fd_PGLBm14")</t>
  </si>
  <si>
    <t>Cmplx_Fd_PGLBm15 = Range("Cmplx_Fd_PGLBm15")</t>
  </si>
  <si>
    <t>Cmplx_Fd_PGLBm16 = Range("Cmplx_Fd_PGLBm16")</t>
  </si>
  <si>
    <t>Cmplx_Fd_PGLBm17 = Range("Cmplx_Fd_PGLBm17")</t>
  </si>
  <si>
    <t>Cmplx_Fd_PGLBm18 = Range("Cmplx_Fd_PGLBm18")</t>
  </si>
  <si>
    <t>Cmplx_Fd_PGLBm19 = Range("Cmplx_Fd_PGLBm19")</t>
  </si>
  <si>
    <t>Cmplx_Fd_PGLBm20 = Range("Cmplx_Fd_PGLBm20")</t>
  </si>
  <si>
    <t>Cmplx_Fd_CCBm1 = Range("Cmplx_Fd_CCBm1")</t>
  </si>
  <si>
    <t>Cmplx_Fd_CCBm2 = Range("Cmplx_Fd_CCBm2")</t>
  </si>
  <si>
    <t>Cmplx_Fd_CCBm3 = Range("Cmplx_Fd_CCBm3")</t>
  </si>
  <si>
    <t>Cmplx_Fd_CCBm4 = Range("Cmplx_Fd_CCBm4")</t>
  </si>
  <si>
    <t>Cmplx_Fd_CCBm5 = Range("Cmplx_Fd_CCBm5")</t>
  </si>
  <si>
    <t>Cmplx_Fd_CCBm6 = Range("Cmplx_Fd_CCBm6")</t>
  </si>
  <si>
    <t>Cmplx_Fd_CCBm7 = Range("Cmplx_Fd_CCBm7")</t>
  </si>
  <si>
    <t>Cmplx_Fd_CCBm8 = Range("Cmplx_Fd_CCBm8")</t>
  </si>
  <si>
    <t>Cmplx_Fd_CCBm9 = Range("Cmplx_Fd_CCBm9")</t>
  </si>
  <si>
    <t>Cmplx_Fd_CCBm10 = Range("Cmplx_Fd_CCBm10")</t>
  </si>
  <si>
    <t>Cmplx_Fd_CCBm11 = Range("Cmplx_Fd_CCBm11")</t>
  </si>
  <si>
    <t>Cmplx_Fd_CCBm12 = Range("Cmplx_Fd_CCBm12")</t>
  </si>
  <si>
    <t>Cmplx_Fd_CCBm13 = Range("Cmplx_Fd_CCBm13")</t>
  </si>
  <si>
    <t>Cmplx_Fd_CCBm14 = Range("Cmplx_Fd_CCBm14")</t>
  </si>
  <si>
    <t>Cmplx_Fd_CCBm15 = Range("Cmplx_Fd_CCBm15")</t>
  </si>
  <si>
    <t>Cmplx_Fd_CCBm16 = Range("Cmplx_Fd_CCBm16")</t>
  </si>
  <si>
    <t>Cmplx_Fd_CCBm17 = Range("Cmplx_Fd_CCBm17")</t>
  </si>
  <si>
    <t>Cmplx_Fd_CCBm18 = Range("Cmplx_Fd_CCBm18")</t>
  </si>
  <si>
    <t>Cmplx_Fd_CCBm19 = Range("Cmplx_Fd_CCBm19")</t>
  </si>
  <si>
    <t>Cmplx_Fd_CCBm20 = Range("Cmplx_Fd_CCBm20")</t>
  </si>
  <si>
    <t>IsPedestalContinuous = Range("IsPedestalContinuous")</t>
  </si>
  <si>
    <t>MiscCapWt = Range("MiscCapWt")</t>
  </si>
  <si>
    <t>addl_DC_P = Range("addl_DC_P")</t>
  </si>
  <si>
    <t>addl_DC_M = Range("addl_DC_M")</t>
  </si>
  <si>
    <t>addl_DC_Mx = Range("addl_DC_Mx")</t>
  </si>
  <si>
    <t>InputIncrement = Range("InputIncrement")</t>
  </si>
  <si>
    <t>CAP18NegMomLocation = Range("CAP18NegMomLocation")</t>
  </si>
  <si>
    <t>ExGirConsideredSC = Range("ExGirConsideredSC")</t>
  </si>
  <si>
    <t>INTBMLLDF = Range("INTBMLLDF")</t>
  </si>
  <si>
    <t>ExGirConsidered = Range("ExGirConsidered")</t>
  </si>
  <si>
    <t>INTBMLLDFMC = Range("INTBMLLDFMC")</t>
  </si>
  <si>
    <t>addl_LL_P = Range("addl_LL_P")</t>
  </si>
  <si>
    <t>addl_Ll_My = Range("addl_Ll_My")</t>
  </si>
  <si>
    <t>addl_LL_Mx = Range("addl_LL_Mx")</t>
  </si>
  <si>
    <t>BR_Neglect = Range("BR_Neglect")</t>
  </si>
  <si>
    <t>DesignWindSpeed = Range("DesignWindSpeed")</t>
  </si>
  <si>
    <t>ElevationAdjust = Range("ElevationAdjust")</t>
  </si>
  <si>
    <t>RoughnessCategory = Range("RoughnessCategory")</t>
  </si>
  <si>
    <t>Brg_Width = Range("Brg_Width")</t>
  </si>
  <si>
    <t>Brg_Length = Range("Brg_Length")</t>
  </si>
  <si>
    <t>BarSinsideLegs = Range("BarSinsideLegs")</t>
  </si>
  <si>
    <t>BarSspacing = Range("BarSspacing")</t>
  </si>
  <si>
    <t>BarsM = Range("BarsM")</t>
  </si>
  <si>
    <t>BarsMspacing = Range("BarsMspacing")</t>
  </si>
  <si>
    <t>BarsN = Range("BarsN")</t>
  </si>
  <si>
    <t>BarsNspacing = Range("BarsNspacing")</t>
  </si>
  <si>
    <t>BarsTstem = Range("BarsTstem")</t>
  </si>
  <si>
    <t>BarsTstemNo = Range("BarsTstemNo")</t>
  </si>
  <si>
    <t>BarsTledgeNo = Range("BarsTledgeNo")</t>
  </si>
  <si>
    <t>BarsTtopLedgeNo = Range("BarsTtopLedgeNo")</t>
  </si>
  <si>
    <t>InvT_P_Ext_srv = Range("InvT_P_Ext_srv")</t>
  </si>
  <si>
    <t>Range("ProjectSubject") = wb2.Worksheets("Geometry").Range("ProjectSubject")</t>
  </si>
  <si>
    <t>Range("ComplexGeom") = wb2.Worksheets("Complex Geometry").Range("ComplexGeom")</t>
  </si>
  <si>
    <t>Range("DeckWidth") = wb2.Worksheets("Geometry").Range("DeckWidth")</t>
  </si>
  <si>
    <t>Range("crossslope") = wb2.Worksheets("Geometry").Range("crossslope")</t>
  </si>
  <si>
    <t>Range("slabthickness") = wb2.Worksheets("Geometry").Range("slabthickness")</t>
  </si>
  <si>
    <t>Range("FWSthickness") = wb2.Worksheets("Geometry").Range("FWSthickness")</t>
  </si>
  <si>
    <t>Range("FWSwt") = wb2.Worksheets("Geometry").Range("FWSwt")</t>
  </si>
  <si>
    <t>Range("utilities") = wb2.Worksheets("Geometry").Range("utilities")</t>
  </si>
  <si>
    <t>Range("bkspangirder") = wb2.Worksheets("Geometry").Range("bkspangirder")</t>
  </si>
  <si>
    <t>Range("bkspanhaunch") = wb2.Worksheets("Geometry").Range("bkspanhaunch")</t>
  </si>
  <si>
    <t>Range("bkbrgpad") = wb2.Worksheets("Geometry").Range("bkbrgpad")</t>
  </si>
  <si>
    <t>Range("PedestalHt") = wb2.Worksheets("Geometry").Range("PedestalHt")</t>
  </si>
  <si>
    <t>Range("fdspangirder") = wb2.Worksheets("Geometry").Range("fdspangirder")</t>
  </si>
  <si>
    <t>Range("fdspanhaunch") = wb2.Worksheets("Geometry").Range("fdspanhaunch")</t>
  </si>
  <si>
    <t>Range("fdbrgpad") = wb2.Worksheets("Geometry").Range("fdbrgpad")</t>
  </si>
  <si>
    <t>Range("PGLradius") = wb2.Worksheets("Geometry").Range("PGLradius")</t>
  </si>
  <si>
    <t>Range("PGLdist") = wb2.Worksheets("Geometry").Range("PGLdist")</t>
  </si>
  <si>
    <t>Range("OSOHBack") = wb2.Worksheets("Geometry").Range("OSOHBack")</t>
  </si>
  <si>
    <t>Range("OSOHBackRT") = wb2.Worksheets("Geometry").Range("OSOHBackRT")</t>
  </si>
  <si>
    <t>Range("OSOH") = wb2.Worksheets("Geometry").Range("OSOH")</t>
  </si>
  <si>
    <t>Range("OSOHRT") = wb2.Worksheets("Geometry").Range("OSOHRT")</t>
  </si>
  <si>
    <t>Range("super?") = wb2.Worksheets("Geometry").Range("super?")</t>
  </si>
  <si>
    <t>Range("dsgnspeed") = wb2.Worksheets("Geometry").Range("dsgnspeed")</t>
  </si>
  <si>
    <t>Range("bkspanpgl") = wb2.Worksheets("Geometry").Range("bkspanpgl")</t>
  </si>
  <si>
    <t>Range("fdspanpgl") = wb2.Worksheets("Geometry").Range("fdspanpgl")</t>
  </si>
  <si>
    <t>Range("RailDistribution") = wb2.Worksheets("Geometry").Range("RailDistribution")</t>
  </si>
  <si>
    <t>Range("railLeft") = wb2.Worksheets("Geometry").Range("railLeft")</t>
  </si>
  <si>
    <t>Range("railRight") = wb2.Worksheets("Geometry").Range("railRight")</t>
  </si>
  <si>
    <t>Range("rail3rd") = wb2.Worksheets("Geometry").Range("rail3rd")</t>
  </si>
  <si>
    <t>Range("RailDistributeBackStart") = wb2.Worksheets("Geometry").Range("RailDistributeBackStart")</t>
  </si>
  <si>
    <t>Range("RailDistributeBackEnd") = wb2.Worksheets("Geometry").Range("RailDistributeBackEnd")</t>
  </si>
  <si>
    <t>Range("RailDistributeFwdStart") = wb2.Worksheets("Geometry").Range("RailDistributeFwdStart")</t>
  </si>
  <si>
    <t>Range("RailDistributeFwdEnd") = wb2.Worksheets("Geometry").Range("RailDistributeFwdEnd")</t>
  </si>
  <si>
    <t>Range("sdwkwidth") = wb2.Worksheets("Geometry").Range("sdwkwidth")</t>
  </si>
  <si>
    <t>Range("sdwkthickness") = wb2.Worksheets("Geometry").Range("sdwkthickness")</t>
  </si>
  <si>
    <t>Range("sdwkdensity") = wb2.Worksheets("Geometry").Range("sdwkdensity")</t>
  </si>
  <si>
    <t>Range("SWalkDistributeBackStart") = wb2.Worksheets("Geometry").Range("SWalkDistributeBackStart")</t>
  </si>
  <si>
    <t>Range("SWalkDistributeBackEnd") = wb2.Worksheets("Geometry").Range("SWalkDistributeBackEnd")</t>
  </si>
  <si>
    <t>Range("SWalkDistributeFwdStart") = wb2.Worksheets("Geometry").Range("SWalkDistributeFwdStart")</t>
  </si>
  <si>
    <t>Range("SWalkDistributeFwdEnd") = wb2.Worksheets("Geometry").Range("SWalkDistributeFwdEnd")</t>
  </si>
  <si>
    <t>Range("CapType") = wb2.Worksheets("Geometry").Range("CapType")</t>
  </si>
  <si>
    <t>Range("capdensity") = wb2.Worksheets("Geometry").Range("capdensity")</t>
  </si>
  <si>
    <t>Range("fc") = wb2.Worksheets("Geometry").Range("fc")</t>
  </si>
  <si>
    <t>Range("fy") = wb2.Worksheets("Geometry").Range("fy")</t>
  </si>
  <si>
    <t>Range("exposure") = wb2.Worksheets("Geometry").Range("exposure")</t>
  </si>
  <si>
    <t>Range("BentSkew") = wb2.Worksheets("Geometry").Range("BentSkew")</t>
  </si>
  <si>
    <t>Range("caplength") = wb2.Worksheets("Geometry").Range("caplength")</t>
  </si>
  <si>
    <t>Range("BkBm1toCapEnd") = wb2.Worksheets("Geometry").Range("BkBm1toCapEnd")</t>
  </si>
  <si>
    <t>Range("Bm1toCapEnd") = wb2.Worksheets("Geometry").Range("Bm1toCapEnd")</t>
  </si>
  <si>
    <t>Range("BackBentSkew") = wb2.Worksheets("Geometry").Range("BackBentSkew")</t>
  </si>
  <si>
    <t>Range("FwdBentSkew") = wb2.Worksheets("Geometry").Range("FwdBentSkew")</t>
  </si>
  <si>
    <t>Range("offsettolevelingpad") = wb2.Worksheets("Geometry").Range("K66") 'For V8.0</t>
  </si>
  <si>
    <t>Range("offsettolevelingpad") = wb2.Worksheets("Geometry").Range("offsettolevelingpad")</t>
  </si>
  <si>
    <t>Range("CapLedgeDepth") = wb2.Worksheets("Geometry").Range("CapLedgeDepth")</t>
  </si>
  <si>
    <t>Range("InvTeeBotWidth") = wb2.Worksheets("Geometry").Range("InvTeeBotWidth")</t>
  </si>
  <si>
    <t>Range("BearingDist") = wb2.Worksheets("Geometry").Range("BearingDist")</t>
  </si>
  <si>
    <t>Range("capheight") = wb2.Worksheets("Geometry").Range("capheight")</t>
  </si>
  <si>
    <t>Range("capstemWidth") = wb2.Worksheets("Geometry").Range("capstemWidth")</t>
  </si>
  <si>
    <t>Range("Earwall_Left") = wb2.Worksheets("Geometry").Range("Earwall_Left")</t>
  </si>
  <si>
    <t>Range("Earwall_Right") = wb2.Worksheets("Geometry").Range("Earwall_Right")</t>
  </si>
  <si>
    <t>Range("Earwall_Area") = wb2.Worksheets("Geometry").Range("Earwall_Area")</t>
  </si>
  <si>
    <t>Range("BarsA") = wb2.Worksheets("Geometry").Range("BarsA")</t>
  </si>
  <si>
    <t>Range("BarsAdist") = wb2.Worksheets("Geometry").Range("BarsAdist")</t>
  </si>
  <si>
    <t>Range("Arow1") = wb2.Worksheets("Geometry").Range("Arow1")</t>
  </si>
  <si>
    <t>Range("Arow2") = wb2.Worksheets("Geometry").Range("Arow2")</t>
  </si>
  <si>
    <t>Range("Arow3") = wb2.Worksheets("Geometry").Range("Arow3")</t>
  </si>
  <si>
    <t>Range("BarsB") = wb2.Worksheets("Geometry").Range("BarsB")</t>
  </si>
  <si>
    <t>Range("BarsBdist") = wb2.Worksheets("Geometry").Range("BarsBdist")</t>
  </si>
  <si>
    <t>Range("Brow1") = wb2.Worksheets("Geometry").Range("Brow1")</t>
  </si>
  <si>
    <t>Range("Brow2") = wb2.Worksheets("Geometry").Range("Brow2")</t>
  </si>
  <si>
    <t>Range("Brow3") = wb2.Worksheets("Geometry").Range("Brow3")</t>
  </si>
  <si>
    <t>Range("IncreaseClearCover") = wb2.Worksheets("Geometry").Range("O88") 'For V8.0</t>
  </si>
  <si>
    <t>Range("IncreaseClearCover") = wb2.Worksheets("Geometry").Range("IncreaseClearCover")</t>
  </si>
  <si>
    <t>Range("BarSArrange") = wb2.Worksheets("Geometry").Range("BarSArrange")</t>
  </si>
  <si>
    <t>Range("BarS") = wb2.Worksheets("Geometry").Range("BarS")</t>
  </si>
  <si>
    <t>Range("BarsH") = wb2.Worksheets("Geometry").Range("BarsH")</t>
  </si>
  <si>
    <t>Range("NoHbars") = wb2.Worksheets("Geometry").Range("NoHbars")</t>
  </si>
  <si>
    <t>Range("AestheticCol") = wb2.Worksheets("Geometry").Range("AestheticCol")</t>
  </si>
  <si>
    <t>Range("ColType") = wb2.Worksheets("Geometry").Range("ColType")</t>
  </si>
  <si>
    <t>Range("NoSupports") = wb2.Worksheets("Geometry").Range("NoSupports")</t>
  </si>
  <si>
    <t>Range("coltranswidth") = wb2.Worksheets("Geometry").Range("coltranswidth")</t>
  </si>
  <si>
    <t>Range("collongwidth") = wb2.Worksheets("Geometry").Range("collongwidth")</t>
  </si>
  <si>
    <t>Range("CapitalWidth") = wb2.Worksheets("Geometry").Range("CapitalWidth")</t>
  </si>
  <si>
    <t>Range("CapitalWeight") = wb2.Worksheets("Geometry").Range("CapitalWeight")</t>
  </si>
  <si>
    <t>Range("ColSpa1") = wb2.Worksheets("Geometry").Range("ColSpa1")</t>
  </si>
  <si>
    <t>Range("ColSpa2") = wb2.Worksheets("Geometry").Range("ColSpa2")</t>
  </si>
  <si>
    <t>Range("ColSpa3") = wb2.Worksheets("Geometry").Range("ColSpa3")</t>
  </si>
  <si>
    <t>Range("ColSpa4") = wb2.Worksheets("Geometry").Range("ColSpa4")</t>
  </si>
  <si>
    <t>Range("ColSpa5") = wb2.Worksheets("Geometry").Range("ColSpa5")</t>
  </si>
  <si>
    <t>Range("ColSpa6") = wb2.Worksheets("Geometry").Range("ColSpa6")</t>
  </si>
  <si>
    <t>Range("ColSpa7") = wb2.Worksheets("Geometry").Range("ColSpa7")</t>
  </si>
  <si>
    <t>Range("ColSpa8") = wb2.Worksheets("Geometry").Range("ColSpa8")</t>
  </si>
  <si>
    <t>Range("ColSpa9") = wb2.Worksheets("Geometry").Range("ColSpa9")</t>
  </si>
  <si>
    <t>Range("ColSpa10") = wb2.Worksheets("Geometry").Range("ColSpa10")</t>
  </si>
  <si>
    <t>Range("ColHeightI") = wb2.Worksheets("Geometry").Range("ColHeightI")</t>
  </si>
  <si>
    <t>Range("ColHeightII") = wb2.Worksheets("Geometry").Range("ColHeightII")</t>
  </si>
  <si>
    <t>Range("BkBms") = wb2.Worksheets("Geometry").Range("BkBms")</t>
  </si>
  <si>
    <t>Range("BBSPA1") = wb2.Worksheets("Geometry").Range("BBSPA1")</t>
  </si>
  <si>
    <t>Range("BBSPA2") = wb2.Worksheets("Geometry").Range("BBSPA2")</t>
  </si>
  <si>
    <t>Range("BBSPA3") = wb2.Worksheets("Geometry").Range("BBSPA3")</t>
  </si>
  <si>
    <t>Range("BBSPA4") = wb2.Worksheets("Geometry").Range("BBSPA4")</t>
  </si>
  <si>
    <t>Range("BBSPA5") = wb2.Worksheets("Geometry").Range("BBSPA5")</t>
  </si>
  <si>
    <t>Range("BBSPA6") = wb2.Worksheets("Geometry").Range("BBSPA6")</t>
  </si>
  <si>
    <t>Range("BBSPA7") = wb2.Worksheets("Geometry").Range("BBSPA7")</t>
  </si>
  <si>
    <t>Range("BBSPA8") = wb2.Worksheets("Geometry").Range("BBSPA8")</t>
  </si>
  <si>
    <t>Range("BBSPA9") = wb2.Worksheets("Geometry").Range("BBSPA9")</t>
  </si>
  <si>
    <t>Range("BBSPA10") = wb2.Worksheets("Geometry").Range("BBSPA10")</t>
  </si>
  <si>
    <t>Range("BBSPA11") = wb2.Worksheets("Geometry").Range("BBSPA11")</t>
  </si>
  <si>
    <t>Range("BBSPA12") = wb2.Worksheets("Geometry").Range("BBSPA12")</t>
  </si>
  <si>
    <t>Range("BBSPA13") = wb2.Worksheets("Geometry").Range("BBSPA13")</t>
  </si>
  <si>
    <t>Range("BBSPA14") = wb2.Worksheets("Geometry").Range("BBSPA14")</t>
  </si>
  <si>
    <t>Range("BBSPA15") = wb2.Worksheets("Geometry").Range("BBSPA15")</t>
  </si>
  <si>
    <t>Range("BBSPA16") = wb2.Worksheets("Geometry").Range("BBSPA16")</t>
  </si>
  <si>
    <t>Range("BBSPA17") = wb2.Worksheets("Geometry").Range("BBSPA17")</t>
  </si>
  <si>
    <t>Range("BBSPA18") = wb2.Worksheets("Geometry").Range("BBSPA18")</t>
  </si>
  <si>
    <t>Range("BBSPA19") = wb2.Worksheets("Geometry").Range("BBSPA19")</t>
  </si>
  <si>
    <t>Range("BBSPA20") = wb2.Worksheets("Geometry").Range("BBSPA20")</t>
  </si>
  <si>
    <t>Range("FdBms") = wb2.Worksheets("Geometry").Range("FdBms")</t>
  </si>
  <si>
    <t>Range("FBSPA1") = wb2.Worksheets("Geometry").Range("FBSPA1")</t>
  </si>
  <si>
    <t>Range("FBSPA2") = wb2.Worksheets("Geometry").Range("FBSPA2")</t>
  </si>
  <si>
    <t>Range("FBSPA3") = wb2.Worksheets("Geometry").Range("FBSPA3")</t>
  </si>
  <si>
    <t>Range("FBSPA4") = wb2.Worksheets("Geometry").Range("FBSPA4")</t>
  </si>
  <si>
    <t>Range("FBSPA5") = wb2.Worksheets("Geometry").Range("FBSPA5")</t>
  </si>
  <si>
    <t>Range("FBSPA6") = wb2.Worksheets("Geometry").Range("FBSPA6")</t>
  </si>
  <si>
    <t>Range("FBSPA7") = wb2.Worksheets("Geometry").Range("FBSPA7")</t>
  </si>
  <si>
    <t>Range("FBSPA8") = wb2.Worksheets("Geometry").Range("FBSPA8")</t>
  </si>
  <si>
    <t>Range("FBSPA9") = wb2.Worksheets("Geometry").Range("FBSPA9")</t>
  </si>
  <si>
    <t>Range("FBSPA10") = wb2.Worksheets("Geometry").Range("FBSPA10")</t>
  </si>
  <si>
    <t>Range("FBSPA11") = wb2.Worksheets("Geometry").Range("FBSPA11")</t>
  </si>
  <si>
    <t>Range("FBSPA12") = wb2.Worksheets("Geometry").Range("FBSPA12")</t>
  </si>
  <si>
    <t>Range("FBSPA13") = wb2.Worksheets("Geometry").Range("FBSPA13")</t>
  </si>
  <si>
    <t>Range("FBSPA14") = wb2.Worksheets("Geometry").Range("FBSPA14")</t>
  </si>
  <si>
    <t>Range("FBSPA15") = wb2.Worksheets("Geometry").Range("FBSPA15")</t>
  </si>
  <si>
    <t>Range("FBSPA16") = wb2.Worksheets("Geometry").Range("FBSPA16")</t>
  </si>
  <si>
    <t>Range("FBSPA17") = wb2.Worksheets("Geometry").Range("FBSPA17")</t>
  </si>
  <si>
    <t>Range("FBSPA18") = wb2.Worksheets("Geometry").Range("FBSPA18")</t>
  </si>
  <si>
    <t>Range("FBSPA19") = wb2.Worksheets("Geometry").Range("FBSPA19")</t>
  </si>
  <si>
    <t>Range("FBSPA20") = wb2.Worksheets("Geometry").Range("FBSPA20")</t>
  </si>
  <si>
    <t>Range("Cmplx_Bk_Width") = wb2.Worksheets("Complex Geometry").Range("Cmplx_Bk_Width")</t>
  </si>
  <si>
    <t>Range("Cmplx_Fd_Width") = wb2.Worksheets("Complex Geometry").Range("Cmplx_Fd_Width")</t>
  </si>
  <si>
    <t>Range("segmentlength") = wb2.Worksheets("Complex Geometry").Range("segmentlength")</t>
  </si>
  <si>
    <t>Range("Breakbacks") = wb2.Worksheets("Complex Geometry").Range("Breakbacks")</t>
  </si>
  <si>
    <t>Range("ComplexSkew") = wb2.Worksheets("Complex Geometry").Range("ComplexSkew")</t>
  </si>
  <si>
    <t>Range("ComplexDistToSta") = wb2.Worksheets("Complex Geometry").Range("ComplexDistToSta")</t>
  </si>
  <si>
    <t>Range("Cmplx_Bk_PGLBm1") = wb2.Worksheets("Complex Geometry").Range("Cmplx_Bk_PGLBm1")</t>
  </si>
  <si>
    <t>Range("Cmplx_Bk_PGLBm2") = wb2.Worksheets("Complex Geometry").Range("Cmplx_Bk_PGLBm2")</t>
  </si>
  <si>
    <t>Range("Cmplx_Bk_PGLBm3") = wb2.Worksheets("Complex Geometry").Range("Cmplx_Bk_PGLBm3")</t>
  </si>
  <si>
    <t>Range("Cmplx_Bk_PGLBm4") = wb2.Worksheets("Complex Geometry").Range("Cmplx_Bk_PGLBm4")</t>
  </si>
  <si>
    <t>Range("Cmplx_Bk_PGLBm5") = wb2.Worksheets("Complex Geometry").Range("Cmplx_Bk_PGLBm5")</t>
  </si>
  <si>
    <t>Range("Cmplx_Bk_PGLBm6") = wb2.Worksheets("Complex Geometry").Range("Cmplx_Bk_PGLBm6")</t>
  </si>
  <si>
    <t>Range("Cmplx_Bk_PGLBm7") = wb2.Worksheets("Complex Geometry").Range("Cmplx_Bk_PGLBm7")</t>
  </si>
  <si>
    <t>Range("Cmplx_Bk_PGLBm8") = wb2.Worksheets("Complex Geometry").Range("Cmplx_Bk_PGLBm8")</t>
  </si>
  <si>
    <t>Range("Cmplx_Bk_PGLBm9") = wb2.Worksheets("Complex Geometry").Range("Cmplx_Bk_PGLBm9")</t>
  </si>
  <si>
    <t>Range("Cmplx_Bk_PGLBm10") = wb2.Worksheets("Complex Geometry").Range("Cmplx_Bk_PGLBm10")</t>
  </si>
  <si>
    <t>Range("Cmplx_Bk_PGLBm11") = wb2.Worksheets("Complex Geometry").Range("Cmplx_Bk_PGLBm11")</t>
  </si>
  <si>
    <t>Range("Cmplx_Bk_PGLBm12") = wb2.Worksheets("Complex Geometry").Range("Cmplx_Bk_PGLBm12")</t>
  </si>
  <si>
    <t>Range("Cmplx_Bk_PGLBm13") = wb2.Worksheets("Complex Geometry").Range("Cmplx_Bk_PGLBm13")</t>
  </si>
  <si>
    <t>Range("Cmplx_Bk_PGLBm14") = wb2.Worksheets("Complex Geometry").Range("Cmplx_Bk_PGLBm14")</t>
  </si>
  <si>
    <t>Range("Cmplx_Bk_PGLBm15") = wb2.Worksheets("Complex Geometry").Range("Cmplx_Bk_PGLBm15")</t>
  </si>
  <si>
    <t>Range("Cmplx_Bk_PGLBm16") = wb2.Worksheets("Complex Geometry").Range("Cmplx_Bk_PGLBm16")</t>
  </si>
  <si>
    <t>Range("Cmplx_Bk_PGLBm17") = wb2.Worksheets("Complex Geometry").Range("Cmplx_Bk_PGLBm17")</t>
  </si>
  <si>
    <t>Range("Cmplx_Bk_PGLBm18") = wb2.Worksheets("Complex Geometry").Range("Cmplx_Bk_PGLBm18")</t>
  </si>
  <si>
    <t>Range("Cmplx_Bk_PGLBm19") = wb2.Worksheets("Complex Geometry").Range("Cmplx_Bk_PGLBm19")</t>
  </si>
  <si>
    <t>Range("Cmplx_Bk_PGLBm20") = wb2.Worksheets("Complex Geometry").Range("Cmplx_Bk_PGLBm20")</t>
  </si>
  <si>
    <t>Range("Cmplx_Bk_CCBm1") = wb2.Worksheets("Complex Geometry").Range("Cmplx_Bk_CCBm1")</t>
  </si>
  <si>
    <t>Range("Cmplx_Bk_CCBm2") = wb2.Worksheets("Complex Geometry").Range("Cmplx_Bk_CCBm2")</t>
  </si>
  <si>
    <t>Range("Cmplx_Bk_CCBm3") = wb2.Worksheets("Complex Geometry").Range("Cmplx_Bk_CCBm3")</t>
  </si>
  <si>
    <t>Range("Cmplx_Bk_CCBm4") = wb2.Worksheets("Complex Geometry").Range("Cmplx_Bk_CCBm4")</t>
  </si>
  <si>
    <t>Range("Cmplx_Bk_CCBm5") = wb2.Worksheets("Complex Geometry").Range("Cmplx_Bk_CCBm5")</t>
  </si>
  <si>
    <t>Range("Cmplx_Bk_CCBm6") = wb2.Worksheets("Complex Geometry").Range("Cmplx_Bk_CCBm6")</t>
  </si>
  <si>
    <t>Range("Cmplx_Bk_CCBm7") = wb2.Worksheets("Complex Geometry").Range("Cmplx_Bk_CCBm7")</t>
  </si>
  <si>
    <t>Range("Cmplx_Bk_CCBm8") = wb2.Worksheets("Complex Geometry").Range("Cmplx_Bk_CCBm8")</t>
  </si>
  <si>
    <t>Range("Cmplx_Bk_CCBm9") = wb2.Worksheets("Complex Geometry").Range("Cmplx_Bk_CCBm9")</t>
  </si>
  <si>
    <t>Range("Cmplx_Bk_CCBm10") = wb2.Worksheets("Complex Geometry").Range("Cmplx_Bk_CCBm10")</t>
  </si>
  <si>
    <t>Range("Cmplx_Bk_CCBm11") = wb2.Worksheets("Complex Geometry").Range("Cmplx_Bk_CCBm11")</t>
  </si>
  <si>
    <t>Range("Cmplx_Bk_CCBm12") = wb2.Worksheets("Complex Geometry").Range("Cmplx_Bk_CCBm12")</t>
  </si>
  <si>
    <t>Range("Cmplx_Bk_CCBm13") = wb2.Worksheets("Complex Geometry").Range("Cmplx_Bk_CCBm13")</t>
  </si>
  <si>
    <t>Range("Cmplx_Bk_CCBm14") = wb2.Worksheets("Complex Geometry").Range("Cmplx_Bk_CCBm14")</t>
  </si>
  <si>
    <t>Range("Cmplx_Bk_CCBm15") = wb2.Worksheets("Complex Geometry").Range("Cmplx_Bk_CCBm15")</t>
  </si>
  <si>
    <t>Range("Cmplx_Bk_CCBm16") = wb2.Worksheets("Complex Geometry").Range("Cmplx_Bk_CCBm16")</t>
  </si>
  <si>
    <t>Range("Cmplx_Bk_CCBm17") = wb2.Worksheets("Complex Geometry").Range("Cmplx_Bk_CCBm17")</t>
  </si>
  <si>
    <t>Range("Cmplx_Bk_CCBm18") = wb2.Worksheets("Complex Geometry").Range("Cmplx_Bk_CCBm18")</t>
  </si>
  <si>
    <t>Range("Cmplx_Bk_CCBm19") = wb2.Worksheets("Complex Geometry").Range("Cmplx_Bk_CCBm19")</t>
  </si>
  <si>
    <t>Range("Cmplx_Bk_CCBm20") = wb2.Worksheets("Complex Geometry").Range("Cmplx_Bk_CCBm20")</t>
  </si>
  <si>
    <t>Range("Cmplx_Fd_PGLBm1") = wb2.Worksheets("Complex Geometry").Range("Cmplx_Fd_PGLBm1")</t>
  </si>
  <si>
    <t>Range("Cmplx_Fd_PGLBm2") = wb2.Worksheets("Complex Geometry").Range("Cmplx_Fd_PGLBm2")</t>
  </si>
  <si>
    <t>Range("Cmplx_Fd_PGLBm3") = wb2.Worksheets("Complex Geometry").Range("Cmplx_Fd_PGLBm3")</t>
  </si>
  <si>
    <t>Range("Cmplx_Fd_PGLBm4") = wb2.Worksheets("Complex Geometry").Range("Cmplx_Fd_PGLBm4")</t>
  </si>
  <si>
    <t>Range("Cmplx_Fd_PGLBm5") = wb2.Worksheets("Complex Geometry").Range("Cmplx_Fd_PGLBm5")</t>
  </si>
  <si>
    <t>Range("Cmplx_Fd_PGLBm6") = wb2.Worksheets("Complex Geometry").Range("Cmplx_Fd_PGLBm6")</t>
  </si>
  <si>
    <t>Range("Cmplx_Fd_PGLBm7") = wb2.Worksheets("Complex Geometry").Range("Cmplx_Fd_PGLBm7")</t>
  </si>
  <si>
    <t>Range("Cmplx_Fd_PGLBm8") = wb2.Worksheets("Complex Geometry").Range("Cmplx_Fd_PGLBm8")</t>
  </si>
  <si>
    <t>Range("Cmplx_Fd_PGLBm9") = wb2.Worksheets("Complex Geometry").Range("Cmplx_Fd_PGLBm9")</t>
  </si>
  <si>
    <t>Range("Cmplx_Fd_PGLBm10") = wb2.Worksheets("Complex Geometry").Range("Cmplx_Fd_PGLBm10")</t>
  </si>
  <si>
    <t>Range("Cmplx_Fd_PGLBm11") = wb2.Worksheets("Complex Geometry").Range("Cmplx_Fd_PGLBm11")</t>
  </si>
  <si>
    <t>Range("Cmplx_Fd_PGLBm12") = wb2.Worksheets("Complex Geometry").Range("Cmplx_Fd_PGLBm12")</t>
  </si>
  <si>
    <t>Range("Cmplx_Fd_PGLBm13") = wb2.Worksheets("Complex Geometry").Range("Cmplx_Fd_PGLBm13")</t>
  </si>
  <si>
    <t>Range("Cmplx_Fd_PGLBm14") = wb2.Worksheets("Complex Geometry").Range("Cmplx_Fd_PGLBm14")</t>
  </si>
  <si>
    <t>Range("Cmplx_Fd_PGLBm15") = wb2.Worksheets("Complex Geometry").Range("Cmplx_Fd_PGLBm15")</t>
  </si>
  <si>
    <t>Range("Cmplx_Fd_PGLBm16") = wb2.Worksheets("Complex Geometry").Range("Cmplx_Fd_PGLBm16")</t>
  </si>
  <si>
    <t>Range("Cmplx_Fd_PGLBm17") = wb2.Worksheets("Complex Geometry").Range("Cmplx_Fd_PGLBm17")</t>
  </si>
  <si>
    <t>Range("Cmplx_Fd_PGLBm18") = wb2.Worksheets("Complex Geometry").Range("Cmplx_Fd_PGLBm18")</t>
  </si>
  <si>
    <t>Range("Cmplx_Fd_PGLBm19") = wb2.Worksheets("Complex Geometry").Range("Cmplx_Fd_PGLBm19")</t>
  </si>
  <si>
    <t>Range("Cmplx_Fd_PGLBm20") = wb2.Worksheets("Complex Geometry").Range("Cmplx_Fd_PGLBm20")</t>
  </si>
  <si>
    <t>Range("Cmplx_Fd_CCBm1") = wb2.Worksheets("Complex Geometry").Range("Cmplx_Fd_CCBm1")</t>
  </si>
  <si>
    <t>Range("Cmplx_Fd_CCBm2") = wb2.Worksheets("Complex Geometry").Range("Cmplx_Fd_CCBm2")</t>
  </si>
  <si>
    <t>Range("Cmplx_Fd_CCBm3") = wb2.Worksheets("Complex Geometry").Range("Cmplx_Fd_CCBm3")</t>
  </si>
  <si>
    <t>Range("Cmplx_Fd_CCBm4") = wb2.Worksheets("Complex Geometry").Range("Cmplx_Fd_CCBm4")</t>
  </si>
  <si>
    <t>Range("Cmplx_Fd_CCBm5") = wb2.Worksheets("Complex Geometry").Range("Cmplx_Fd_CCBm5")</t>
  </si>
  <si>
    <t>Range("Cmplx_Fd_CCBm6") = wb2.Worksheets("Complex Geometry").Range("Cmplx_Fd_CCBm6")</t>
  </si>
  <si>
    <t>Range("Cmplx_Fd_CCBm7") = wb2.Worksheets("Complex Geometry").Range("Cmplx_Fd_CCBm7")</t>
  </si>
  <si>
    <t>Range("Cmplx_Fd_CCBm8") = wb2.Worksheets("Complex Geometry").Range("Cmplx_Fd_CCBm8")</t>
  </si>
  <si>
    <t>Range("Cmplx_Fd_CCBm9") = wb2.Worksheets("Complex Geometry").Range("Cmplx_Fd_CCBm9")</t>
  </si>
  <si>
    <t>Range("Cmplx_Fd_CCBm10") = wb2.Worksheets("Complex Geometry").Range("Cmplx_Fd_CCBm10")</t>
  </si>
  <si>
    <t>Range("Cmplx_Fd_CCBm11") = wb2.Worksheets("Complex Geometry").Range("Cmplx_Fd_CCBm11")</t>
  </si>
  <si>
    <t>Range("Cmplx_Fd_CCBm12") = wb2.Worksheets("Complex Geometry").Range("Cmplx_Fd_CCBm12")</t>
  </si>
  <si>
    <t>Range("Cmplx_Fd_CCBm13") = wb2.Worksheets("Complex Geometry").Range("Cmplx_Fd_CCBm13")</t>
  </si>
  <si>
    <t>Range("Cmplx_Fd_CCBm14") = wb2.Worksheets("Complex Geometry").Range("Cmplx_Fd_CCBm14")</t>
  </si>
  <si>
    <t>Range("Cmplx_Fd_CCBm15") = wb2.Worksheets("Complex Geometry").Range("Cmplx_Fd_CCBm15")</t>
  </si>
  <si>
    <t>Range("Cmplx_Fd_CCBm16") = wb2.Worksheets("Complex Geometry").Range("Cmplx_Fd_CCBm16")</t>
  </si>
  <si>
    <t>Range("Cmplx_Fd_CCBm17") = wb2.Worksheets("Complex Geometry").Range("Cmplx_Fd_CCBm17")</t>
  </si>
  <si>
    <t>Range("Cmplx_Fd_CCBm18") = wb2.Worksheets("Complex Geometry").Range("Cmplx_Fd_CCBm18")</t>
  </si>
  <si>
    <t>Range("Cmplx_Fd_CCBm19") = wb2.Worksheets("Complex Geometry").Range("Cmplx_Fd_CCBm19")</t>
  </si>
  <si>
    <t>Range("Cmplx_Fd_CCBm20") = wb2.Worksheets("Complex Geometry").Range("Cmplx_Fd_CCBm20")</t>
  </si>
  <si>
    <t>Range("IsPedestalContinuous") = wb2.Worksheets("Conc DL").Range("G113") 'For V8.0</t>
  </si>
  <si>
    <t>Range("IsPedestalContinuous") = wb2.Worksheets("Conc DL").Range("IsPedestalContinuous")</t>
  </si>
  <si>
    <t>Range("MiscCapWt") = wb2.Worksheets("Conc DL").Range("K113") 'For V8.0</t>
  </si>
  <si>
    <t>Range("MiscCapWt") = wb2.Worksheets("Conc DL").Range("MiscCapWt")</t>
  </si>
  <si>
    <t>Range("addl_DC_P") = wb2.Worksheets("Dead Load Moment").Range("addl_DC_P")</t>
  </si>
  <si>
    <t>Range("addl_DC_M") = wb2.Worksheets("Dead Load Moment").Range("addl_DC_M")</t>
  </si>
  <si>
    <t>Range("addl_DC_Mx") = wb2.Worksheets("Dead Load Moment").Range("addl_DC_Mx")</t>
  </si>
  <si>
    <t>Range("InputIncrement") = wb2.Worksheets("CAP18 Input").Range("InputIncrement")</t>
  </si>
  <si>
    <t>Range("CAP18NegMomLocation") = wb2.Worksheets("CAP18 Out(1)").Range("G9") 'For V8.0</t>
  </si>
  <si>
    <t>Range("CAP18NegMomLocation") = wb2.Worksheets("CAP18 Out(1)").Range("CAP18NegMomLocation")</t>
  </si>
  <si>
    <t>Range("ExGirConsideredSC") = wb2.Worksheets("Inv Tee-SC").Range("F330") 'For V8.0</t>
  </si>
  <si>
    <t>Range("ExGirConsideredSC") = wb2.Worksheets("Inv Tee-SC").Range("ExGirConsideredSC")</t>
  </si>
  <si>
    <t>Range("INTBMLLDF") = wb2.Worksheets("Inv Tee-SC").Range("INTBMLLDF")</t>
  </si>
  <si>
    <t>Range("ExGirConsidered") = wb2.Worksheets("Inv Tee").Range("F301") 'For V8.0</t>
  </si>
  <si>
    <t>Range("ExGirConsidered") = wb2.Worksheets("Inv Tee").Range("ExGirConsidered")</t>
  </si>
  <si>
    <t>Range("INTBMLLDFMC") = wb2.Worksheets("Inv Tee").Range("INTBMLLDFMC")</t>
  </si>
  <si>
    <t>Range("addl_LL_P") = wb2.Worksheets("Live Load on Column").Range("addl_LL_P")</t>
  </si>
  <si>
    <t>Range("addl_Ll_My") = wb2.Worksheets("Live Load on Column").Range("addl_Ll_My")</t>
  </si>
  <si>
    <t>Range("addl_LL_Mx") = wb2.Worksheets("Live Load on Column").Range("addl_LL_Mx")</t>
  </si>
  <si>
    <t>Range("BR_Neglect") = wb2.Worksheets("CE &amp; BR").Range("BR_Neglect")</t>
  </si>
  <si>
    <t>Range("DesignWindSpeed") = wb2.Worksheets("Wind Loads").Range("F12") 'For V8.0</t>
  </si>
  <si>
    <t>Range("DesignWindSpeed") = wb2.Worksheets("Wind Loads").Range("DesignWindSpeed")</t>
  </si>
  <si>
    <t>Range("ElevationAdjust") = wb2.Worksheets("Wind Loads").Range("ElevationAdjust")</t>
  </si>
  <si>
    <t>Range("RoughnessCategory") = wb2.Worksheets("Wind Loads").Range("E27") 'For V8.0</t>
  </si>
  <si>
    <t>Range("RoughnessCategory") = wb2.Worksheets("Wind Loads").Range("RoughnessCategory")</t>
  </si>
  <si>
    <t>Range("Brg_Width") = wb3.Worksheets("Geometry").Range("Brg_Width")</t>
  </si>
  <si>
    <t>Range("Brg_Length") = wb3.Worksheets("Geometry").Range("Brg_Length")</t>
  </si>
  <si>
    <t>Range("BarS") = wb3.Worksheets("Geometry").Range("BarS")</t>
  </si>
  <si>
    <t>Range("BarSArrange") = wb3.Worksheets("Geometry").Range("BarSArrange")</t>
  </si>
  <si>
    <t>Range("BarSinsideLegs") = wb3.Worksheets("Geometry").Range("C47") 'For V8.0</t>
  </si>
  <si>
    <t>Range("BarSinsideLegs") = wb3.Worksheets("Geometry").Range("BarSinsideLegs")</t>
  </si>
  <si>
    <t>Range("BarSspacing") = wb3.Worksheets("Geometry").Range("H46") 'ForV8.0</t>
  </si>
  <si>
    <t>Range("BarSspacing") = wb3.Worksheets("Geometry").Range("BarSspacing")</t>
  </si>
  <si>
    <t>Range("BarsM") = wb3.Worksheets("Geometry").Range("C49") 'For V8.0</t>
  </si>
  <si>
    <t>Range("BarsM") = wb3.Worksheets("Geometry").Range("BarsM")</t>
  </si>
  <si>
    <t>Range("BarsMspacing") = wb3.Worksheets("Geometry").Range("H49") 'For V8.0</t>
  </si>
  <si>
    <t>Range("BarsMspacing") = wb3.Worksheets("Geometry").Range("BarsMspacing")</t>
  </si>
  <si>
    <t>Range("BarsN") = wb3.Worksheets("Geometry").Range("C50") 'For V8.0</t>
  </si>
  <si>
    <t>Range("BarsN") = wb3.Worksheets("Geometry").Range("BarsN")</t>
  </si>
  <si>
    <t>Range("BarsNspacing") = wb3.Worksheets("Geometry").Range("H50") 'For V8.0</t>
  </si>
  <si>
    <t>Range("BarsNspacing") = wb3.Worksheets("Geometry").Range("BarsNspacing")</t>
  </si>
  <si>
    <t>Range("BarsTstem") = wb3.Worksheets("Geometry").Range("C52") 'For V8.0</t>
  </si>
  <si>
    <t>Range("BarsTstem") = wb3.Worksheets("Geometry").Range("BarsTstem")</t>
  </si>
  <si>
    <t>Range("BarsTstemNo") = wb3.Worksheets("Geometry").Range("F52") 'For V8.0</t>
  </si>
  <si>
    <t>Range("BarsTstemNo") = wb3.Worksheets("Geometry").Range("BarsTstemNo")</t>
  </si>
  <si>
    <t>Range("BarsTledgeNo") = wb3.Worksheets("Geometry").Range("F53") 'For V8.0</t>
  </si>
  <si>
    <t>Range("BarsTledgeNo") = wb3.Worksheets("Geometry").Range("BarsTledgeNo")</t>
  </si>
  <si>
    <t>Range("BarsTtopLedgeNo") = wb3.Worksheets("Geometry").Range("F54") 'For V8.0</t>
  </si>
  <si>
    <t>Range("BarsTtopLedgeNo") = wb3.Worksheets("Geometry").Range("BarsTtopLedgeNo")</t>
  </si>
  <si>
    <t>wb2.Worksheets("Geometry").Range("ProjectSubject") = ProjectSubject</t>
  </si>
  <si>
    <t>wb2.Worksheets("Complex Geometry").Range("ComplexGeom") = ComplexGeom</t>
  </si>
  <si>
    <t>wb2.Worksheets("Geometry").Range("DeckWidth") = DeckWidth</t>
  </si>
  <si>
    <t>wb2.Worksheets("Geometry").Range("crossslope") = crossslope</t>
  </si>
  <si>
    <t>wb2.Worksheets("Geometry").Range("slabthickness") = slabthickness</t>
  </si>
  <si>
    <t>wb2.Worksheets("Geometry").Range("FWSthickness") = FWSthickness</t>
  </si>
  <si>
    <t>wb2.Worksheets("Geometry").Range("FWSwt") = FWSwt</t>
  </si>
  <si>
    <t>wb2.Worksheets("Geometry").Range("utilities") = utilities</t>
  </si>
  <si>
    <t>wb2.Worksheets("Geometry").Range("bkspangirder") = bkspangirder</t>
  </si>
  <si>
    <t>wb2.Worksheets("Geometry").Range("bkspanhaunch") = bkspanhaunch</t>
  </si>
  <si>
    <t>wb2.Worksheets("Geometry").Range("bkbrgpad") = bkbrgpad</t>
  </si>
  <si>
    <t>wb2.Worksheets("Geometry").Range("PedestalHt") = PedestalHt</t>
  </si>
  <si>
    <t>wb2.Worksheets("Geometry").Range("fdspangirder") = fdspangirder</t>
  </si>
  <si>
    <t>wb2.Worksheets("Geometry").Range("fdspanhaunch") = fdspanhaunch</t>
  </si>
  <si>
    <t>wb2.Worksheets("Geometry").Range("fdbrgpad") = fdbrgpad</t>
  </si>
  <si>
    <t>wb2.Worksheets("Geometry").Range("PGLradius") = PGLradius</t>
  </si>
  <si>
    <t>wb2.Worksheets("Geometry").Range("PGLdist") = PGLdist</t>
  </si>
  <si>
    <t>wb2.Worksheets("Geometry").Range("OSOHBack") = OSOHBack</t>
  </si>
  <si>
    <t>wb2.Worksheets("Geometry").Range("OSOHBackRT") = OSOHBackRT</t>
  </si>
  <si>
    <t>wb2.Worksheets("Geometry").Range("OSOH") = OSOH</t>
  </si>
  <si>
    <t>wb2.Worksheets("Geometry").Range("OSOHRT") = OSOHRT</t>
  </si>
  <si>
    <t>wb2.Worksheets("Geometry").Range("super?") = issuper 'This is slighlty different</t>
  </si>
  <si>
    <t>wb2.Worksheets("Geometry").Range("dsgnspeed") = dsgnspeed</t>
  </si>
  <si>
    <t>wb2.Worksheets("Geometry").Range("bkspanpgl") = bkspanpgl</t>
  </si>
  <si>
    <t>wb2.Worksheets("Geometry").Range("fdspanpgl") = fdspanpgl</t>
  </si>
  <si>
    <t>wb2.Worksheets("Geometry").Range("RailDistribution") = RailDistribution</t>
  </si>
  <si>
    <t>wb2.Worksheets("Geometry").Range("railLeft") = railLeft</t>
  </si>
  <si>
    <t>wb2.Worksheets("Geometry").Range("railRight") = railRight</t>
  </si>
  <si>
    <t>wb2.Worksheets("Geometry").Range("rail3rd") = rail3rd</t>
  </si>
  <si>
    <t>wb2.Worksheets("Geometry").Range("RailDistributeBackStart") = RailDistributeBackStart</t>
  </si>
  <si>
    <t>wb2.Worksheets("Geometry").Range("RailDistributeBackEnd") = RailDistributeBackEnd</t>
  </si>
  <si>
    <t>wb2.Worksheets("Geometry").Range("RailDistributeFwdStart") = RailDistributeFwdStart</t>
  </si>
  <si>
    <t>wb2.Worksheets("Geometry").Range("RailDistributeFwdEnd") = RailDistributeFwdEnd</t>
  </si>
  <si>
    <t>wb2.Worksheets("Geometry").Range("sdwkwidth") = sdwkwidth</t>
  </si>
  <si>
    <t>wb2.Worksheets("Geometry").Range("sdwkthickness") = sdwkthickness</t>
  </si>
  <si>
    <t>wb2.Worksheets("Geometry").Range("sdwkdensity") = sdwkdensity</t>
  </si>
  <si>
    <t>wb2.Worksheets("Geometry").Range("SWalkDistributeBackStart") = SWalkDistributeBackStart</t>
  </si>
  <si>
    <t>wb2.Worksheets("Geometry").Range("SWalkDistributeBackEnd") = SWalkDistributeBackEnd</t>
  </si>
  <si>
    <t>wb2.Worksheets("Geometry").Range("SWalkDistributeFwdStart") = SWalkDistributeFwdStart</t>
  </si>
  <si>
    <t>wb2.Worksheets("Geometry").Range("SWalkDistributeFwdEnd") = SWalkDistributeFwdEnd</t>
  </si>
  <si>
    <t>wb2.Worksheets("Geometry").Range("CapType") = CapType</t>
  </si>
  <si>
    <t>wb2.Worksheets("Geometry").Range("capdensity") = capdensity</t>
  </si>
  <si>
    <t>wb2.Worksheets("Geometry").Range("fc") = fc</t>
  </si>
  <si>
    <t>wb2.Worksheets("Geometry").Range("fy") = fy</t>
  </si>
  <si>
    <t>wb2.Worksheets("Geometry").Range("exposure") = exposure</t>
  </si>
  <si>
    <t>wb2.Worksheets("Geometry").Range("BentSkew") = BentSkew</t>
  </si>
  <si>
    <t>wb2.Worksheets("Geometry").Range("caplength") = caplength</t>
  </si>
  <si>
    <t>wb2.Worksheets("Geometry").Range("BkBm1toCapEnd") = BkBm1toCapEnd</t>
  </si>
  <si>
    <t>wb2.Worksheets("Geometry").Range("Bm1toCapEnd") = Bm1toCapEnd</t>
  </si>
  <si>
    <t>wb2.Worksheets("Geometry").Range("BackBentSkew") = BackBentSkew</t>
  </si>
  <si>
    <t>wb2.Worksheets("Geometry").Range("FwdBentSkew") = FwdBentSkew</t>
  </si>
  <si>
    <t>wb2.Worksheets("Geometry").Range("K66") = offsettolevelingpad 'For V8.0</t>
  </si>
  <si>
    <t>wb2.Worksheets("Geometry").Range("offsettolevelingpad") = offsettolevelingpad</t>
  </si>
  <si>
    <t>wb2.Worksheets("Geometry").Range("CapLedgeDepth") = CapLedgeDepth</t>
  </si>
  <si>
    <t>wb2.Worksheets("Geometry").Range("InvTeeBotWidth") = InvTeeBotWidth</t>
  </si>
  <si>
    <t>wb2.Worksheets("Geometry").Range("BearingDist") = BearingDist</t>
  </si>
  <si>
    <t>wb2.Worksheets("Geometry").Range("capheight") = capheight</t>
  </si>
  <si>
    <t>wb2.Worksheets("Geometry").Range("capstemWidth") = capstemWidth</t>
  </si>
  <si>
    <t>wb2.Worksheets("Geometry").Range("Earwall_Left") = Earwall_Left</t>
  </si>
  <si>
    <t>wb2.Worksheets("Geometry").Range("Earwall_Right") = Earwall_Right</t>
  </si>
  <si>
    <t>wb2.Worksheets("Geometry").Range("Earwall_Area") = Earwall_Area</t>
  </si>
  <si>
    <t>wb2.Worksheets("Geometry").Range("BarsA") = BarsA</t>
  </si>
  <si>
    <t>wb2.Worksheets("Geometry").Range("BarsAdist") = BarsAdist</t>
  </si>
  <si>
    <t>wb2.Worksheets("Geometry").Range("Arow1") = Arow1</t>
  </si>
  <si>
    <t>wb2.Worksheets("Geometry").Range("Arow2") = Arow2</t>
  </si>
  <si>
    <t>wb2.Worksheets("Geometry").Range("Arow3") = Arow3</t>
  </si>
  <si>
    <t>wb2.Worksheets("Geometry").Range("BarsB") = BarsB</t>
  </si>
  <si>
    <t>wb2.Worksheets("Geometry").Range("BarsBdist") = BarsBdist</t>
  </si>
  <si>
    <t>wb2.Worksheets("Geometry").Range("Brow1") = Brow1</t>
  </si>
  <si>
    <t>wb2.Worksheets("Geometry").Range("Brow2") = Brow2</t>
  </si>
  <si>
    <t>wb2.Worksheets("Geometry").Range("Brow3") = Brow3</t>
  </si>
  <si>
    <t>wb2.Worksheets("Geometry").Range("O88") = IncreaseClearCover 'For V8.0</t>
  </si>
  <si>
    <t>wb2.Worksheets("Geometry").Range("IncreaseClearCover") = IncreaseClearCover</t>
  </si>
  <si>
    <t>wb2.Worksheets("Geometry").Range("BarSArrange") = BarSArrange</t>
  </si>
  <si>
    <t>wb2.Worksheets("Geometry").Range("BarS") = BarS</t>
  </si>
  <si>
    <t>wb2.Worksheets("Geometry").Range("BarsH") = BarsH</t>
  </si>
  <si>
    <t>wb2.Worksheets("Geometry").Range("NoHbars") = NoHbars</t>
  </si>
  <si>
    <t>wb2.Worksheets("Geometry").Range("AestheticCol") = AestheticCol</t>
  </si>
  <si>
    <t>wb2.Worksheets("Geometry").Range("ColType") = ColType</t>
  </si>
  <si>
    <t>wb2.Worksheets("Geometry").Range("NoSupports") = NoSupports</t>
  </si>
  <si>
    <t>wb2.Worksheets("Geometry").Range("coltranswidth") = coltranswidth</t>
  </si>
  <si>
    <t>wb2.Worksheets("Geometry").Range("collongwidth") = collongwidth</t>
  </si>
  <si>
    <t>wb2.Worksheets("Geometry").Range("CapitalWidth") = CapitalWidth</t>
  </si>
  <si>
    <t>wb2.Worksheets("Geometry").Range("CapitalWeight") = CapitalWeight</t>
  </si>
  <si>
    <t>wb2.Worksheets("Geometry").Range("ColSpa1") = ColSpa1</t>
  </si>
  <si>
    <t>wb2.Worksheets("Geometry").Range("ColSpa2") = ColSpa2</t>
  </si>
  <si>
    <t>wb2.Worksheets("Geometry").Range("ColSpa3") = ColSpa3</t>
  </si>
  <si>
    <t>wb2.Worksheets("Geometry").Range("ColSpa4") = ColSpa4</t>
  </si>
  <si>
    <t>wb2.Worksheets("Geometry").Range("ColSpa5") = ColSpa5</t>
  </si>
  <si>
    <t>wb2.Worksheets("Geometry").Range("ColSpa6") = ColSpa6</t>
  </si>
  <si>
    <t>wb2.Worksheets("Geometry").Range("ColSpa7") = ColSpa7</t>
  </si>
  <si>
    <t>wb2.Worksheets("Geometry").Range("ColSpa8") = ColSpa8</t>
  </si>
  <si>
    <t>wb2.Worksheets("Geometry").Range("ColSpa9") = ColSpa9</t>
  </si>
  <si>
    <t>wb2.Worksheets("Geometry").Range("ColSpa10") = ColSpa10</t>
  </si>
  <si>
    <t>wb2.Worksheets("Geometry").Range("ColHeightI") = ColHeightI</t>
  </si>
  <si>
    <t>wb2.Worksheets("Geometry").Range("ColHeightII") = ColHeightII</t>
  </si>
  <si>
    <t>wb2.Worksheets("Geometry").Range("BkBms") = BkBms</t>
  </si>
  <si>
    <t>wb2.Worksheets("Geometry").Range("BBSPA1") = BBSPA1</t>
  </si>
  <si>
    <t>wb2.Worksheets("Geometry").Range("BBSPA2") = BBSPA2</t>
  </si>
  <si>
    <t>wb2.Worksheets("Geometry").Range("BBSPA3") = BBSPA3</t>
  </si>
  <si>
    <t>wb2.Worksheets("Geometry").Range("BBSPA4") = BBSPA4</t>
  </si>
  <si>
    <t>wb2.Worksheets("Geometry").Range("BBSPA5") = BBSPA5</t>
  </si>
  <si>
    <t>wb2.Worksheets("Geometry").Range("BBSPA6") = BBSPA6</t>
  </si>
  <si>
    <t>wb2.Worksheets("Geometry").Range("BBSPA7") = BBSPA7</t>
  </si>
  <si>
    <t>wb2.Worksheets("Geometry").Range("BBSPA8") = BBSPA8</t>
  </si>
  <si>
    <t>wb2.Worksheets("Geometry").Range("BBSPA9") = BBSPA9</t>
  </si>
  <si>
    <t>wb2.Worksheets("Geometry").Range("BBSPA10") = BBSPA10</t>
  </si>
  <si>
    <t>wb2.Worksheets("Geometry").Range("BBSPA11") = BBSPA11</t>
  </si>
  <si>
    <t>wb2.Worksheets("Geometry").Range("BBSPA12") = BBSPA12</t>
  </si>
  <si>
    <t>wb2.Worksheets("Geometry").Range("BBSPA13") = BBSPA13</t>
  </si>
  <si>
    <t>wb2.Worksheets("Geometry").Range("BBSPA14") = BBSPA14</t>
  </si>
  <si>
    <t>wb2.Worksheets("Geometry").Range("BBSPA15") = BBSPA15</t>
  </si>
  <si>
    <t>wb2.Worksheets("Geometry").Range("BBSPA16") = BBSPA16</t>
  </si>
  <si>
    <t>wb2.Worksheets("Geometry").Range("BBSPA17") = BBSPA17</t>
  </si>
  <si>
    <t>wb2.Worksheets("Geometry").Range("BBSPA18") = BBSPA18</t>
  </si>
  <si>
    <t>wb2.Worksheets("Geometry").Range("BBSPA19") = BBSPA19</t>
  </si>
  <si>
    <t>wb2.Worksheets("Geometry").Range("BBSPA20") = BBSPA20</t>
  </si>
  <si>
    <t>wb2.Worksheets("Geometry").Range("FdBms") = FdBms</t>
  </si>
  <si>
    <t>wb2.Worksheets("Geometry").Range("FBSPA1") = FBSPA1</t>
  </si>
  <si>
    <t>wb2.Worksheets("Geometry").Range("FBSPA2") = FBSPA2</t>
  </si>
  <si>
    <t>wb2.Worksheets("Geometry").Range("FBSPA3") = FBSPA3</t>
  </si>
  <si>
    <t>wb2.Worksheets("Geometry").Range("FBSPA4") = FBSPA4</t>
  </si>
  <si>
    <t>wb2.Worksheets("Geometry").Range("FBSPA5") = FBSPA5</t>
  </si>
  <si>
    <t>wb2.Worksheets("Geometry").Range("FBSPA6") = FBSPA6</t>
  </si>
  <si>
    <t>wb2.Worksheets("Geometry").Range("FBSPA7") = FBSPA7</t>
  </si>
  <si>
    <t>wb2.Worksheets("Geometry").Range("FBSPA8") = FBSPA8</t>
  </si>
  <si>
    <t>wb2.Worksheets("Geometry").Range("FBSPA9") = FBSPA9</t>
  </si>
  <si>
    <t>wb2.Worksheets("Geometry").Range("FBSPA10") = FBSPA10</t>
  </si>
  <si>
    <t>wb2.Worksheets("Geometry").Range("FBSPA11") = FBSPA11</t>
  </si>
  <si>
    <t>wb2.Worksheets("Geometry").Range("FBSPA12") = FBSPA12</t>
  </si>
  <si>
    <t>wb2.Worksheets("Geometry").Range("FBSPA13") = FBSPA13</t>
  </si>
  <si>
    <t>wb2.Worksheets("Geometry").Range("FBSPA14") = FBSPA14</t>
  </si>
  <si>
    <t>wb2.Worksheets("Geometry").Range("FBSPA15") = FBSPA15</t>
  </si>
  <si>
    <t>wb2.Worksheets("Geometry").Range("FBSPA16") = FBSPA16</t>
  </si>
  <si>
    <t>wb2.Worksheets("Geometry").Range("FBSPA17") = FBSPA17</t>
  </si>
  <si>
    <t>wb2.Worksheets("Geometry").Range("FBSPA18") = FBSPA18</t>
  </si>
  <si>
    <t>wb2.Worksheets("Geometry").Range("FBSPA19") = FBSPA19</t>
  </si>
  <si>
    <t>wb2.Worksheets("Geometry").Range("FBSPA20") = FBSPA20</t>
  </si>
  <si>
    <t>wb2.Worksheets("Complex Geometry").Range("Cmplx_Bk_Width") = Cmplx_Bk_Width</t>
  </si>
  <si>
    <t>wb2.Worksheets("Complex Geometry").Range("Cmplx_Fd_Width") = Cmplx_Fd_Width</t>
  </si>
  <si>
    <t>wb2.Worksheets("Complex Geometry").Range("segmentlength") = segmentlength</t>
  </si>
  <si>
    <t>wb2.Worksheets("Complex Geometry").Range("Breakbacks") = Breakbacks</t>
  </si>
  <si>
    <t>wb2.Worksheets("Complex Geometry").Range("ComplexSkew") = ComplexSkew</t>
  </si>
  <si>
    <t>wb2.Worksheets("Complex Geometry").Range("ComplexDistToSta") = ComplexDistToSta</t>
  </si>
  <si>
    <t>wb2.Worksheets("Complex Geometry").Range("Cmplx_Bk_PGLBm1") = Cmplx_Bk_PGLBm1</t>
  </si>
  <si>
    <t>wb2.Worksheets("Complex Geometry").Range("Cmplx_Bk_PGLBm2") = Cmplx_Bk_PGLBm2</t>
  </si>
  <si>
    <t>wb2.Worksheets("Complex Geometry").Range("Cmplx_Bk_PGLBm3") = Cmplx_Bk_PGLBm3</t>
  </si>
  <si>
    <t>wb2.Worksheets("Complex Geometry").Range("Cmplx_Bk_PGLBm4") = Cmplx_Bk_PGLBm4</t>
  </si>
  <si>
    <t>wb2.Worksheets("Complex Geometry").Range("Cmplx_Bk_PGLBm5") = Cmplx_Bk_PGLBm5</t>
  </si>
  <si>
    <t>wb2.Worksheets("Complex Geometry").Range("Cmplx_Bk_PGLBm6") = Cmplx_Bk_PGLBm6</t>
  </si>
  <si>
    <t>wb2.Worksheets("Complex Geometry").Range("Cmplx_Bk_PGLBm7") = Cmplx_Bk_PGLBm7</t>
  </si>
  <si>
    <t>wb2.Worksheets("Complex Geometry").Range("Cmplx_Bk_PGLBm8") = Cmplx_Bk_PGLBm8</t>
  </si>
  <si>
    <t>wb2.Worksheets("Complex Geometry").Range("Cmplx_Bk_PGLBm9") = Cmplx_Bk_PGLBm9</t>
  </si>
  <si>
    <t>wb2.Worksheets("Complex Geometry").Range("Cmplx_Bk_PGLBm10") = Cmplx_Bk_PGLBm10</t>
  </si>
  <si>
    <t>wb2.Worksheets("Complex Geometry").Range("Cmplx_Bk_PGLBm11") = Cmplx_Bk_PGLBm11</t>
  </si>
  <si>
    <t>wb2.Worksheets("Complex Geometry").Range("Cmplx_Bk_PGLBm12") = Cmplx_Bk_PGLBm12</t>
  </si>
  <si>
    <t>wb2.Worksheets("Complex Geometry").Range("Cmplx_Bk_PGLBm13") = Cmplx_Bk_PGLBm13</t>
  </si>
  <si>
    <t>wb2.Worksheets("Complex Geometry").Range("Cmplx_Bk_PGLBm14") = Cmplx_Bk_PGLBm14</t>
  </si>
  <si>
    <t>wb2.Worksheets("Complex Geometry").Range("Cmplx_Bk_PGLBm15") = Cmplx_Bk_PGLBm15</t>
  </si>
  <si>
    <t>wb2.Worksheets("Complex Geometry").Range("Cmplx_Bk_PGLBm16") = Cmplx_Bk_PGLBm16</t>
  </si>
  <si>
    <t>wb2.Worksheets("Complex Geometry").Range("Cmplx_Bk_PGLBm17") = Cmplx_Bk_PGLBm17</t>
  </si>
  <si>
    <t>wb2.Worksheets("Complex Geometry").Range("Cmplx_Bk_PGLBm18") = Cmplx_Bk_PGLBm18</t>
  </si>
  <si>
    <t>wb2.Worksheets("Complex Geometry").Range("Cmplx_Bk_PGLBm19") = Cmplx_Bk_PGLBm19</t>
  </si>
  <si>
    <t>wb2.Worksheets("Complex Geometry").Range("Cmplx_Bk_PGLBm20") = Cmplx_Bk_PGLBm20</t>
  </si>
  <si>
    <t>wb2.Worksheets("Complex Geometry").Range("Cmplx_Bk_CCBm1") = Cmplx_Bk_CCBm1</t>
  </si>
  <si>
    <t>wb2.Worksheets("Complex Geometry").Range("Cmplx_Bk_CCBm2") = Cmplx_Bk_CCBm2</t>
  </si>
  <si>
    <t>wb2.Worksheets("Complex Geometry").Range("Cmplx_Bk_CCBm3") = Cmplx_Bk_CCBm3</t>
  </si>
  <si>
    <t>wb2.Worksheets("Complex Geometry").Range("Cmplx_Bk_CCBm4") = Cmplx_Bk_CCBm4</t>
  </si>
  <si>
    <t>wb2.Worksheets("Complex Geometry").Range("Cmplx_Bk_CCBm5") = Cmplx_Bk_CCBm5</t>
  </si>
  <si>
    <t>wb2.Worksheets("Complex Geometry").Range("Cmplx_Bk_CCBm6") = Cmplx_Bk_CCBm6</t>
  </si>
  <si>
    <t>wb2.Worksheets("Complex Geometry").Range("Cmplx_Bk_CCBm7") = Cmplx_Bk_CCBm7</t>
  </si>
  <si>
    <t>wb2.Worksheets("Complex Geometry").Range("Cmplx_Bk_CCBm8") = Cmplx_Bk_CCBm8</t>
  </si>
  <si>
    <t>wb2.Worksheets("Complex Geometry").Range("Cmplx_Bk_CCBm9") = Cmplx_Bk_CCBm9</t>
  </si>
  <si>
    <t>wb2.Worksheets("Complex Geometry").Range("Cmplx_Bk_CCBm10") = Cmplx_Bk_CCBm10</t>
  </si>
  <si>
    <t>wb2.Worksheets("Complex Geometry").Range("Cmplx_Bk_CCBm11") = Cmplx_Bk_CCBm11</t>
  </si>
  <si>
    <t>wb2.Worksheets("Complex Geometry").Range("Cmplx_Bk_CCBm12") = Cmplx_Bk_CCBm12</t>
  </si>
  <si>
    <t>wb2.Worksheets("Complex Geometry").Range("Cmplx_Bk_CCBm13") = Cmplx_Bk_CCBm13</t>
  </si>
  <si>
    <t>wb2.Worksheets("Complex Geometry").Range("Cmplx_Bk_CCBm14") = Cmplx_Bk_CCBm14</t>
  </si>
  <si>
    <t>wb2.Worksheets("Complex Geometry").Range("Cmplx_Bk_CCBm15") = Cmplx_Bk_CCBm15</t>
  </si>
  <si>
    <t>wb2.Worksheets("Complex Geometry").Range("Cmplx_Bk_CCBm16") = Cmplx_Bk_CCBm16</t>
  </si>
  <si>
    <t>wb2.Worksheets("Complex Geometry").Range("Cmplx_Bk_CCBm17") = Cmplx_Bk_CCBm17</t>
  </si>
  <si>
    <t>wb2.Worksheets("Complex Geometry").Range("Cmplx_Bk_CCBm18") = Cmplx_Bk_CCBm18</t>
  </si>
  <si>
    <t>wb2.Worksheets("Complex Geometry").Range("Cmplx_Bk_CCBm19") = Cmplx_Bk_CCBm19</t>
  </si>
  <si>
    <t>wb2.Worksheets("Complex Geometry").Range("Cmplx_Bk_CCBm20") = Cmplx_Bk_CCBm20</t>
  </si>
  <si>
    <t>wb2.Worksheets("Complex Geometry").Range("Cmplx_Fd_PGLBm1") = Cmplx_Fd_PGLBm1</t>
  </si>
  <si>
    <t>wb2.Worksheets("Complex Geometry").Range("Cmplx_Fd_PGLBm2") = Cmplx_Fd_PGLBm2</t>
  </si>
  <si>
    <t>wb2.Worksheets("Complex Geometry").Range("Cmplx_Fd_PGLBm3") = Cmplx_Fd_PGLBm3</t>
  </si>
  <si>
    <t>wb2.Worksheets("Complex Geometry").Range("Cmplx_Fd_PGLBm4") = Cmplx_Fd_PGLBm4</t>
  </si>
  <si>
    <t>wb2.Worksheets("Complex Geometry").Range("Cmplx_Fd_PGLBm5") = Cmplx_Fd_PGLBm5</t>
  </si>
  <si>
    <t>wb2.Worksheets("Complex Geometry").Range("Cmplx_Fd_PGLBm6") = Cmplx_Fd_PGLBm6</t>
  </si>
  <si>
    <t>wb2.Worksheets("Complex Geometry").Range("Cmplx_Fd_PGLBm7") = Cmplx_Fd_PGLBm7</t>
  </si>
  <si>
    <t>wb2.Worksheets("Complex Geometry").Range("Cmplx_Fd_PGLBm8") = Cmplx_Fd_PGLBm8</t>
  </si>
  <si>
    <t>wb2.Worksheets("Complex Geometry").Range("Cmplx_Fd_PGLBm9") = Cmplx_Fd_PGLBm9</t>
  </si>
  <si>
    <t>wb2.Worksheets("Complex Geometry").Range("Cmplx_Fd_PGLBm10") = Cmplx_Fd_PGLBm10</t>
  </si>
  <si>
    <t>wb2.Worksheets("Complex Geometry").Range("Cmplx_Fd_PGLBm11") = Cmplx_Fd_PGLBm11</t>
  </si>
  <si>
    <t>wb2.Worksheets("Complex Geometry").Range("Cmplx_Fd_PGLBm12") = Cmplx_Fd_PGLBm12</t>
  </si>
  <si>
    <t>wb2.Worksheets("Complex Geometry").Range("Cmplx_Fd_PGLBm13") = Cmplx_Fd_PGLBm13</t>
  </si>
  <si>
    <t>wb2.Worksheets("Complex Geometry").Range("Cmplx_Fd_PGLBm14") = Cmplx_Fd_PGLBm14</t>
  </si>
  <si>
    <t>wb2.Worksheets("Complex Geometry").Range("Cmplx_Fd_PGLBm15") = Cmplx_Fd_PGLBm15</t>
  </si>
  <si>
    <t>wb2.Worksheets("Complex Geometry").Range("Cmplx_Fd_PGLBm16") = Cmplx_Fd_PGLBm16</t>
  </si>
  <si>
    <t>wb2.Worksheets("Complex Geometry").Range("Cmplx_Fd_PGLBm17") = Cmplx_Fd_PGLBm17</t>
  </si>
  <si>
    <t>wb2.Worksheets("Complex Geometry").Range("Cmplx_Fd_PGLBm18") = Cmplx_Fd_PGLBm18</t>
  </si>
  <si>
    <t>wb2.Worksheets("Complex Geometry").Range("Cmplx_Fd_PGLBm19") = Cmplx_Fd_PGLBm19</t>
  </si>
  <si>
    <t>wb2.Worksheets("Complex Geometry").Range("Cmplx_Fd_PGLBm20") = Cmplx_Fd_PGLBm20</t>
  </si>
  <si>
    <t>wb2.Worksheets("Complex Geometry").Range("Cmplx_Fd_CCBm1") = Cmplx_Fd_CCBm1</t>
  </si>
  <si>
    <t>wb2.Worksheets("Complex Geometry").Range("Cmplx_Fd_CCBm2") = Cmplx_Fd_CCBm2</t>
  </si>
  <si>
    <t>wb2.Worksheets("Complex Geometry").Range("Cmplx_Fd_CCBm3") = Cmplx_Fd_CCBm3</t>
  </si>
  <si>
    <t>wb2.Worksheets("Complex Geometry").Range("Cmplx_Fd_CCBm4") = Cmplx_Fd_CCBm4</t>
  </si>
  <si>
    <t>wb2.Worksheets("Complex Geometry").Range("Cmplx_Fd_CCBm5") = Cmplx_Fd_CCBm5</t>
  </si>
  <si>
    <t>wb2.Worksheets("Complex Geometry").Range("Cmplx_Fd_CCBm6") = Cmplx_Fd_CCBm6</t>
  </si>
  <si>
    <t>wb2.Worksheets("Complex Geometry").Range("Cmplx_Fd_CCBm7") = Cmplx_Fd_CCBm7</t>
  </si>
  <si>
    <t>wb2.Worksheets("Complex Geometry").Range("Cmplx_Fd_CCBm8") = Cmplx_Fd_CCBm8</t>
  </si>
  <si>
    <t>wb2.Worksheets("Complex Geometry").Range("Cmplx_Fd_CCBm9") = Cmplx_Fd_CCBm9</t>
  </si>
  <si>
    <t>wb2.Worksheets("Complex Geometry").Range("Cmplx_Fd_CCBm10") = Cmplx_Fd_CCBm10</t>
  </si>
  <si>
    <t>wb2.Worksheets("Complex Geometry").Range("Cmplx_Fd_CCBm11") = Cmplx_Fd_CCBm11</t>
  </si>
  <si>
    <t>wb2.Worksheets("Complex Geometry").Range("Cmplx_Fd_CCBm12") = Cmplx_Fd_CCBm12</t>
  </si>
  <si>
    <t>wb2.Worksheets("Complex Geometry").Range("Cmplx_Fd_CCBm13") = Cmplx_Fd_CCBm13</t>
  </si>
  <si>
    <t>wb2.Worksheets("Complex Geometry").Range("Cmplx_Fd_CCBm14") = Cmplx_Fd_CCBm14</t>
  </si>
  <si>
    <t>wb2.Worksheets("Complex Geometry").Range("Cmplx_Fd_CCBm15") = Cmplx_Fd_CCBm15</t>
  </si>
  <si>
    <t>wb2.Worksheets("Complex Geometry").Range("Cmplx_Fd_CCBm16") = Cmplx_Fd_CCBm16</t>
  </si>
  <si>
    <t>wb2.Worksheets("Complex Geometry").Range("Cmplx_Fd_CCBm17") = Cmplx_Fd_CCBm17</t>
  </si>
  <si>
    <t>wb2.Worksheets("Complex Geometry").Range("Cmplx_Fd_CCBm18") = Cmplx_Fd_CCBm18</t>
  </si>
  <si>
    <t>wb2.Worksheets("Complex Geometry").Range("Cmplx_Fd_CCBm19") = Cmplx_Fd_CCBm19</t>
  </si>
  <si>
    <t>wb2.Worksheets("Complex Geometry").Range("Cmplx_Fd_CCBm20") = Cmplx_Fd_CCBm20</t>
  </si>
  <si>
    <t>wb2.Worksheets("Conc DL").Range("G113") = IsPedestalContinuous 'For V8.0</t>
  </si>
  <si>
    <t>wb2.Worksheets("Conc DL").Range("IsPedestalContinuous") = IsPedestalContinuous</t>
  </si>
  <si>
    <t>wb2.Worksheets("Conc DL").Range("K113") = MiscCapWt 'For V8.0</t>
  </si>
  <si>
    <t>wb2.Worksheets("Conc DL").Range("MiscCapWt") = MiscCapWt</t>
  </si>
  <si>
    <t>wb2.Worksheets("Dead Load Moment").Range("addl_DC_P") = addl_DC_P</t>
  </si>
  <si>
    <t>wb2.Worksheets("Dead Load Moment").Range("addl_DC_M") = addl_DC_M</t>
  </si>
  <si>
    <t>wb2.Worksheets("Dead Load Moment").Range("addl_DC_Mx") = addl_DC_Mx</t>
  </si>
  <si>
    <t>wb2.Worksheets("CAP18 Input").Range("InputIncrement") = InputIncrement</t>
  </si>
  <si>
    <t>wb2.Worksheets("CAP18 Out(1)").Range("G9") = CAP18NegMomLocation 'For V8.0</t>
  </si>
  <si>
    <t>wb2.Worksheets("CAP18 Out(1)").Range("CAP18NegMomLocation") = CAP18NegMomLocation</t>
  </si>
  <si>
    <t>wb2.Worksheets("Inv Tee-SC").Range("F330") = ExGirConsideredSC 'For V8.0</t>
  </si>
  <si>
    <t>wb2.Worksheets("Inv Tee-SC").Range("ExGirConsideredSC") = ExGirConsideredSC</t>
  </si>
  <si>
    <t>wb2.Worksheets("Inv Tee-SC").Range("INTBMLLDF") = INTBMLLDF</t>
  </si>
  <si>
    <t>wb2.Worksheets("Inv Tee").Range("F301") = ExGirConsidered 'For V8.0</t>
  </si>
  <si>
    <t>wb2.Worksheets("Inv Tee").Range("ExGirConsidered") = ExGirConsidered</t>
  </si>
  <si>
    <t>wb2.Worksheets("Inv Tee").Range("INTBMLLDFMC") = INTBMLLDFMC</t>
  </si>
  <si>
    <t>wb2.Worksheets("Live Load on Column").Range("addl_LL_P") = addl_LL_P</t>
  </si>
  <si>
    <t>wb2.Worksheets("Live Load on Column").Range("addl_Ll_My") = addl_Ll_My</t>
  </si>
  <si>
    <t>wb2.Worksheets("Live Load on Column").Range("addl_LL_Mx") = addl_LL_Mx</t>
  </si>
  <si>
    <t>wb2.Worksheets("CE &amp; BR").Range("BR_Neglect") = BR_Neglect</t>
  </si>
  <si>
    <t>wb2.Worksheets("Wind Loads").Range("F12") = DesignWindSpeed 'For V8.0</t>
  </si>
  <si>
    <t>wb2.Worksheets("Wind Loads").Range("DesignWindSpeed") = DesignWindSpeed</t>
  </si>
  <si>
    <t>wb2.Worksheets("Wind Loads").Range("ElevationAdjust") = ElevationAdjust</t>
  </si>
  <si>
    <t>wb2.Worksheets("Wind Loads").Range("E27") = RoughnessCategory 'For V8.0</t>
  </si>
  <si>
    <t>wb2.Worksheets("Wind Loads").Range("RoughnessCategory") = RoughnessCategory</t>
  </si>
  <si>
    <t>wb3.Worksheets("Geometry").Range("Brg_Width") = Brg_Width</t>
  </si>
  <si>
    <t>wb3.Worksheets("Geometry").Range("Brg_Length") = Brg_Length</t>
  </si>
  <si>
    <t>wb3.Worksheets("Geometry").Range("BarS") = BarS</t>
  </si>
  <si>
    <t>wb3.Worksheets("Geometry").Range("BarSArrange") = BarSArrange</t>
  </si>
  <si>
    <t>wb3.Worksheets("Geometry").Range("C47") = BarSinsideLegs 'For V8.0</t>
  </si>
  <si>
    <t>wb3.Worksheets("Geometry").Range("BarSinsideLegs") = BarSinsideLegs</t>
  </si>
  <si>
    <t>wb3.Worksheets("Geometry").Range("H46") = BarSspacing 'For V8.0</t>
  </si>
  <si>
    <t>wb3.Worksheets("Geometry").Range("BarSspacing") = BarSspacing</t>
  </si>
  <si>
    <t>wb3.Worksheets("Geometry").Range("C49") = BarsM 'For V8.0</t>
  </si>
  <si>
    <t>wb3.Worksheets("Geometry").Range("BarsM") = BarsM</t>
  </si>
  <si>
    <t>wb3.Worksheets("Geometry").Range("H49") = BarsMspacing 'For V8.0</t>
  </si>
  <si>
    <t>wb3.Worksheets("Geometry").Range("BarsMspacing") = BarsMspacing</t>
  </si>
  <si>
    <t>wb3.Worksheets("Geometry").Range("C50") = BarsN 'For V8.0</t>
  </si>
  <si>
    <t>wb3.Worksheets("Geometry").Range("BarsN") = BarsN</t>
  </si>
  <si>
    <t>wb3.Worksheets("Geometry").Range("H50") = BarsNspacing 'For V8.0</t>
  </si>
  <si>
    <t>wb3.Worksheets("Geometry").Range("BarsNspacing") = BarsNspacing</t>
  </si>
  <si>
    <t>wb3.Worksheets("Geometry").Range("C52") = BarsTstem 'For V8.0</t>
  </si>
  <si>
    <t>wb3.Worksheets("Geometry").Range("BarsTstem") = BarsTstem</t>
  </si>
  <si>
    <t>wb3.Worksheets("Geometry").Range("F52") = BarsTstemNo 'For V8.0</t>
  </si>
  <si>
    <t>wb3.Worksheets("Geometry").Range("BarsTstemNo") = BarsTstemNo</t>
  </si>
  <si>
    <t>wb3.Worksheets("Geometry").Range("F53") = BarsTledgeNo 'For V8.0</t>
  </si>
  <si>
    <t>wb3.Worksheets("Geometry").Range("BarsTledgeNo") = BarsTledgeNo</t>
  </si>
  <si>
    <t>wb3.Worksheets("Geometry").Range("F54") = BarsTtopLedgeNo 'For V8.0</t>
  </si>
  <si>
    <t>wb3.Worksheets("Geometry").Range("BarsTtopLedgeNo") = BarsTtopLedgeNo</t>
  </si>
  <si>
    <t>Bent 6 - double center</t>
  </si>
  <si>
    <t>Substr - Single Col Bents (Group F)</t>
  </si>
  <si>
    <t>5x8</t>
  </si>
  <si>
    <t>Bundling Not Required - OK</t>
  </si>
  <si>
    <t>InvT_LRFD_v5.00_sarah.xlsm</t>
  </si>
  <si>
    <t>I_LRFD_Cap_Dsnr_V8.0sarah.xlsm</t>
  </si>
  <si>
    <t>Bent 6 - 2 column</t>
  </si>
  <si>
    <t>X Axis Multiple of:</t>
  </si>
  <si>
    <t>Y Axis Multiple of:</t>
  </si>
  <si>
    <t>Plot Area X dim:</t>
  </si>
  <si>
    <t>Plot Area Y dim:</t>
  </si>
  <si>
    <t>Max x Points</t>
  </si>
  <si>
    <t>Plot x Points</t>
  </si>
  <si>
    <t>Boundary x Points</t>
  </si>
  <si>
    <t>Total x width</t>
  </si>
  <si>
    <t>Total x width based on y width</t>
  </si>
  <si>
    <t>x points corrected</t>
  </si>
  <si>
    <t>Total y width</t>
  </si>
  <si>
    <t>Total y width based on x width</t>
  </si>
  <si>
    <t>y points corrected</t>
  </si>
  <si>
    <t>Max y Points</t>
  </si>
  <si>
    <t>Plot y Points</t>
  </si>
  <si>
    <t>Boundary y Points</t>
  </si>
  <si>
    <t>Fix Plotted area to be proportional - Bent Points</t>
  </si>
  <si>
    <t>Fix Plotted area to be proportional - Inverted Tee</t>
  </si>
  <si>
    <t>Edge Dimension (left) - Backspan</t>
  </si>
  <si>
    <t>Edge Dimension (right) - Backspan</t>
  </si>
  <si>
    <t>Spacing Points - Backspan</t>
  </si>
  <si>
    <t>Clear Edge Dist (Left) - Backspan</t>
  </si>
  <si>
    <t>Clear Edge Dist (Right) - Backspan</t>
  </si>
  <si>
    <t>Clear Span Points - Backspan</t>
  </si>
  <si>
    <t>Road Way Points - Backspan and Forwardspan</t>
  </si>
  <si>
    <t xml:space="preserve">Backspan Dimensions </t>
  </si>
  <si>
    <t xml:space="preserve">Forwardspan Dimensions </t>
  </si>
  <si>
    <t>Edge Dimension (left) - Forwardspan</t>
  </si>
  <si>
    <t>Edge Dimension (right) - Forwardspan</t>
  </si>
  <si>
    <t>Spacing Points - Forwardspan</t>
  </si>
  <si>
    <t>Clear Edge Dist (Left) - Forwardspan</t>
  </si>
  <si>
    <t>Clear Edge Dist (Right) - Forwardspan</t>
  </si>
  <si>
    <t>Clear Span Points - Forwardspan</t>
  </si>
  <si>
    <t>Column Points</t>
  </si>
  <si>
    <t>Cap Cross Section Points</t>
  </si>
  <si>
    <t>Pedestal 1 - Inverted Tee</t>
  </si>
  <si>
    <t>Pedestal 1 - Rectangular</t>
  </si>
  <si>
    <t>Pedestal 2 - Inverted Tee</t>
  </si>
  <si>
    <t>Pedestal 2 - Rectangular</t>
  </si>
  <si>
    <t>av points</t>
  </si>
  <si>
    <t>af points</t>
  </si>
  <si>
    <t>bw points</t>
  </si>
  <si>
    <t>bl points</t>
  </si>
  <si>
    <t>bf points</t>
  </si>
  <si>
    <t>d points</t>
  </si>
  <si>
    <t>hs points</t>
  </si>
  <si>
    <t>h points</t>
  </si>
  <si>
    <t>Cover</t>
  </si>
  <si>
    <t>Spacing</t>
  </si>
  <si>
    <t>Bars A - Single</t>
  </si>
  <si>
    <t>Left Edge</t>
  </si>
  <si>
    <t>Right Edge</t>
  </si>
  <si>
    <t>Sttirup Diameter</t>
  </si>
  <si>
    <t>Bar A Diameter</t>
  </si>
  <si>
    <t>Bars A - Double1</t>
  </si>
  <si>
    <t>Bar B Diameter</t>
  </si>
  <si>
    <t>Bars B</t>
  </si>
  <si>
    <t>Bars B - Single</t>
  </si>
  <si>
    <t>Bars B - Double1</t>
  </si>
  <si>
    <t>Bars S</t>
  </si>
  <si>
    <t>Number of legs</t>
  </si>
  <si>
    <t>Top</t>
  </si>
  <si>
    <t>Bottom</t>
  </si>
  <si>
    <t>Offset</t>
  </si>
  <si>
    <t>Bars T Stem</t>
  </si>
  <si>
    <t>Bars T Ledge</t>
  </si>
  <si>
    <t>Bar T Diameter</t>
  </si>
  <si>
    <t>Bar M Diameter</t>
  </si>
  <si>
    <t>Bars T Ledge Top</t>
  </si>
  <si>
    <t>Very Right Edge</t>
  </si>
  <si>
    <t>Bar M</t>
  </si>
  <si>
    <t>Bar M and Bar N</t>
  </si>
  <si>
    <t>Bar N</t>
  </si>
  <si>
    <t>Outputs from Module-I Spreadsheet</t>
  </si>
  <si>
    <t>Whole Section Checks Bars A -Face of Column Location (outputs from Module I Spreadsheet)</t>
  </si>
  <si>
    <t>ΦVn needed</t>
  </si>
  <si>
    <t>Beam Spacing</t>
  </si>
  <si>
    <t>Cuml Bm Spacing</t>
  </si>
  <si>
    <t>Bent 6 - 2 column - 7 bms</t>
  </si>
  <si>
    <t>Bent 6 - Rectangular - 7 bms</t>
  </si>
  <si>
    <t>Edge Offset (right):</t>
  </si>
  <si>
    <t>Clear Edge Dist (right):</t>
  </si>
  <si>
    <t>Edge Offset (left):</t>
  </si>
  <si>
    <t>Clear Edge Dist (left):</t>
  </si>
  <si>
    <t>Cuml Col Spacing</t>
  </si>
  <si>
    <t>Labels</t>
  </si>
  <si>
    <t>Clear Span:</t>
  </si>
  <si>
    <t>Backspan Beam Lables</t>
  </si>
  <si>
    <t>Column Lables</t>
  </si>
  <si>
    <t>Other Labels</t>
  </si>
  <si>
    <t>Forwardspan Beam Lables</t>
  </si>
  <si>
    <t>Old way of getting girder xs</t>
  </si>
  <si>
    <t>Bent 6 - 3 column</t>
  </si>
  <si>
    <t>Bent 19R</t>
  </si>
  <si>
    <t>Bent 20R, 21R</t>
  </si>
  <si>
    <t>Bent 22R</t>
  </si>
  <si>
    <t>Bent 27R, 65R</t>
  </si>
  <si>
    <t>Bent 28R-30R, 41R, 64R, 68R-73R</t>
  </si>
  <si>
    <t>Bent 40R</t>
  </si>
  <si>
    <t>Bent 46R</t>
  </si>
  <si>
    <t>Bent 47R</t>
  </si>
  <si>
    <t>Bent 24R, 44R, 59R</t>
  </si>
  <si>
    <t>Bent 45R, 60R, 61R</t>
  </si>
  <si>
    <t>Bent 33R-36R, 49R-55R</t>
  </si>
  <si>
    <t>Bent 37R</t>
  </si>
  <si>
    <t>Bent 48R</t>
  </si>
  <si>
    <t>Bent 56R</t>
  </si>
  <si>
    <t>Bent 25R-26R, 57R, 66R</t>
  </si>
  <si>
    <t>Bent 31R, 63R</t>
  </si>
  <si>
    <t>Bent 38R, 42R, 67R</t>
  </si>
  <si>
    <t>Bent 39R</t>
  </si>
  <si>
    <t>Bent 62R</t>
  </si>
  <si>
    <t>Bent 32R</t>
  </si>
  <si>
    <t>Bent 74R</t>
  </si>
  <si>
    <t>Bent 80R-81R</t>
  </si>
  <si>
    <t>Bent 75R</t>
  </si>
  <si>
    <t>Bent 76R</t>
  </si>
  <si>
    <t>Bent 77R</t>
  </si>
  <si>
    <t>Class 2</t>
  </si>
  <si>
    <t>#14</t>
  </si>
  <si>
    <t>Single</t>
  </si>
  <si>
    <t>Minimum Reinforcement NG</t>
  </si>
  <si>
    <t>NG, 0.5bw + av &lt; 0.5L + df, pyramid failure surfaces overlap in longitudinal direction</t>
  </si>
  <si>
    <t>NG, S &lt; 2df + W, pyramid failure surfaces overlap in transverse direction,</t>
  </si>
  <si>
    <t>Bundled Spacing - OK</t>
  </si>
  <si>
    <t>T401</t>
  </si>
  <si>
    <t>T402</t>
  </si>
  <si>
    <t>For negative moment bending use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</si>
</sst>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0.0"/>
    <numFmt numFmtId="165" formatCode="0.000"/>
    <numFmt numFmtId="166" formatCode="0\ &quot;mph&quot;"/>
    <numFmt numFmtId="167" formatCode="0.000\ \°"/>
    <numFmt numFmtId="168" formatCode="&quot;Beam &quot;\ ##\ &quot;=&quot;"/>
    <numFmt numFmtId="169" formatCode="&quot;Girder x&quot;0"/>
    <numFmt numFmtId="170" formatCode="&quot;Girder y&quot;0"/>
    <numFmt numFmtId="171" formatCode="&quot;Clear Edge Dist:&quot;\ 0.00&quot; ft&quot;;&quot;Clear Edge Dist:&quot;\ \-0.00&quot; ft&quot;"/>
    <numFmt numFmtId="172" formatCode="&quot;Edge Offset:&quot;\ 0.00\ &quot;ft&quot;;&quot;Edge Offset:&quot;\ \-0.00\ &quot;ft&quot;"/>
    <numFmt numFmtId="173" formatCode="&quot;Clear Span:&quot;\ 0.00\ &quot;ft&quot;;\ &quot;Clear Span:&quot;\ \-0.00\ &quot;ft&quot;"/>
    <numFmt numFmtId="174" formatCode="&quot;Nom. Girder Spacing:&quot;\ 0.00\ &quot;ft&quot;;&quot;Girder Spacing:&quot;\ \-0.00\ &quot;ft&quot;"/>
    <numFmt numFmtId="175" formatCode="&quot;Col x&quot;0"/>
    <numFmt numFmtId="176" formatCode="&quot;Col y&quot;0"/>
    <numFmt numFmtId="177" formatCode="0.0000"/>
    <numFmt numFmtId="178" formatCode="&quot;Deck Width:&quot;\ 0.00\ &quot;ft&quot;"/>
    <numFmt numFmtId="179" formatCode="&quot;Cap Length:&quot;\ 0.00\ &quot;ft&quot;"/>
    <numFmt numFmtId="180" formatCode="0.00\ &quot;ft&quot;"/>
    <numFmt numFmtId="181" formatCode="0.00\ &quot;ft&quot;;\-0.00\ &quot;ft&quot;"/>
  </numFmts>
  <fonts count="4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9"/>
      <color indexed="9"/>
      <name val="Arial"/>
      <family val="2"/>
    </font>
    <font>
      <sz val="9"/>
      <color theme="1"/>
      <name val="Arial"/>
      <family val="2"/>
    </font>
    <font>
      <vertAlign val="subscript"/>
      <sz val="9"/>
      <name val="Arial"/>
      <family val="2"/>
    </font>
    <font>
      <b/>
      <sz val="11"/>
      <color theme="1"/>
      <name val="Arial"/>
      <family val="2"/>
    </font>
    <font>
      <vertAlign val="superscript"/>
      <sz val="9"/>
      <name val="Arial"/>
      <family val="2"/>
    </font>
    <font>
      <b/>
      <sz val="9"/>
      <color indexed="10"/>
      <name val="Arial"/>
      <family val="2"/>
    </font>
    <font>
      <b/>
      <sz val="10"/>
      <color indexed="9"/>
      <name val="Arial"/>
      <family val="2"/>
    </font>
    <font>
      <vertAlign val="subscript"/>
      <sz val="9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indexed="9"/>
      <name val="Arial Narrow"/>
      <family val="2"/>
    </font>
    <font>
      <b/>
      <sz val="14"/>
      <name val="Symbol"/>
      <family val="1"/>
      <charset val="2"/>
    </font>
    <font>
      <b/>
      <sz val="9"/>
      <name val="Tahoma"/>
      <family val="2"/>
    </font>
    <font>
      <b/>
      <sz val="10"/>
      <name val="Tahoma"/>
      <family val="2"/>
    </font>
    <font>
      <sz val="9"/>
      <name val="Tahoma"/>
      <family val="2"/>
    </font>
    <font>
      <sz val="8"/>
      <color indexed="10"/>
      <name val="Arial"/>
      <family val="2"/>
    </font>
    <font>
      <sz val="10"/>
      <color indexed="10"/>
      <name val="Arial"/>
      <family val="2"/>
    </font>
    <font>
      <sz val="8"/>
      <color indexed="81"/>
      <name val="Tahoma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9"/>
      <name val="Calibri"/>
      <family val="2"/>
      <scheme val="minor"/>
    </font>
    <font>
      <sz val="9"/>
      <color rgb="FF0070C0"/>
      <name val="Arial"/>
      <family val="2"/>
    </font>
    <font>
      <b/>
      <i/>
      <sz val="9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0000"/>
      <name val="Calibri"/>
      <family val="2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9"/>
      <color theme="1"/>
      <name val="Arial"/>
      <family val="2"/>
    </font>
    <font>
      <sz val="8"/>
      <color rgb="FF000000"/>
      <name val="Segoe UI"/>
      <family val="2"/>
    </font>
    <font>
      <b/>
      <sz val="11"/>
      <color rgb="FF0070C0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indexed="1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4298B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54585A"/>
        <bgColor indexed="64"/>
      </patternFill>
    </fill>
  </fills>
  <borders count="7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/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3F3F3F"/>
      </right>
      <top style="thin">
        <color indexed="64"/>
      </top>
      <bottom style="thin">
        <color rgb="FF3F3F3F"/>
      </bottom>
      <diagonal/>
    </border>
    <border>
      <left style="thin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rgb="FF3F3F3F"/>
      </right>
      <top style="thin">
        <color rgb="FF3F3F3F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medium">
        <color indexed="64"/>
      </top>
      <bottom style="double">
        <color indexed="64"/>
      </bottom>
      <diagonal/>
    </border>
  </borders>
  <cellStyleXfs count="7">
    <xf numFmtId="0" fontId="0" fillId="0" borderId="0"/>
    <xf numFmtId="0" fontId="3" fillId="0" borderId="0"/>
    <xf numFmtId="9" fontId="13" fillId="0" borderId="0" applyFont="0" applyFill="0" applyBorder="0" applyAlignment="0" applyProtection="0"/>
    <xf numFmtId="0" fontId="22" fillId="11" borderId="44" applyNumberFormat="0" applyAlignment="0" applyProtection="0"/>
    <xf numFmtId="0" fontId="23" fillId="12" borderId="45" applyNumberFormat="0" applyAlignment="0" applyProtection="0"/>
    <xf numFmtId="0" fontId="24" fillId="12" borderId="44" applyNumberFormat="0" applyAlignment="0" applyProtection="0"/>
    <xf numFmtId="0" fontId="38" fillId="0" borderId="0" applyNumberFormat="0" applyFill="0" applyBorder="0" applyAlignment="0" applyProtection="0"/>
  </cellStyleXfs>
  <cellXfs count="361">
    <xf numFmtId="0" fontId="0" fillId="0" borderId="0" xfId="0"/>
    <xf numFmtId="0" fontId="4" fillId="0" borderId="0" xfId="0" applyFont="1"/>
    <xf numFmtId="0" fontId="6" fillId="0" borderId="0" xfId="0" applyFont="1" applyAlignment="1">
      <alignment horizontal="right"/>
    </xf>
    <xf numFmtId="0" fontId="4" fillId="0" borderId="4" xfId="0" applyFont="1" applyBorder="1" applyAlignment="1">
      <alignment horizontal="right"/>
    </xf>
    <xf numFmtId="0" fontId="4" fillId="0" borderId="5" xfId="0" applyFont="1" applyBorder="1" applyAlignment="1">
      <alignment horizontal="right"/>
    </xf>
    <xf numFmtId="0" fontId="4" fillId="0" borderId="6" xfId="0" applyFont="1" applyBorder="1" applyAlignment="1">
      <alignment horizontal="right"/>
    </xf>
    <xf numFmtId="0" fontId="6" fillId="0" borderId="5" xfId="0" applyFont="1" applyBorder="1" applyAlignment="1">
      <alignment horizontal="right"/>
    </xf>
    <xf numFmtId="0" fontId="8" fillId="0" borderId="0" xfId="0" applyFont="1"/>
    <xf numFmtId="0" fontId="10" fillId="0" borderId="0" xfId="0" applyFont="1"/>
    <xf numFmtId="0" fontId="2" fillId="0" borderId="0" xfId="0" applyFont="1"/>
    <xf numFmtId="0" fontId="6" fillId="0" borderId="4" xfId="0" applyFont="1" applyBorder="1" applyAlignment="1">
      <alignment horizontal="right"/>
    </xf>
    <xf numFmtId="0" fontId="6" fillId="0" borderId="6" xfId="0" applyFont="1" applyBorder="1" applyAlignment="1">
      <alignment horizontal="right"/>
    </xf>
    <xf numFmtId="0" fontId="2" fillId="0" borderId="0" xfId="1" applyFont="1"/>
    <xf numFmtId="0" fontId="3" fillId="0" borderId="0" xfId="1"/>
    <xf numFmtId="0" fontId="3" fillId="0" borderId="7" xfId="1" applyBorder="1" applyAlignment="1">
      <alignment horizontal="center"/>
    </xf>
    <xf numFmtId="0" fontId="3" fillId="0" borderId="8" xfId="1" applyBorder="1" applyAlignment="1">
      <alignment horizontal="center"/>
    </xf>
    <xf numFmtId="0" fontId="3" fillId="0" borderId="9" xfId="1" applyBorder="1" applyAlignment="1">
      <alignment horizontal="center"/>
    </xf>
    <xf numFmtId="0" fontId="6" fillId="0" borderId="0" xfId="0" applyFont="1"/>
    <xf numFmtId="0" fontId="1" fillId="0" borderId="14" xfId="0" applyFont="1" applyBorder="1"/>
    <xf numFmtId="0" fontId="2" fillId="0" borderId="0" xfId="1" applyFont="1" applyAlignment="1">
      <alignment horizontal="center"/>
    </xf>
    <xf numFmtId="0" fontId="3" fillId="0" borderId="25" xfId="1" applyBorder="1"/>
    <xf numFmtId="0" fontId="15" fillId="0" borderId="0" xfId="1" applyFont="1"/>
    <xf numFmtId="0" fontId="3" fillId="0" borderId="26" xfId="1" applyBorder="1"/>
    <xf numFmtId="0" fontId="3" fillId="0" borderId="20" xfId="1" applyBorder="1"/>
    <xf numFmtId="0" fontId="3" fillId="0" borderId="21" xfId="1" applyBorder="1"/>
    <xf numFmtId="0" fontId="3" fillId="0" borderId="22" xfId="1" applyBorder="1"/>
    <xf numFmtId="0" fontId="3" fillId="0" borderId="23" xfId="1" applyBorder="1"/>
    <xf numFmtId="0" fontId="17" fillId="0" borderId="23" xfId="1" applyFont="1" applyBorder="1"/>
    <xf numFmtId="0" fontId="3" fillId="0" borderId="27" xfId="1" applyBorder="1"/>
    <xf numFmtId="0" fontId="3" fillId="3" borderId="20" xfId="1" applyFill="1" applyBorder="1"/>
    <xf numFmtId="165" fontId="3" fillId="0" borderId="0" xfId="1" applyNumberFormat="1"/>
    <xf numFmtId="0" fontId="3" fillId="0" borderId="0" xfId="1" applyAlignment="1">
      <alignment horizontal="left"/>
    </xf>
    <xf numFmtId="0" fontId="3" fillId="4" borderId="3" xfId="1" applyFill="1" applyBorder="1" applyAlignment="1">
      <alignment horizontal="right"/>
    </xf>
    <xf numFmtId="0" fontId="3" fillId="4" borderId="1" xfId="1" applyFill="1" applyBorder="1"/>
    <xf numFmtId="0" fontId="3" fillId="4" borderId="1" xfId="1" applyFill="1" applyBorder="1" applyAlignment="1">
      <alignment horizontal="center"/>
    </xf>
    <xf numFmtId="0" fontId="3" fillId="4" borderId="28" xfId="1" applyFill="1" applyBorder="1"/>
    <xf numFmtId="11" fontId="3" fillId="4" borderId="4" xfId="1" applyNumberFormat="1" applyFill="1" applyBorder="1"/>
    <xf numFmtId="0" fontId="3" fillId="0" borderId="29" xfId="1" applyBorder="1"/>
    <xf numFmtId="0" fontId="18" fillId="0" borderId="23" xfId="1" applyFont="1" applyBorder="1"/>
    <xf numFmtId="0" fontId="18" fillId="0" borderId="27" xfId="1" applyFont="1" applyBorder="1"/>
    <xf numFmtId="11" fontId="3" fillId="4" borderId="5" xfId="1" applyNumberFormat="1" applyFill="1" applyBorder="1"/>
    <xf numFmtId="0" fontId="3" fillId="0" borderId="2" xfId="1" applyBorder="1"/>
    <xf numFmtId="0" fontId="18" fillId="0" borderId="0" xfId="1" applyFont="1"/>
    <xf numFmtId="0" fontId="18" fillId="0" borderId="26" xfId="1" applyFont="1" applyBorder="1"/>
    <xf numFmtId="0" fontId="3" fillId="4" borderId="5" xfId="1" applyFill="1" applyBorder="1"/>
    <xf numFmtId="0" fontId="3" fillId="0" borderId="0" xfId="1" applyAlignment="1">
      <alignment horizontal="center"/>
    </xf>
    <xf numFmtId="0" fontId="3" fillId="0" borderId="3" xfId="1" applyBorder="1"/>
    <xf numFmtId="0" fontId="3" fillId="0" borderId="1" xfId="1" applyBorder="1"/>
    <xf numFmtId="0" fontId="18" fillId="0" borderId="1" xfId="1" applyFont="1" applyBorder="1"/>
    <xf numFmtId="0" fontId="18" fillId="0" borderId="28" xfId="1" applyFont="1" applyBorder="1"/>
    <xf numFmtId="11" fontId="3" fillId="4" borderId="6" xfId="1" applyNumberFormat="1" applyFill="1" applyBorder="1"/>
    <xf numFmtId="0" fontId="3" fillId="0" borderId="31" xfId="1" applyBorder="1"/>
    <xf numFmtId="0" fontId="3" fillId="0" borderId="32" xfId="1" applyBorder="1"/>
    <xf numFmtId="11" fontId="3" fillId="0" borderId="0" xfId="1" applyNumberFormat="1"/>
    <xf numFmtId="0" fontId="3" fillId="0" borderId="30" xfId="1" applyBorder="1"/>
    <xf numFmtId="0" fontId="3" fillId="0" borderId="28" xfId="1" applyBorder="1"/>
    <xf numFmtId="0" fontId="3" fillId="0" borderId="33" xfId="1" applyBorder="1"/>
    <xf numFmtId="0" fontId="3" fillId="0" borderId="34" xfId="1" applyBorder="1"/>
    <xf numFmtId="0" fontId="3" fillId="0" borderId="14" xfId="1" applyBorder="1"/>
    <xf numFmtId="0" fontId="3" fillId="0" borderId="35" xfId="1" applyBorder="1"/>
    <xf numFmtId="0" fontId="3" fillId="4" borderId="15" xfId="1" applyFill="1" applyBorder="1" applyAlignment="1" applyProtection="1">
      <alignment horizontal="center"/>
      <protection locked="0"/>
    </xf>
    <xf numFmtId="0" fontId="20" fillId="5" borderId="15" xfId="1" applyFont="1" applyFill="1" applyBorder="1" applyAlignment="1" applyProtection="1">
      <alignment horizontal="center"/>
      <protection locked="0"/>
    </xf>
    <xf numFmtId="0" fontId="2" fillId="0" borderId="0" xfId="1" applyFont="1" applyAlignment="1">
      <alignment horizontal="right"/>
    </xf>
    <xf numFmtId="165" fontId="3" fillId="4" borderId="15" xfId="1" applyNumberFormat="1" applyFill="1" applyBorder="1" applyAlignment="1" applyProtection="1">
      <alignment horizontal="center"/>
      <protection locked="0"/>
    </xf>
    <xf numFmtId="2" fontId="5" fillId="2" borderId="38" xfId="0" applyNumberFormat="1" applyFont="1" applyFill="1" applyBorder="1" applyProtection="1">
      <protection locked="0"/>
    </xf>
    <xf numFmtId="165" fontId="5" fillId="2" borderId="38" xfId="0" applyNumberFormat="1" applyFont="1" applyFill="1" applyBorder="1" applyProtection="1">
      <protection locked="0"/>
    </xf>
    <xf numFmtId="0" fontId="5" fillId="2" borderId="38" xfId="0" applyFont="1" applyFill="1" applyBorder="1" applyAlignment="1" applyProtection="1">
      <alignment horizontal="right"/>
      <protection locked="0"/>
    </xf>
    <xf numFmtId="166" fontId="5" fillId="2" borderId="38" xfId="0" applyNumberFormat="1" applyFont="1" applyFill="1" applyBorder="1" applyAlignment="1" applyProtection="1">
      <alignment horizontal="right"/>
      <protection locked="0"/>
    </xf>
    <xf numFmtId="0" fontId="4" fillId="0" borderId="39" xfId="0" applyFont="1" applyBorder="1" applyAlignment="1">
      <alignment horizontal="right"/>
    </xf>
    <xf numFmtId="0" fontId="0" fillId="0" borderId="24" xfId="0" applyBorder="1" applyAlignment="1">
      <alignment horizontal="right"/>
    </xf>
    <xf numFmtId="0" fontId="5" fillId="2" borderId="38" xfId="0" applyFont="1" applyFill="1" applyBorder="1" applyProtection="1">
      <protection locked="0"/>
    </xf>
    <xf numFmtId="0" fontId="4" fillId="0" borderId="24" xfId="0" applyFont="1" applyBorder="1" applyAlignment="1">
      <alignment horizontal="right"/>
    </xf>
    <xf numFmtId="10" fontId="5" fillId="2" borderId="38" xfId="2" applyNumberFormat="1" applyFont="1" applyFill="1" applyBorder="1" applyAlignment="1" applyProtection="1">
      <alignment horizontal="right"/>
      <protection locked="0"/>
    </xf>
    <xf numFmtId="165" fontId="5" fillId="2" borderId="38" xfId="0" applyNumberFormat="1" applyFont="1" applyFill="1" applyBorder="1" applyAlignment="1" applyProtection="1">
      <alignment horizontal="right"/>
      <protection locked="0"/>
    </xf>
    <xf numFmtId="0" fontId="14" fillId="2" borderId="38" xfId="0" applyFont="1" applyFill="1" applyBorder="1" applyAlignment="1" applyProtection="1">
      <alignment horizontal="right"/>
      <protection locked="0"/>
    </xf>
    <xf numFmtId="164" fontId="5" fillId="2" borderId="38" xfId="0" applyNumberFormat="1" applyFont="1" applyFill="1" applyBorder="1" applyProtection="1">
      <protection locked="0"/>
    </xf>
    <xf numFmtId="2" fontId="5" fillId="2" borderId="38" xfId="0" applyNumberFormat="1" applyFont="1" applyFill="1" applyBorder="1" applyAlignment="1" applyProtection="1">
      <alignment horizontal="right"/>
      <protection locked="0"/>
    </xf>
    <xf numFmtId="167" fontId="5" fillId="2" borderId="38" xfId="0" applyNumberFormat="1" applyFont="1" applyFill="1" applyBorder="1" applyAlignment="1" applyProtection="1">
      <alignment horizontal="right"/>
      <protection locked="0"/>
    </xf>
    <xf numFmtId="0" fontId="11" fillId="2" borderId="38" xfId="0" applyFont="1" applyFill="1" applyBorder="1" applyAlignment="1" applyProtection="1">
      <alignment horizontal="right"/>
      <protection locked="0"/>
    </xf>
    <xf numFmtId="165" fontId="11" fillId="2" borderId="38" xfId="0" applyNumberFormat="1" applyFont="1" applyFill="1" applyBorder="1" applyAlignment="1" applyProtection="1">
      <alignment horizontal="right"/>
      <protection locked="0"/>
    </xf>
    <xf numFmtId="164" fontId="11" fillId="2" borderId="38" xfId="0" applyNumberFormat="1" applyFont="1" applyFill="1" applyBorder="1" applyProtection="1">
      <protection locked="0"/>
    </xf>
    <xf numFmtId="0" fontId="4" fillId="0" borderId="40" xfId="0" applyFont="1" applyBorder="1" applyAlignment="1">
      <alignment horizontal="right"/>
    </xf>
    <xf numFmtId="0" fontId="2" fillId="0" borderId="16" xfId="0" applyFont="1" applyBorder="1" applyAlignment="1">
      <alignment horizontal="center"/>
    </xf>
    <xf numFmtId="0" fontId="5" fillId="6" borderId="38" xfId="0" applyFont="1" applyFill="1" applyBorder="1" applyAlignment="1" applyProtection="1">
      <alignment horizontal="right"/>
      <protection locked="0"/>
    </xf>
    <xf numFmtId="164" fontId="5" fillId="6" borderId="38" xfId="0" applyNumberFormat="1" applyFont="1" applyFill="1" applyBorder="1" applyAlignment="1" applyProtection="1">
      <alignment horizontal="right"/>
      <protection locked="0"/>
    </xf>
    <xf numFmtId="0" fontId="6" fillId="0" borderId="24" xfId="0" applyFont="1" applyBorder="1" applyAlignment="1">
      <alignment horizontal="right"/>
    </xf>
    <xf numFmtId="0" fontId="6" fillId="0" borderId="39" xfId="0" applyFont="1" applyBorder="1" applyAlignment="1">
      <alignment horizontal="right"/>
    </xf>
    <xf numFmtId="0" fontId="6" fillId="0" borderId="41" xfId="0" applyFont="1" applyBorder="1" applyAlignment="1">
      <alignment horizontal="right"/>
    </xf>
    <xf numFmtId="0" fontId="0" fillId="0" borderId="39" xfId="0" applyBorder="1" applyAlignment="1">
      <alignment horizontal="right"/>
    </xf>
    <xf numFmtId="0" fontId="0" fillId="0" borderId="41" xfId="0" applyBorder="1" applyAlignment="1">
      <alignment horizontal="right"/>
    </xf>
    <xf numFmtId="168" fontId="0" fillId="0" borderId="39" xfId="0" applyNumberFormat="1" applyBorder="1" applyAlignment="1">
      <alignment horizontal="right"/>
    </xf>
    <xf numFmtId="168" fontId="0" fillId="0" borderId="41" xfId="0" applyNumberFormat="1" applyBorder="1" applyAlignment="1">
      <alignment horizontal="right"/>
    </xf>
    <xf numFmtId="0" fontId="5" fillId="6" borderId="38" xfId="0" applyFont="1" applyFill="1" applyBorder="1" applyProtection="1">
      <protection locked="0"/>
    </xf>
    <xf numFmtId="0" fontId="0" fillId="0" borderId="0" xfId="0" quotePrefix="1"/>
    <xf numFmtId="2" fontId="0" fillId="0" borderId="0" xfId="0" applyNumberFormat="1"/>
    <xf numFmtId="10" fontId="0" fillId="0" borderId="0" xfId="0" applyNumberFormat="1"/>
    <xf numFmtId="0" fontId="0" fillId="7" borderId="15" xfId="0" applyFill="1" applyBorder="1"/>
    <xf numFmtId="0" fontId="0" fillId="7" borderId="15" xfId="0" quotePrefix="1" applyFill="1" applyBorder="1"/>
    <xf numFmtId="0" fontId="0" fillId="8" borderId="15" xfId="0" applyFill="1" applyBorder="1"/>
    <xf numFmtId="0" fontId="4" fillId="0" borderId="42" xfId="0" applyFont="1" applyBorder="1" applyAlignment="1">
      <alignment horizontal="right"/>
    </xf>
    <xf numFmtId="0" fontId="4" fillId="0" borderId="22" xfId="0" applyFont="1" applyBorder="1" applyAlignment="1">
      <alignment horizontal="right"/>
    </xf>
    <xf numFmtId="0" fontId="4" fillId="0" borderId="2" xfId="0" applyFont="1" applyBorder="1" applyAlignment="1">
      <alignment horizontal="right"/>
    </xf>
    <xf numFmtId="0" fontId="4" fillId="0" borderId="3" xfId="0" applyFont="1" applyBorder="1" applyAlignment="1">
      <alignment horizontal="right"/>
    </xf>
    <xf numFmtId="0" fontId="4" fillId="0" borderId="23" xfId="0" applyFont="1" applyBorder="1" applyAlignment="1">
      <alignment horizontal="right"/>
    </xf>
    <xf numFmtId="0" fontId="4" fillId="0" borderId="0" xfId="0" applyFont="1" applyAlignment="1">
      <alignment horizontal="right"/>
    </xf>
    <xf numFmtId="0" fontId="6" fillId="0" borderId="3" xfId="0" applyFont="1" applyBorder="1" applyAlignment="1">
      <alignment horizontal="right"/>
    </xf>
    <xf numFmtId="0" fontId="6" fillId="0" borderId="22" xfId="0" applyFont="1" applyBorder="1" applyAlignment="1">
      <alignment horizontal="right"/>
    </xf>
    <xf numFmtId="0" fontId="0" fillId="0" borderId="23" xfId="0" applyBorder="1" applyAlignment="1">
      <alignment horizontal="right"/>
    </xf>
    <xf numFmtId="0" fontId="6" fillId="0" borderId="23" xfId="0" applyFont="1" applyBorder="1" applyAlignment="1">
      <alignment horizontal="right"/>
    </xf>
    <xf numFmtId="0" fontId="6" fillId="0" borderId="1" xfId="0" applyFont="1" applyBorder="1" applyAlignment="1">
      <alignment horizontal="right"/>
    </xf>
    <xf numFmtId="0" fontId="0" fillId="0" borderId="0" xfId="0" applyAlignment="1">
      <alignment horizontal="right"/>
    </xf>
    <xf numFmtId="0" fontId="0" fillId="0" borderId="1" xfId="0" applyBorder="1" applyAlignment="1">
      <alignment horizontal="right"/>
    </xf>
    <xf numFmtId="168" fontId="0" fillId="0" borderId="0" xfId="0" applyNumberFormat="1" applyAlignment="1">
      <alignment horizontal="right"/>
    </xf>
    <xf numFmtId="168" fontId="0" fillId="0" borderId="1" xfId="0" applyNumberFormat="1" applyBorder="1" applyAlignment="1">
      <alignment horizontal="right"/>
    </xf>
    <xf numFmtId="0" fontId="0" fillId="9" borderId="0" xfId="0" applyFill="1"/>
    <xf numFmtId="0" fontId="0" fillId="10" borderId="0" xfId="0" applyFill="1"/>
    <xf numFmtId="0" fontId="5" fillId="6" borderId="43" xfId="0" applyFont="1" applyFill="1" applyBorder="1" applyAlignment="1">
      <alignment horizontal="right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22" fillId="11" borderId="44" xfId="3"/>
    <xf numFmtId="0" fontId="0" fillId="0" borderId="0" xfId="0" applyAlignment="1">
      <alignment wrapText="1"/>
    </xf>
    <xf numFmtId="0" fontId="22" fillId="11" borderId="44" xfId="3" applyAlignment="1">
      <alignment horizontal="right"/>
    </xf>
    <xf numFmtId="2" fontId="22" fillId="11" borderId="44" xfId="3" applyNumberFormat="1"/>
    <xf numFmtId="2" fontId="24" fillId="12" borderId="44" xfId="5" applyNumberFormat="1"/>
    <xf numFmtId="169" fontId="0" fillId="0" borderId="0" xfId="0" applyNumberFormat="1"/>
    <xf numFmtId="170" fontId="0" fillId="0" borderId="0" xfId="0" applyNumberFormat="1"/>
    <xf numFmtId="2" fontId="0" fillId="0" borderId="0" xfId="0" applyNumberFormat="1" applyAlignment="1">
      <alignment vertical="top" wrapText="1"/>
    </xf>
    <xf numFmtId="0" fontId="0" fillId="0" borderId="15" xfId="0" applyBorder="1"/>
    <xf numFmtId="2" fontId="0" fillId="0" borderId="15" xfId="0" applyNumberFormat="1" applyBorder="1"/>
    <xf numFmtId="0" fontId="0" fillId="13" borderId="15" xfId="0" applyFill="1" applyBorder="1" applyAlignment="1">
      <alignment wrapText="1"/>
    </xf>
    <xf numFmtId="0" fontId="0" fillId="14" borderId="15" xfId="0" applyFill="1" applyBorder="1" applyAlignment="1">
      <alignment wrapText="1"/>
    </xf>
    <xf numFmtId="0" fontId="0" fillId="15" borderId="0" xfId="0" applyFill="1"/>
    <xf numFmtId="171" fontId="24" fillId="15" borderId="0" xfId="5" applyNumberFormat="1" applyFill="1" applyBorder="1"/>
    <xf numFmtId="172" fontId="28" fillId="15" borderId="0" xfId="0" applyNumberFormat="1" applyFont="1" applyFill="1"/>
    <xf numFmtId="173" fontId="29" fillId="15" borderId="0" xfId="0" applyNumberFormat="1" applyFont="1" applyFill="1"/>
    <xf numFmtId="0" fontId="0" fillId="16" borderId="15" xfId="0" applyFill="1" applyBorder="1" applyAlignment="1">
      <alignment wrapText="1"/>
    </xf>
    <xf numFmtId="0" fontId="25" fillId="0" borderId="0" xfId="0" applyFont="1"/>
    <xf numFmtId="0" fontId="1" fillId="0" borderId="0" xfId="0" applyFont="1"/>
    <xf numFmtId="0" fontId="0" fillId="13" borderId="0" xfId="0" applyFill="1"/>
    <xf numFmtId="0" fontId="30" fillId="15" borderId="0" xfId="0" applyFont="1" applyFill="1"/>
    <xf numFmtId="0" fontId="31" fillId="15" borderId="0" xfId="0" applyFont="1" applyFill="1"/>
    <xf numFmtId="0" fontId="32" fillId="15" borderId="0" xfId="0" applyFont="1" applyFill="1"/>
    <xf numFmtId="0" fontId="33" fillId="15" borderId="0" xfId="0" applyFont="1" applyFill="1"/>
    <xf numFmtId="0" fontId="5" fillId="2" borderId="46" xfId="0" applyFont="1" applyFill="1" applyBorder="1" applyProtection="1">
      <protection locked="0"/>
    </xf>
    <xf numFmtId="0" fontId="0" fillId="17" borderId="0" xfId="0" applyFill="1"/>
    <xf numFmtId="0" fontId="23" fillId="12" borderId="47" xfId="4" applyBorder="1" applyAlignment="1" applyProtection="1">
      <alignment horizontal="right"/>
      <protection locked="0"/>
    </xf>
    <xf numFmtId="0" fontId="23" fillId="12" borderId="48" xfId="4" applyBorder="1" applyAlignment="1" applyProtection="1">
      <alignment horizontal="right"/>
      <protection locked="0"/>
    </xf>
    <xf numFmtId="0" fontId="23" fillId="12" borderId="49" xfId="4" applyBorder="1" applyAlignment="1" applyProtection="1">
      <alignment horizontal="right"/>
      <protection locked="0"/>
    </xf>
    <xf numFmtId="0" fontId="6" fillId="0" borderId="2" xfId="0" applyFont="1" applyBorder="1" applyAlignment="1">
      <alignment horizontal="right"/>
    </xf>
    <xf numFmtId="2" fontId="23" fillId="12" borderId="47" xfId="4" applyNumberFormat="1" applyBorder="1" applyAlignment="1" applyProtection="1">
      <alignment horizontal="right"/>
      <protection locked="0"/>
    </xf>
    <xf numFmtId="2" fontId="23" fillId="12" borderId="48" xfId="4" applyNumberFormat="1" applyBorder="1" applyAlignment="1" applyProtection="1">
      <alignment horizontal="right"/>
      <protection locked="0"/>
    </xf>
    <xf numFmtId="0" fontId="34" fillId="0" borderId="0" xfId="0" applyFont="1" applyAlignment="1">
      <alignment horizontal="right"/>
    </xf>
    <xf numFmtId="0" fontId="34" fillId="0" borderId="2" xfId="0" applyFont="1" applyBorder="1" applyAlignment="1">
      <alignment horizontal="right"/>
    </xf>
    <xf numFmtId="0" fontId="34" fillId="0" borderId="22" xfId="0" applyFont="1" applyBorder="1" applyAlignment="1">
      <alignment horizontal="right"/>
    </xf>
    <xf numFmtId="0" fontId="8" fillId="0" borderId="0" xfId="0" applyFont="1" applyAlignment="1">
      <alignment wrapText="1"/>
    </xf>
    <xf numFmtId="0" fontId="0" fillId="0" borderId="14" xfId="0" applyBorder="1"/>
    <xf numFmtId="2" fontId="29" fillId="0" borderId="0" xfId="0" applyNumberFormat="1" applyFont="1"/>
    <xf numFmtId="0" fontId="0" fillId="0" borderId="5" xfId="0" applyBorder="1"/>
    <xf numFmtId="0" fontId="0" fillId="0" borderId="6" xfId="0" applyBorder="1"/>
    <xf numFmtId="0" fontId="6" fillId="0" borderId="50" xfId="0" applyFont="1" applyBorder="1" applyAlignment="1">
      <alignment horizontal="right"/>
    </xf>
    <xf numFmtId="0" fontId="6" fillId="0" borderId="51" xfId="0" applyFont="1" applyBorder="1" applyAlignment="1">
      <alignment horizontal="right"/>
    </xf>
    <xf numFmtId="2" fontId="1" fillId="0" borderId="0" xfId="0" applyNumberFormat="1" applyFont="1"/>
    <xf numFmtId="0" fontId="0" fillId="18" borderId="52" xfId="0" applyFill="1" applyBorder="1"/>
    <xf numFmtId="0" fontId="0" fillId="18" borderId="53" xfId="0" applyFill="1" applyBorder="1"/>
    <xf numFmtId="0" fontId="0" fillId="0" borderId="52" xfId="0" applyBorder="1"/>
    <xf numFmtId="2" fontId="0" fillId="0" borderId="53" xfId="0" applyNumberFormat="1" applyBorder="1"/>
    <xf numFmtId="2" fontId="0" fillId="18" borderId="53" xfId="0" applyNumberFormat="1" applyFill="1" applyBorder="1"/>
    <xf numFmtId="2" fontId="0" fillId="18" borderId="52" xfId="0" applyNumberFormat="1" applyFill="1" applyBorder="1"/>
    <xf numFmtId="2" fontId="0" fillId="0" borderId="52" xfId="0" applyNumberFormat="1" applyBorder="1"/>
    <xf numFmtId="0" fontId="0" fillId="0" borderId="53" xfId="0" applyBorder="1"/>
    <xf numFmtId="0" fontId="0" fillId="18" borderId="54" xfId="0" applyFill="1" applyBorder="1"/>
    <xf numFmtId="0" fontId="0" fillId="18" borderId="55" xfId="0" applyFill="1" applyBorder="1"/>
    <xf numFmtId="2" fontId="38" fillId="0" borderId="0" xfId="6" applyNumberFormat="1"/>
    <xf numFmtId="0" fontId="37" fillId="0" borderId="0" xfId="0" applyFont="1" applyAlignment="1">
      <alignment horizontal="left"/>
    </xf>
    <xf numFmtId="0" fontId="35" fillId="0" borderId="0" xfId="0" applyFont="1" applyAlignment="1">
      <alignment horizontal="left"/>
    </xf>
    <xf numFmtId="0" fontId="36" fillId="0" borderId="0" xfId="0" applyFont="1" applyAlignment="1">
      <alignment horizontal="left"/>
    </xf>
    <xf numFmtId="0" fontId="5" fillId="2" borderId="56" xfId="0" applyFont="1" applyFill="1" applyBorder="1"/>
    <xf numFmtId="0" fontId="40" fillId="0" borderId="0" xfId="0" applyFont="1"/>
    <xf numFmtId="168" fontId="0" fillId="0" borderId="24" xfId="0" applyNumberFormat="1" applyBorder="1" applyAlignment="1">
      <alignment horizontal="right"/>
    </xf>
    <xf numFmtId="0" fontId="8" fillId="0" borderId="16" xfId="0" applyFont="1" applyBorder="1" applyAlignment="1">
      <alignment horizontal="center" vertical="center" wrapText="1"/>
    </xf>
    <xf numFmtId="168" fontId="0" fillId="0" borderId="40" xfId="0" applyNumberFormat="1" applyBorder="1" applyAlignment="1">
      <alignment horizontal="right"/>
    </xf>
    <xf numFmtId="0" fontId="6" fillId="0" borderId="21" xfId="0" applyFont="1" applyBorder="1" applyAlignment="1">
      <alignment horizontal="right"/>
    </xf>
    <xf numFmtId="0" fontId="34" fillId="0" borderId="21" xfId="0" applyFont="1" applyBorder="1" applyAlignment="1">
      <alignment horizontal="right"/>
    </xf>
    <xf numFmtId="0" fontId="6" fillId="0" borderId="57" xfId="0" applyFont="1" applyBorder="1" applyAlignment="1">
      <alignment horizontal="right"/>
    </xf>
    <xf numFmtId="0" fontId="0" fillId="19" borderId="0" xfId="0" applyFill="1"/>
    <xf numFmtId="0" fontId="25" fillId="19" borderId="0" xfId="0" applyFont="1" applyFill="1"/>
    <xf numFmtId="0" fontId="6" fillId="0" borderId="58" xfId="0" applyFont="1" applyBorder="1" applyAlignment="1">
      <alignment horizontal="right"/>
    </xf>
    <xf numFmtId="0" fontId="34" fillId="0" borderId="50" xfId="0" applyFont="1" applyBorder="1" applyAlignment="1">
      <alignment horizontal="right"/>
    </xf>
    <xf numFmtId="0" fontId="34" fillId="0" borderId="58" xfId="0" applyFont="1" applyBorder="1" applyAlignment="1">
      <alignment horizontal="right"/>
    </xf>
    <xf numFmtId="0" fontId="5" fillId="2" borderId="37" xfId="0" applyFont="1" applyFill="1" applyBorder="1" applyAlignment="1" applyProtection="1">
      <alignment horizontal="right" wrapText="1"/>
      <protection locked="0"/>
    </xf>
    <xf numFmtId="0" fontId="41" fillId="0" borderId="0" xfId="0" applyFont="1"/>
    <xf numFmtId="2" fontId="41" fillId="0" borderId="0" xfId="0" applyNumberFormat="1" applyFont="1"/>
    <xf numFmtId="0" fontId="41" fillId="0" borderId="0" xfId="0" quotePrefix="1" applyFont="1"/>
    <xf numFmtId="0" fontId="0" fillId="0" borderId="0" xfId="0" applyAlignment="1">
      <alignment horizontal="center"/>
    </xf>
    <xf numFmtId="0" fontId="0" fillId="20" borderId="0" xfId="0" applyFill="1"/>
    <xf numFmtId="2" fontId="0" fillId="20" borderId="0" xfId="0" applyNumberFormat="1" applyFill="1"/>
    <xf numFmtId="0" fontId="0" fillId="20" borderId="0" xfId="0" quotePrefix="1" applyFill="1"/>
    <xf numFmtId="0" fontId="0" fillId="0" borderId="2" xfId="0" applyBorder="1"/>
    <xf numFmtId="0" fontId="0" fillId="0" borderId="39" xfId="0" applyBorder="1"/>
    <xf numFmtId="0" fontId="0" fillId="0" borderId="3" xfId="0" applyBorder="1"/>
    <xf numFmtId="0" fontId="0" fillId="0" borderId="41" xfId="0" applyBorder="1"/>
    <xf numFmtId="0" fontId="0" fillId="21" borderId="22" xfId="0" applyFill="1" applyBorder="1"/>
    <xf numFmtId="0" fontId="0" fillId="21" borderId="23" xfId="0" applyFill="1" applyBorder="1"/>
    <xf numFmtId="0" fontId="0" fillId="21" borderId="24" xfId="0" applyFill="1" applyBorder="1"/>
    <xf numFmtId="0" fontId="0" fillId="21" borderId="2" xfId="0" applyFill="1" applyBorder="1"/>
    <xf numFmtId="0" fontId="0" fillId="21" borderId="0" xfId="0" applyFill="1"/>
    <xf numFmtId="0" fontId="0" fillId="21" borderId="39" xfId="0" applyFill="1" applyBorder="1"/>
    <xf numFmtId="164" fontId="0" fillId="21" borderId="0" xfId="0" applyNumberFormat="1" applyFill="1"/>
    <xf numFmtId="0" fontId="0" fillId="21" borderId="3" xfId="0" applyFill="1" applyBorder="1"/>
    <xf numFmtId="0" fontId="0" fillId="21" borderId="1" xfId="0" applyFill="1" applyBorder="1"/>
    <xf numFmtId="0" fontId="0" fillId="21" borderId="41" xfId="0" applyFill="1" applyBorder="1"/>
    <xf numFmtId="0" fontId="1" fillId="21" borderId="22" xfId="0" applyFont="1" applyFill="1" applyBorder="1"/>
    <xf numFmtId="0" fontId="1" fillId="21" borderId="23" xfId="0" applyFont="1" applyFill="1" applyBorder="1"/>
    <xf numFmtId="0" fontId="0" fillId="22" borderId="65" xfId="0" applyFill="1" applyBorder="1"/>
    <xf numFmtId="0" fontId="0" fillId="22" borderId="66" xfId="0" applyFill="1" applyBorder="1"/>
    <xf numFmtId="164" fontId="0" fillId="22" borderId="62" xfId="0" applyNumberFormat="1" applyFill="1" applyBorder="1"/>
    <xf numFmtId="164" fontId="0" fillId="22" borderId="63" xfId="0" applyNumberFormat="1" applyFill="1" applyBorder="1"/>
    <xf numFmtId="0" fontId="0" fillId="16" borderId="59" xfId="0" applyFill="1" applyBorder="1"/>
    <xf numFmtId="0" fontId="0" fillId="16" borderId="60" xfId="0" applyFill="1" applyBorder="1"/>
    <xf numFmtId="0" fontId="0" fillId="0" borderId="10" xfId="0" applyBorder="1"/>
    <xf numFmtId="0" fontId="0" fillId="0" borderId="58" xfId="0" applyBorder="1"/>
    <xf numFmtId="0" fontId="0" fillId="0" borderId="11" xfId="0" applyBorder="1"/>
    <xf numFmtId="0" fontId="0" fillId="0" borderId="51" xfId="0" applyBorder="1"/>
    <xf numFmtId="0" fontId="0" fillId="0" borderId="12" xfId="0" applyBorder="1"/>
    <xf numFmtId="0" fontId="0" fillId="0" borderId="13" xfId="0" applyBorder="1"/>
    <xf numFmtId="0" fontId="0" fillId="16" borderId="67" xfId="0" applyFill="1" applyBorder="1"/>
    <xf numFmtId="0" fontId="0" fillId="16" borderId="68" xfId="0" applyFill="1" applyBorder="1"/>
    <xf numFmtId="0" fontId="0" fillId="16" borderId="69" xfId="0" applyFill="1" applyBorder="1"/>
    <xf numFmtId="0" fontId="1" fillId="21" borderId="0" xfId="0" applyFont="1" applyFill="1"/>
    <xf numFmtId="0" fontId="28" fillId="21" borderId="0" xfId="0" applyFont="1" applyFill="1"/>
    <xf numFmtId="170" fontId="0" fillId="21" borderId="39" xfId="0" applyNumberFormat="1" applyFill="1" applyBorder="1"/>
    <xf numFmtId="169" fontId="0" fillId="16" borderId="67" xfId="0" applyNumberFormat="1" applyFill="1" applyBorder="1"/>
    <xf numFmtId="169" fontId="0" fillId="16" borderId="68" xfId="0" applyNumberFormat="1" applyFill="1" applyBorder="1"/>
    <xf numFmtId="169" fontId="0" fillId="16" borderId="69" xfId="0" applyNumberFormat="1" applyFill="1" applyBorder="1"/>
    <xf numFmtId="0" fontId="0" fillId="0" borderId="56" xfId="0" applyBorder="1"/>
    <xf numFmtId="0" fontId="0" fillId="0" borderId="61" xfId="0" applyBorder="1"/>
    <xf numFmtId="2" fontId="0" fillId="0" borderId="56" xfId="0" applyNumberFormat="1" applyBorder="1"/>
    <xf numFmtId="2" fontId="0" fillId="0" borderId="62" xfId="0" applyNumberFormat="1" applyBorder="1"/>
    <xf numFmtId="0" fontId="0" fillId="0" borderId="63" xfId="0" applyBorder="1"/>
    <xf numFmtId="0" fontId="0" fillId="0" borderId="65" xfId="0" applyBorder="1"/>
    <xf numFmtId="0" fontId="0" fillId="0" borderId="66" xfId="0" applyBorder="1"/>
    <xf numFmtId="177" fontId="0" fillId="0" borderId="10" xfId="0" applyNumberFormat="1" applyBorder="1"/>
    <xf numFmtId="177" fontId="0" fillId="0" borderId="58" xfId="0" applyNumberFormat="1" applyBorder="1"/>
    <xf numFmtId="177" fontId="0" fillId="0" borderId="11" xfId="0" applyNumberFormat="1" applyBorder="1"/>
    <xf numFmtId="177" fontId="0" fillId="0" borderId="51" xfId="0" applyNumberFormat="1" applyBorder="1"/>
    <xf numFmtId="177" fontId="0" fillId="0" borderId="12" xfId="0" applyNumberFormat="1" applyBorder="1"/>
    <xf numFmtId="177" fontId="0" fillId="0" borderId="13" xfId="0" applyNumberFormat="1" applyBorder="1"/>
    <xf numFmtId="175" fontId="0" fillId="16" borderId="67" xfId="0" applyNumberFormat="1" applyFill="1" applyBorder="1"/>
    <xf numFmtId="175" fontId="0" fillId="16" borderId="68" xfId="0" applyNumberFormat="1" applyFill="1" applyBorder="1"/>
    <xf numFmtId="175" fontId="0" fillId="16" borderId="69" xfId="0" applyNumberFormat="1" applyFill="1" applyBorder="1"/>
    <xf numFmtId="176" fontId="0" fillId="16" borderId="67" xfId="0" applyNumberFormat="1" applyFill="1" applyBorder="1"/>
    <xf numFmtId="176" fontId="0" fillId="16" borderId="68" xfId="0" applyNumberFormat="1" applyFill="1" applyBorder="1"/>
    <xf numFmtId="176" fontId="0" fillId="16" borderId="69" xfId="0" applyNumberFormat="1" applyFill="1" applyBorder="1"/>
    <xf numFmtId="0" fontId="0" fillId="16" borderId="64" xfId="0" applyFill="1" applyBorder="1"/>
    <xf numFmtId="165" fontId="0" fillId="0" borderId="58" xfId="0" applyNumberFormat="1" applyBorder="1"/>
    <xf numFmtId="165" fontId="0" fillId="0" borderId="11" xfId="0" applyNumberFormat="1" applyBorder="1"/>
    <xf numFmtId="0" fontId="28" fillId="21" borderId="2" xfId="0" applyFont="1" applyFill="1" applyBorder="1"/>
    <xf numFmtId="0" fontId="0" fillId="14" borderId="67" xfId="0" applyFill="1" applyBorder="1"/>
    <xf numFmtId="0" fontId="0" fillId="14" borderId="69" xfId="0" applyFill="1" applyBorder="1"/>
    <xf numFmtId="0" fontId="0" fillId="14" borderId="59" xfId="0" applyFill="1" applyBorder="1"/>
    <xf numFmtId="0" fontId="0" fillId="14" borderId="60" xfId="0" applyFill="1" applyBorder="1"/>
    <xf numFmtId="0" fontId="0" fillId="0" borderId="70" xfId="0" applyBorder="1"/>
    <xf numFmtId="0" fontId="0" fillId="0" borderId="71" xfId="0" applyBorder="1"/>
    <xf numFmtId="0" fontId="0" fillId="13" borderId="71" xfId="0" applyFill="1" applyBorder="1"/>
    <xf numFmtId="0" fontId="0" fillId="13" borderId="11" xfId="0" applyFill="1" applyBorder="1"/>
    <xf numFmtId="0" fontId="0" fillId="13" borderId="3" xfId="0" applyFill="1" applyBorder="1"/>
    <xf numFmtId="0" fontId="0" fillId="13" borderId="72" xfId="0" applyFill="1" applyBorder="1"/>
    <xf numFmtId="0" fontId="0" fillId="13" borderId="2" xfId="0" applyFill="1" applyBorder="1"/>
    <xf numFmtId="0" fontId="0" fillId="13" borderId="13" xfId="0" applyFill="1" applyBorder="1"/>
    <xf numFmtId="0" fontId="0" fillId="0" borderId="72" xfId="0" applyBorder="1"/>
    <xf numFmtId="0" fontId="1" fillId="13" borderId="0" xfId="0" applyFont="1" applyFill="1"/>
    <xf numFmtId="0" fontId="3" fillId="0" borderId="67" xfId="1" applyBorder="1"/>
    <xf numFmtId="0" fontId="3" fillId="0" borderId="68" xfId="1" applyBorder="1"/>
    <xf numFmtId="0" fontId="3" fillId="0" borderId="69" xfId="1" applyBorder="1"/>
    <xf numFmtId="2" fontId="3" fillId="13" borderId="58" xfId="1" applyNumberFormat="1" applyFill="1" applyBorder="1"/>
    <xf numFmtId="0" fontId="3" fillId="23" borderId="10" xfId="1" applyFill="1" applyBorder="1"/>
    <xf numFmtId="0" fontId="3" fillId="14" borderId="11" xfId="1" applyFill="1" applyBorder="1"/>
    <xf numFmtId="2" fontId="3" fillId="13" borderId="51" xfId="1" applyNumberFormat="1" applyFill="1" applyBorder="1"/>
    <xf numFmtId="0" fontId="3" fillId="23" borderId="12" xfId="1" applyFill="1" applyBorder="1"/>
    <xf numFmtId="0" fontId="3" fillId="14" borderId="13" xfId="1" applyFill="1" applyBorder="1"/>
    <xf numFmtId="0" fontId="3" fillId="21" borderId="0" xfId="1" applyFill="1"/>
    <xf numFmtId="0" fontId="8" fillId="21" borderId="0" xfId="0" applyFont="1" applyFill="1" applyAlignment="1">
      <alignment vertical="center"/>
    </xf>
    <xf numFmtId="0" fontId="43" fillId="21" borderId="0" xfId="0" applyFont="1" applyFill="1" applyAlignment="1">
      <alignment horizontal="right"/>
    </xf>
    <xf numFmtId="0" fontId="1" fillId="21" borderId="0" xfId="0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 wrapText="1"/>
    </xf>
    <xf numFmtId="0" fontId="1" fillId="21" borderId="0" xfId="0" applyFont="1" applyFill="1" applyAlignment="1">
      <alignment horizontal="right"/>
    </xf>
    <xf numFmtId="0" fontId="0" fillId="13" borderId="58" xfId="0" applyFill="1" applyBorder="1"/>
    <xf numFmtId="0" fontId="0" fillId="13" borderId="51" xfId="0" applyFill="1" applyBorder="1"/>
    <xf numFmtId="0" fontId="1" fillId="21" borderId="39" xfId="0" applyFont="1" applyFill="1" applyBorder="1" applyAlignment="1">
      <alignment horizontal="right"/>
    </xf>
    <xf numFmtId="0" fontId="28" fillId="21" borderId="39" xfId="0" applyFont="1" applyFill="1" applyBorder="1"/>
    <xf numFmtId="0" fontId="1" fillId="0" borderId="39" xfId="0" applyFont="1" applyBorder="1"/>
    <xf numFmtId="0" fontId="0" fillId="0" borderId="22" xfId="0" applyBorder="1"/>
    <xf numFmtId="0" fontId="0" fillId="0" borderId="24" xfId="0" applyBorder="1"/>
    <xf numFmtId="0" fontId="0" fillId="14" borderId="68" xfId="0" applyFill="1" applyBorder="1"/>
    <xf numFmtId="0" fontId="45" fillId="21" borderId="0" xfId="0" applyFont="1" applyFill="1"/>
    <xf numFmtId="0" fontId="0" fillId="21" borderId="42" xfId="0" applyFill="1" applyBorder="1"/>
    <xf numFmtId="165" fontId="24" fillId="12" borderId="44" xfId="5" applyNumberFormat="1"/>
    <xf numFmtId="0" fontId="24" fillId="12" borderId="44" xfId="5"/>
    <xf numFmtId="0" fontId="0" fillId="24" borderId="0" xfId="0" applyFill="1"/>
    <xf numFmtId="0" fontId="0" fillId="25" borderId="0" xfId="0" applyFill="1"/>
    <xf numFmtId="174" fontId="1" fillId="15" borderId="0" xfId="0" applyNumberFormat="1" applyFont="1" applyFill="1"/>
    <xf numFmtId="178" fontId="1" fillId="15" borderId="0" xfId="0" applyNumberFormat="1" applyFont="1" applyFill="1"/>
    <xf numFmtId="179" fontId="1" fillId="15" borderId="0" xfId="0" applyNumberFormat="1" applyFont="1" applyFill="1"/>
    <xf numFmtId="2" fontId="0" fillId="0" borderId="58" xfId="0" applyNumberFormat="1" applyBorder="1"/>
    <xf numFmtId="2" fontId="0" fillId="0" borderId="11" xfId="0" applyNumberFormat="1" applyBorder="1"/>
    <xf numFmtId="2" fontId="0" fillId="0" borderId="51" xfId="0" applyNumberFormat="1" applyBorder="1"/>
    <xf numFmtId="2" fontId="0" fillId="0" borderId="13" xfId="0" applyNumberFormat="1" applyBorder="1"/>
    <xf numFmtId="180" fontId="0" fillId="0" borderId="58" xfId="0" applyNumberFormat="1" applyBorder="1"/>
    <xf numFmtId="165" fontId="0" fillId="0" borderId="10" xfId="0" applyNumberFormat="1" applyBorder="1"/>
    <xf numFmtId="180" fontId="0" fillId="0" borderId="51" xfId="0" applyNumberFormat="1" applyBorder="1"/>
    <xf numFmtId="165" fontId="0" fillId="0" borderId="12" xfId="0" applyNumberFormat="1" applyBorder="1"/>
    <xf numFmtId="0" fontId="0" fillId="16" borderId="73" xfId="0" applyFill="1" applyBorder="1"/>
    <xf numFmtId="165" fontId="0" fillId="0" borderId="5" xfId="0" applyNumberFormat="1" applyBorder="1"/>
    <xf numFmtId="180" fontId="0" fillId="21" borderId="1" xfId="0" applyNumberFormat="1" applyFill="1" applyBorder="1"/>
    <xf numFmtId="165" fontId="0" fillId="21" borderId="1" xfId="0" applyNumberFormat="1" applyFill="1" applyBorder="1"/>
    <xf numFmtId="181" fontId="28" fillId="0" borderId="58" xfId="0" applyNumberFormat="1" applyFont="1" applyBorder="1"/>
    <xf numFmtId="181" fontId="46" fillId="0" borderId="58" xfId="0" applyNumberFormat="1" applyFont="1" applyBorder="1"/>
    <xf numFmtId="2" fontId="0" fillId="0" borderId="10" xfId="0" applyNumberFormat="1" applyBorder="1"/>
    <xf numFmtId="181" fontId="29" fillId="0" borderId="51" xfId="0" applyNumberFormat="1" applyFont="1" applyBorder="1"/>
    <xf numFmtId="0" fontId="0" fillId="21" borderId="0" xfId="0" applyFill="1" applyAlignment="1">
      <alignment horizontal="right"/>
    </xf>
    <xf numFmtId="165" fontId="0" fillId="0" borderId="13" xfId="0" applyNumberFormat="1" applyBorder="1"/>
    <xf numFmtId="165" fontId="0" fillId="0" borderId="51" xfId="0" applyNumberFormat="1" applyBorder="1"/>
    <xf numFmtId="174" fontId="47" fillId="15" borderId="0" xfId="0" applyNumberFormat="1" applyFont="1" applyFill="1"/>
    <xf numFmtId="0" fontId="0" fillId="0" borderId="21" xfId="0" applyBorder="1"/>
    <xf numFmtId="2" fontId="23" fillId="12" borderId="49" xfId="4" applyNumberFormat="1" applyBorder="1" applyAlignment="1" applyProtection="1">
      <alignment horizontal="right"/>
      <protection locked="0"/>
    </xf>
    <xf numFmtId="0" fontId="0" fillId="3" borderId="20" xfId="0" applyFill="1" applyBorder="1"/>
    <xf numFmtId="0" fontId="0" fillId="0" borderId="51" xfId="0" applyBorder="1" applyAlignment="1">
      <alignment horizontal="center"/>
    </xf>
    <xf numFmtId="0" fontId="0" fillId="0" borderId="12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0" fillId="0" borderId="58" xfId="0" applyBorder="1" applyAlignment="1">
      <alignment horizontal="center"/>
    </xf>
    <xf numFmtId="0" fontId="8" fillId="0" borderId="4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42" fillId="16" borderId="22" xfId="0" applyFont="1" applyFill="1" applyBorder="1" applyAlignment="1">
      <alignment horizontal="center" vertical="center"/>
    </xf>
    <xf numFmtId="0" fontId="42" fillId="16" borderId="23" xfId="0" applyFont="1" applyFill="1" applyBorder="1" applyAlignment="1">
      <alignment horizontal="center" vertical="center"/>
    </xf>
    <xf numFmtId="0" fontId="42" fillId="16" borderId="24" xfId="0" applyFont="1" applyFill="1" applyBorder="1" applyAlignment="1">
      <alignment horizontal="center" vertical="center"/>
    </xf>
    <xf numFmtId="0" fontId="42" fillId="16" borderId="3" xfId="0" applyFont="1" applyFill="1" applyBorder="1" applyAlignment="1">
      <alignment horizontal="center" vertical="center"/>
    </xf>
    <xf numFmtId="0" fontId="42" fillId="16" borderId="1" xfId="0" applyFont="1" applyFill="1" applyBorder="1" applyAlignment="1">
      <alignment horizontal="center" vertical="center"/>
    </xf>
    <xf numFmtId="0" fontId="42" fillId="16" borderId="41" xfId="0" applyFont="1" applyFill="1" applyBorder="1" applyAlignment="1">
      <alignment horizontal="center" vertical="center"/>
    </xf>
    <xf numFmtId="0" fontId="0" fillId="21" borderId="0" xfId="0" applyFill="1" applyAlignment="1">
      <alignment horizontal="center" vertical="top"/>
    </xf>
    <xf numFmtId="0" fontId="0" fillId="21" borderId="0" xfId="0" applyFill="1" applyAlignment="1">
      <alignment horizontal="center" vertical="top" wrapText="1"/>
    </xf>
    <xf numFmtId="0" fontId="0" fillId="21" borderId="0" xfId="0" applyFill="1" applyAlignment="1">
      <alignment horizontal="center" wrapText="1"/>
    </xf>
    <xf numFmtId="0" fontId="15" fillId="0" borderId="30" xfId="1" applyFont="1" applyBorder="1" applyAlignment="1">
      <alignment horizontal="center"/>
    </xf>
    <xf numFmtId="0" fontId="2" fillId="0" borderId="17" xfId="1" applyFont="1" applyBorder="1" applyAlignment="1">
      <alignment horizontal="center"/>
    </xf>
    <xf numFmtId="0" fontId="2" fillId="0" borderId="18" xfId="1" applyFont="1" applyBorder="1" applyAlignment="1">
      <alignment horizontal="center"/>
    </xf>
    <xf numFmtId="0" fontId="2" fillId="0" borderId="19" xfId="1" applyFont="1" applyBorder="1" applyAlignment="1">
      <alignment horizontal="center"/>
    </xf>
    <xf numFmtId="0" fontId="2" fillId="0" borderId="20" xfId="1" applyFont="1" applyBorder="1" applyAlignment="1">
      <alignment horizontal="center"/>
    </xf>
    <xf numFmtId="0" fontId="2" fillId="0" borderId="0" xfId="1" applyFont="1" applyAlignment="1">
      <alignment horizontal="center"/>
    </xf>
    <xf numFmtId="0" fontId="2" fillId="0" borderId="21" xfId="1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19" fillId="5" borderId="15" xfId="1" applyFont="1" applyFill="1" applyBorder="1" applyAlignment="1">
      <alignment horizontal="center" wrapText="1"/>
    </xf>
    <xf numFmtId="0" fontId="4" fillId="0" borderId="15" xfId="1" applyFont="1" applyBorder="1" applyAlignment="1">
      <alignment horizontal="center" wrapText="1"/>
    </xf>
    <xf numFmtId="0" fontId="4" fillId="0" borderId="36" xfId="1" applyFont="1" applyBorder="1" applyAlignment="1">
      <alignment horizontal="center" wrapText="1"/>
    </xf>
    <xf numFmtId="0" fontId="4" fillId="0" borderId="37" xfId="1" applyFont="1" applyBorder="1" applyAlignment="1">
      <alignment horizontal="center" wrapText="1"/>
    </xf>
    <xf numFmtId="0" fontId="0" fillId="8" borderId="15" xfId="0" applyFill="1" applyBorder="1" applyAlignment="1">
      <alignment horizontal="center"/>
    </xf>
  </cellXfs>
  <cellStyles count="7">
    <cellStyle name="Calculation" xfId="5" builtinId="22"/>
    <cellStyle name="Explanatory Text" xfId="6" builtinId="53"/>
    <cellStyle name="Input" xfId="3" builtinId="20"/>
    <cellStyle name="Normal" xfId="0" builtinId="0"/>
    <cellStyle name="Normal 2" xfId="1" xr:uid="{C6EC9D3E-E8BE-4CA1-995A-25E6AB87A9D8}"/>
    <cellStyle name="Output" xfId="4" builtinId="21"/>
    <cellStyle name="Percent" xfId="2" builtinId="5"/>
  </cellStyles>
  <dxfs count="108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border outline="0">
        <bottom style="thin">
          <color theme="4" tint="0.39997558519241921"/>
        </bottom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horizontal="general" vertical="top" textRotation="0" wrapText="1" indent="0" justifyLastLine="0" shrinkToFit="0" readingOrder="0"/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ont>
        <b/>
        <i val="0"/>
        <color theme="9" tint="-0.24994659260841701"/>
      </font>
    </dxf>
    <dxf>
      <fill>
        <patternFill>
          <bgColor theme="6" tint="-0.24994659260841701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color rgb="FFFF0000"/>
      </font>
      <fill>
        <patternFill patternType="none">
          <bgColor auto="1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"/>
        <family val="2"/>
        <scheme val="none"/>
      </font>
      <numFmt numFmtId="2" formatCode="0.00"/>
      <fill>
        <patternFill patternType="solid">
          <fgColor indexed="64"/>
          <bgColor indexed="16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3F3F3F"/>
        </right>
        <top style="thin">
          <color rgb="FF3F3F3F"/>
        </top>
        <bottom style="thin">
          <color rgb="FF3F3F3F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"/>
        <family val="2"/>
        <scheme val="none"/>
      </font>
      <numFmt numFmtId="2" formatCode="0.00"/>
      <fill>
        <patternFill patternType="solid">
          <fgColor indexed="64"/>
          <bgColor indexed="16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3F3F3F"/>
        </right>
        <top style="thin">
          <color rgb="FF3F3F3F"/>
        </top>
        <bottom style="thin">
          <color rgb="FF3F3F3F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"/>
        <family val="2"/>
        <scheme val="none"/>
      </font>
      <numFmt numFmtId="2" formatCode="0.00"/>
      <fill>
        <patternFill patternType="solid">
          <fgColor indexed="64"/>
          <bgColor indexed="16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3F3F3F"/>
        </right>
        <top style="thin">
          <color rgb="FF3F3F3F"/>
        </top>
        <bottom style="thin">
          <color rgb="FF3F3F3F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"/>
        <family val="2"/>
        <scheme val="none"/>
      </font>
      <numFmt numFmtId="2" formatCode="0.00"/>
      <fill>
        <patternFill patternType="solid">
          <fgColor indexed="64"/>
          <bgColor indexed="16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3F3F3F"/>
        </right>
        <top style="thin">
          <color rgb="FF3F3F3F"/>
        </top>
        <bottom style="thin">
          <color rgb="FF3F3F3F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"/>
        <family val="2"/>
        <scheme val="none"/>
      </font>
      <numFmt numFmtId="2" formatCode="0.00"/>
      <fill>
        <patternFill patternType="solid">
          <fgColor indexed="64"/>
          <bgColor indexed="16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3F3F3F"/>
        </right>
        <top style="thin">
          <color rgb="FF3F3F3F"/>
        </top>
        <bottom style="thin">
          <color rgb="FF3F3F3F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"/>
        <family val="2"/>
        <scheme val="none"/>
      </font>
      <numFmt numFmtId="2" formatCode="0.00"/>
      <fill>
        <patternFill patternType="solid">
          <fgColor indexed="64"/>
          <bgColor indexed="16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3F3F3F"/>
        </right>
        <top style="thin">
          <color rgb="FF3F3F3F"/>
        </top>
        <bottom style="thin">
          <color rgb="FF3F3F3F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"/>
        <family val="2"/>
        <scheme val="none"/>
      </font>
      <numFmt numFmtId="2" formatCode="0.00"/>
      <fill>
        <patternFill patternType="solid">
          <fgColor indexed="64"/>
          <bgColor indexed="16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3F3F3F"/>
        </right>
        <top style="thin">
          <color rgb="FF3F3F3F"/>
        </top>
        <bottom style="thin">
          <color rgb="FF3F3F3F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"/>
        <family val="2"/>
        <scheme val="none"/>
      </font>
      <numFmt numFmtId="2" formatCode="0.00"/>
      <fill>
        <patternFill patternType="solid">
          <fgColor indexed="64"/>
          <bgColor indexed="16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3F3F3F"/>
        </right>
        <top style="thin">
          <color rgb="FF3F3F3F"/>
        </top>
        <bottom style="thin">
          <color rgb="FF3F3F3F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"/>
        <family val="2"/>
        <scheme val="none"/>
      </font>
      <numFmt numFmtId="2" formatCode="0.00"/>
      <fill>
        <patternFill patternType="solid">
          <fgColor indexed="64"/>
          <bgColor indexed="16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3F3F3F"/>
        </right>
        <top style="thin">
          <color rgb="FF3F3F3F"/>
        </top>
        <bottom style="thin">
          <color rgb="FF3F3F3F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"/>
        <family val="2"/>
        <scheme val="none"/>
      </font>
      <numFmt numFmtId="2" formatCode="0.00"/>
      <fill>
        <patternFill patternType="solid">
          <fgColor indexed="64"/>
          <bgColor indexed="16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3F3F3F"/>
        </right>
        <top style="thin">
          <color rgb="FF3F3F3F"/>
        </top>
        <bottom style="thin">
          <color rgb="FF3F3F3F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"/>
        <family val="2"/>
        <scheme val="none"/>
      </font>
      <numFmt numFmtId="2" formatCode="0.00"/>
      <fill>
        <patternFill patternType="solid">
          <fgColor indexed="64"/>
          <bgColor indexed="16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3F3F3F"/>
        </right>
        <top style="thin">
          <color rgb="FF3F3F3F"/>
        </top>
        <bottom style="thin">
          <color rgb="FF3F3F3F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"/>
        <family val="2"/>
        <scheme val="none"/>
      </font>
      <numFmt numFmtId="2" formatCode="0.00"/>
      <fill>
        <patternFill patternType="solid">
          <fgColor indexed="64"/>
          <bgColor indexed="16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3F3F3F"/>
        </right>
        <top style="thin">
          <color rgb="FF3F3F3F"/>
        </top>
        <bottom style="thin">
          <color rgb="FF3F3F3F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"/>
        <family val="2"/>
        <scheme val="none"/>
      </font>
      <numFmt numFmtId="2" formatCode="0.00"/>
      <fill>
        <patternFill patternType="solid">
          <fgColor indexed="64"/>
          <bgColor indexed="16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3F3F3F"/>
        </right>
        <top style="thin">
          <color rgb="FF3F3F3F"/>
        </top>
        <bottom style="thin">
          <color rgb="FF3F3F3F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"/>
        <family val="2"/>
        <scheme val="none"/>
      </font>
      <numFmt numFmtId="2" formatCode="0.00"/>
      <fill>
        <patternFill patternType="solid">
          <fgColor indexed="64"/>
          <bgColor indexed="16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3F3F3F"/>
        </right>
        <top style="thin">
          <color rgb="FF3F3F3F"/>
        </top>
        <bottom style="thin">
          <color rgb="FF3F3F3F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"/>
        <family val="2"/>
        <scheme val="none"/>
      </font>
      <numFmt numFmtId="2" formatCode="0.00"/>
      <fill>
        <patternFill patternType="solid">
          <fgColor indexed="64"/>
          <bgColor indexed="16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3F3F3F"/>
        </right>
        <top style="thin">
          <color rgb="FF3F3F3F"/>
        </top>
        <bottom style="thin">
          <color rgb="FF3F3F3F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"/>
        <family val="2"/>
        <scheme val="none"/>
      </font>
      <numFmt numFmtId="2" formatCode="0.00"/>
      <fill>
        <patternFill patternType="solid">
          <fgColor indexed="64"/>
          <bgColor indexed="16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3F3F3F"/>
        </right>
        <top style="thin">
          <color rgb="FF3F3F3F"/>
        </top>
        <bottom style="thin">
          <color rgb="FF3F3F3F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"/>
        <family val="2"/>
        <scheme val="none"/>
      </font>
      <numFmt numFmtId="2" formatCode="0.00"/>
      <fill>
        <patternFill patternType="solid">
          <fgColor indexed="64"/>
          <bgColor indexed="16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3F3F3F"/>
        </right>
        <top style="thin">
          <color rgb="FF3F3F3F"/>
        </top>
        <bottom style="thin">
          <color rgb="FF3F3F3F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"/>
        <family val="2"/>
        <scheme val="none"/>
      </font>
      <numFmt numFmtId="2" formatCode="0.00"/>
      <fill>
        <patternFill patternType="solid">
          <fgColor indexed="64"/>
          <bgColor indexed="16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3F3F3F"/>
        </right>
        <top style="thin">
          <color rgb="FF3F3F3F"/>
        </top>
        <bottom style="thin">
          <color rgb="FF3F3F3F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"/>
        <family val="2"/>
        <scheme val="none"/>
      </font>
      <numFmt numFmtId="2" formatCode="0.00"/>
      <fill>
        <patternFill patternType="solid">
          <fgColor indexed="64"/>
          <bgColor indexed="16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3F3F3F"/>
        </right>
        <top style="thin">
          <color rgb="FF3F3F3F"/>
        </top>
        <bottom style="thin">
          <color rgb="FF3F3F3F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"/>
        <family val="2"/>
        <scheme val="none"/>
      </font>
      <numFmt numFmtId="2" formatCode="0.00"/>
      <fill>
        <patternFill patternType="solid">
          <fgColor indexed="64"/>
          <bgColor indexed="16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3F3F3F"/>
        </right>
        <top style="thin">
          <color rgb="FF3F3F3F"/>
        </top>
        <bottom style="thin">
          <color rgb="FF3F3F3F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"/>
        <family val="2"/>
        <scheme val="none"/>
      </font>
      <numFmt numFmtId="2" formatCode="0.00"/>
      <fill>
        <patternFill patternType="solid">
          <fgColor indexed="64"/>
          <bgColor indexed="16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3F3F3F"/>
        </right>
        <top style="thin">
          <color rgb="FF3F3F3F"/>
        </top>
        <bottom style="thin">
          <color rgb="FF3F3F3F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"/>
        <family val="2"/>
        <scheme val="none"/>
      </font>
      <numFmt numFmtId="2" formatCode="0.00"/>
      <fill>
        <patternFill patternType="solid">
          <fgColor indexed="64"/>
          <bgColor indexed="16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3F3F3F"/>
        </right>
        <top style="thin">
          <color rgb="FF3F3F3F"/>
        </top>
        <bottom style="thin">
          <color rgb="FF3F3F3F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"/>
        <family val="2"/>
        <scheme val="none"/>
      </font>
      <numFmt numFmtId="2" formatCode="0.00"/>
      <fill>
        <patternFill patternType="solid">
          <fgColor indexed="64"/>
          <bgColor indexed="16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3F3F3F"/>
        </right>
        <top style="thin">
          <color rgb="FF3F3F3F"/>
        </top>
        <bottom style="thin">
          <color rgb="FF3F3F3F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"/>
        <family val="2"/>
        <scheme val="none"/>
      </font>
      <numFmt numFmtId="2" formatCode="0.00"/>
      <fill>
        <patternFill patternType="solid">
          <fgColor indexed="64"/>
          <bgColor indexed="16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3F3F3F"/>
        </right>
        <top style="thin">
          <color rgb="FF3F3F3F"/>
        </top>
        <bottom style="thin">
          <color rgb="FF3F3F3F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"/>
        <family val="2"/>
        <scheme val="none"/>
      </font>
      <numFmt numFmtId="2" formatCode="0.00"/>
      <fill>
        <patternFill patternType="solid">
          <fgColor indexed="64"/>
          <bgColor indexed="16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3F3F3F"/>
        </right>
        <top style="thin">
          <color rgb="FF3F3F3F"/>
        </top>
        <bottom style="thin">
          <color rgb="FF3F3F3F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"/>
        <family val="2"/>
        <scheme val="none"/>
      </font>
      <fill>
        <patternFill patternType="solid">
          <fgColor indexed="64"/>
          <bgColor indexed="16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"/>
        <family val="2"/>
        <scheme val="none"/>
      </font>
      <fill>
        <patternFill patternType="solid">
          <fgColor indexed="64"/>
          <bgColor indexed="16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"/>
        <family val="2"/>
        <scheme val="none"/>
      </font>
      <fill>
        <patternFill patternType="solid">
          <fgColor indexed="64"/>
          <bgColor indexed="16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"/>
        <family val="2"/>
        <scheme val="none"/>
      </font>
      <fill>
        <patternFill patternType="solid">
          <fgColor indexed="64"/>
          <bgColor indexed="16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"/>
        <family val="2"/>
        <scheme val="none"/>
      </font>
      <fill>
        <patternFill patternType="solid">
          <fgColor indexed="64"/>
          <bgColor indexed="16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"/>
        <family val="2"/>
        <scheme val="none"/>
      </font>
      <fill>
        <patternFill patternType="solid">
          <fgColor indexed="64"/>
          <bgColor indexed="16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"/>
        <family val="2"/>
        <scheme val="none"/>
      </font>
      <fill>
        <patternFill patternType="solid">
          <fgColor indexed="64"/>
          <bgColor indexed="16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"/>
        <family val="2"/>
        <scheme val="none"/>
      </font>
      <fill>
        <patternFill patternType="solid">
          <fgColor indexed="64"/>
          <bgColor indexed="16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"/>
        <family val="2"/>
        <scheme val="none"/>
      </font>
      <fill>
        <patternFill patternType="solid">
          <fgColor indexed="64"/>
          <bgColor indexed="16"/>
        </patternFill>
      </fill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"/>
        <family val="2"/>
        <scheme val="none"/>
      </font>
      <fill>
        <patternFill patternType="solid">
          <fgColor indexed="64"/>
          <bgColor indexed="16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0" hidden="0"/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</dxfs>
  <tableStyles count="0" defaultTableStyle="TableStyleMedium2" defaultPivotStyle="PivotStyleLight16"/>
  <colors>
    <mruColors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'Bent Search'!$O$68</c:f>
          <c:strCache>
            <c:ptCount val="1"/>
            <c:pt idx="0">
              <c:v>Bent 75R - Exterior Girder Ledge Capacity Ratios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'Bent Search'!$AK$222</c:f>
              <c:strCache>
                <c:ptCount val="1"/>
                <c:pt idx="0">
                  <c:v>Under Capacity (&gt;1.0)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strRef>
              <c:f>'Bent Search'!$AL$225:$AL$232</c:f>
              <c:strCache>
                <c:ptCount val="8"/>
                <c:pt idx="0">
                  <c:v>Punching Shear Ratio </c:v>
                </c:pt>
                <c:pt idx="1">
                  <c:v>Bearing Ratio </c:v>
                </c:pt>
                <c:pt idx="2">
                  <c:v>Bar M Development Length Ratio </c:v>
                </c:pt>
                <c:pt idx="3">
                  <c:v>Ledge Flexure Ratio </c:v>
                </c:pt>
                <c:pt idx="4">
                  <c:v>Shear Friction Ratio </c:v>
                </c:pt>
                <c:pt idx="5">
                  <c:v>Mid Corbel Bar Ratio </c:v>
                </c:pt>
                <c:pt idx="6">
                  <c:v>Hanger Strength Ratio </c:v>
                </c:pt>
                <c:pt idx="7">
                  <c:v>Hanger Service Ratio </c:v>
                </c:pt>
              </c:strCache>
            </c:strRef>
          </c:cat>
          <c:val>
            <c:numRef>
              <c:f>'Bent Search'!$AM$225:$AM$232</c:f>
              <c:numCache>
                <c:formatCode>0.00</c:formatCode>
                <c:ptCount val="8"/>
                <c:pt idx="0">
                  <c:v>3.0810623690826029</c:v>
                </c:pt>
                <c:pt idx="1">
                  <c:v>3.0810623690826029</c:v>
                </c:pt>
                <c:pt idx="2">
                  <c:v>3.0810623690826029</c:v>
                </c:pt>
                <c:pt idx="3">
                  <c:v>3.0810623690826029</c:v>
                </c:pt>
                <c:pt idx="4">
                  <c:v>3.0810623690826029</c:v>
                </c:pt>
                <c:pt idx="5">
                  <c:v>3.0810623690826029</c:v>
                </c:pt>
                <c:pt idx="6">
                  <c:v>3.0810623690826029</c:v>
                </c:pt>
                <c:pt idx="7">
                  <c:v>3.0810623690826029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23-4136-9725-CDBABB1A4051}"/>
            </c:ext>
          </c:extLst>
        </c:ser>
        <c:ser>
          <c:idx val="2"/>
          <c:order val="1"/>
          <c:tx>
            <c:strRef>
              <c:f>'Bent Search'!$AM$222</c:f>
              <c:strCache>
                <c:ptCount val="1"/>
                <c:pt idx="0">
                  <c:v>OK (&gt;0.8 &amp; &lt;=1.0)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strRef>
              <c:f>'Bent Search'!$AL$225:$AL$232</c:f>
              <c:strCache>
                <c:ptCount val="8"/>
                <c:pt idx="0">
                  <c:v>Punching Shear Ratio </c:v>
                </c:pt>
                <c:pt idx="1">
                  <c:v>Bearing Ratio </c:v>
                </c:pt>
                <c:pt idx="2">
                  <c:v>Bar M Development Length Ratio </c:v>
                </c:pt>
                <c:pt idx="3">
                  <c:v>Ledge Flexure Ratio </c:v>
                </c:pt>
                <c:pt idx="4">
                  <c:v>Shear Friction Ratio </c:v>
                </c:pt>
                <c:pt idx="5">
                  <c:v>Mid Corbel Bar Ratio </c:v>
                </c:pt>
                <c:pt idx="6">
                  <c:v>Hanger Strength Ratio </c:v>
                </c:pt>
                <c:pt idx="7">
                  <c:v>Hanger Service Ratio </c:v>
                </c:pt>
              </c:strCache>
            </c:strRef>
          </c:cat>
          <c:val>
            <c:numRef>
              <c:f>'Bent Search'!$AN$225:$AN$232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23-4136-9725-CDBABB1A4051}"/>
            </c:ext>
          </c:extLst>
        </c:ser>
        <c:ser>
          <c:idx val="3"/>
          <c:order val="2"/>
          <c:tx>
            <c:strRef>
              <c:f>'Bent Search'!$AO$222</c:f>
              <c:strCache>
                <c:ptCount val="1"/>
                <c:pt idx="0">
                  <c:v>Good (&lt;=0.8)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strRef>
              <c:f>'Bent Search'!$AL$225:$AL$232</c:f>
              <c:strCache>
                <c:ptCount val="8"/>
                <c:pt idx="0">
                  <c:v>Punching Shear Ratio </c:v>
                </c:pt>
                <c:pt idx="1">
                  <c:v>Bearing Ratio </c:v>
                </c:pt>
                <c:pt idx="2">
                  <c:v>Bar M Development Length Ratio </c:v>
                </c:pt>
                <c:pt idx="3">
                  <c:v>Ledge Flexure Ratio </c:v>
                </c:pt>
                <c:pt idx="4">
                  <c:v>Shear Friction Ratio </c:v>
                </c:pt>
                <c:pt idx="5">
                  <c:v>Mid Corbel Bar Ratio </c:v>
                </c:pt>
                <c:pt idx="6">
                  <c:v>Hanger Strength Ratio </c:v>
                </c:pt>
                <c:pt idx="7">
                  <c:v>Hanger Service Ratio </c:v>
                </c:pt>
              </c:strCache>
            </c:strRef>
          </c:cat>
          <c:val>
            <c:numRef>
              <c:f>'Bent Search'!$AO$225:$AO$232</c:f>
              <c:numCache>
                <c:formatCode>General</c:formatCode>
                <c:ptCount val="8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23-4136-9725-CDBABB1A4051}"/>
            </c:ext>
          </c:extLst>
        </c:ser>
        <c:ser>
          <c:idx val="4"/>
          <c:order val="3"/>
          <c:tx>
            <c:v>DC_ratio</c:v>
          </c:tx>
          <c:spPr>
            <a:noFill/>
            <a:ln w="34925">
              <a:solidFill>
                <a:schemeClr val="tx1"/>
              </a:solidFill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'Bent Search'!$AL$225:$AL$232</c:f>
              <c:strCache>
                <c:ptCount val="8"/>
                <c:pt idx="0">
                  <c:v>Punching Shear Ratio </c:v>
                </c:pt>
                <c:pt idx="1">
                  <c:v>Bearing Ratio </c:v>
                </c:pt>
                <c:pt idx="2">
                  <c:v>Bar M Development Length Ratio </c:v>
                </c:pt>
                <c:pt idx="3">
                  <c:v>Ledge Flexure Ratio </c:v>
                </c:pt>
                <c:pt idx="4">
                  <c:v>Shear Friction Ratio </c:v>
                </c:pt>
                <c:pt idx="5">
                  <c:v>Mid Corbel Bar Ratio </c:v>
                </c:pt>
                <c:pt idx="6">
                  <c:v>Hanger Strength Ratio </c:v>
                </c:pt>
                <c:pt idx="7">
                  <c:v>Hanger Service Ratio </c:v>
                </c:pt>
              </c:strCache>
            </c:strRef>
          </c:cat>
          <c:val>
            <c:numRef>
              <c:f>'Bent Search'!$W$75:$W$82</c:f>
              <c:numCache>
                <c:formatCode>0.00</c:formatCode>
                <c:ptCount val="8"/>
                <c:pt idx="0">
                  <c:v>1.3031085868108438</c:v>
                </c:pt>
                <c:pt idx="1">
                  <c:v>0.3865453537337965</c:v>
                </c:pt>
                <c:pt idx="2">
                  <c:v>1.701233047808568</c:v>
                </c:pt>
                <c:pt idx="3">
                  <c:v>0.65171869567225216</c:v>
                </c:pt>
                <c:pt idx="4">
                  <c:v>0.98908689008457584</c:v>
                </c:pt>
                <c:pt idx="5">
                  <c:v>2.2810623690826026</c:v>
                </c:pt>
                <c:pt idx="6">
                  <c:v>1.5847706247444953</c:v>
                </c:pt>
                <c:pt idx="7">
                  <c:v>1.4215202811845378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23-4136-9725-CDBABB1A40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028768"/>
        <c:axId val="1807024608"/>
      </c:radarChart>
      <c:catAx>
        <c:axId val="1807028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7024608"/>
        <c:crosses val="autoZero"/>
        <c:auto val="1"/>
        <c:lblAlgn val="ctr"/>
        <c:lblOffset val="100"/>
        <c:noMultiLvlLbl val="0"/>
      </c:catAx>
      <c:valAx>
        <c:axId val="180702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7028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'Bent Search'!$AK$142</c:f>
          <c:strCache>
            <c:ptCount val="1"/>
            <c:pt idx="0">
              <c:v>Inverted-Tee Cross Section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9.8484828902245108E-2"/>
          <c:y val="0.14873172103487065"/>
          <c:w val="0.88383820809707148"/>
          <c:h val="0.79365079365079361"/>
        </c:manualLayout>
      </c:layout>
      <c:scatterChart>
        <c:scatterStyle val="lineMarker"/>
        <c:varyColors val="0"/>
        <c:ser>
          <c:idx val="0"/>
          <c:order val="0"/>
          <c:tx>
            <c:v>Cap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Search'!$AK$144:$AK$152</c:f>
              <c:numCache>
                <c:formatCode>General</c:formatCode>
                <c:ptCount val="9"/>
                <c:pt idx="0">
                  <c:v>0</c:v>
                </c:pt>
                <c:pt idx="1">
                  <c:v>63</c:v>
                </c:pt>
                <c:pt idx="2">
                  <c:v>63</c:v>
                </c:pt>
                <c:pt idx="3">
                  <c:v>46.5</c:v>
                </c:pt>
                <c:pt idx="4">
                  <c:v>46.5</c:v>
                </c:pt>
                <c:pt idx="5">
                  <c:v>16.5</c:v>
                </c:pt>
                <c:pt idx="6">
                  <c:v>16.5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'Bent Search'!$AL$144:$AL$152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20</c:v>
                </c:pt>
                <c:pt idx="3">
                  <c:v>20</c:v>
                </c:pt>
                <c:pt idx="4">
                  <c:v>77</c:v>
                </c:pt>
                <c:pt idx="5">
                  <c:v>77</c:v>
                </c:pt>
                <c:pt idx="6">
                  <c:v>20</c:v>
                </c:pt>
                <c:pt idx="7">
                  <c:v>20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30-4B7C-90C1-FEF03DA84B21}"/>
            </c:ext>
          </c:extLst>
        </c:ser>
        <c:ser>
          <c:idx val="1"/>
          <c:order val="1"/>
          <c:tx>
            <c:v>Bearing Pad 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Search'!$AK$158:$AK$162</c:f>
              <c:numCache>
                <c:formatCode>General</c:formatCode>
                <c:ptCount val="5"/>
                <c:pt idx="0">
                  <c:v>4.5</c:v>
                </c:pt>
                <c:pt idx="1">
                  <c:v>13.5</c:v>
                </c:pt>
                <c:pt idx="2">
                  <c:v>13.5</c:v>
                </c:pt>
                <c:pt idx="3">
                  <c:v>4.5</c:v>
                </c:pt>
                <c:pt idx="4">
                  <c:v>4.5</c:v>
                </c:pt>
              </c:numCache>
            </c:numRef>
          </c:xVal>
          <c:yVal>
            <c:numRef>
              <c:f>'Bent Search'!$AL$158:$AL$162</c:f>
              <c:numCache>
                <c:formatCode>General</c:formatCode>
                <c:ptCount val="5"/>
                <c:pt idx="0">
                  <c:v>21</c:v>
                </c:pt>
                <c:pt idx="1">
                  <c:v>21</c:v>
                </c:pt>
                <c:pt idx="2">
                  <c:v>22.75</c:v>
                </c:pt>
                <c:pt idx="3">
                  <c:v>22.75</c:v>
                </c:pt>
                <c:pt idx="4">
                  <c:v>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30-4B7C-90C1-FEF03DA84B21}"/>
            </c:ext>
          </c:extLst>
        </c:ser>
        <c:ser>
          <c:idx val="2"/>
          <c:order val="2"/>
          <c:tx>
            <c:v>Bearing Pad 2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Search'!$AV$158:$AV$162</c:f>
              <c:numCache>
                <c:formatCode>General</c:formatCode>
                <c:ptCount val="5"/>
                <c:pt idx="0">
                  <c:v>49.5</c:v>
                </c:pt>
                <c:pt idx="1">
                  <c:v>58.5</c:v>
                </c:pt>
                <c:pt idx="2">
                  <c:v>58.5</c:v>
                </c:pt>
                <c:pt idx="3">
                  <c:v>49.5</c:v>
                </c:pt>
                <c:pt idx="4">
                  <c:v>49.5</c:v>
                </c:pt>
              </c:numCache>
            </c:numRef>
          </c:xVal>
          <c:yVal>
            <c:numRef>
              <c:f>'Bent Search'!$AW$158:$AW$162</c:f>
              <c:numCache>
                <c:formatCode>General</c:formatCode>
                <c:ptCount val="5"/>
                <c:pt idx="0">
                  <c:v>21</c:v>
                </c:pt>
                <c:pt idx="1">
                  <c:v>21</c:v>
                </c:pt>
                <c:pt idx="2">
                  <c:v>22.75</c:v>
                </c:pt>
                <c:pt idx="3">
                  <c:v>22.75</c:v>
                </c:pt>
                <c:pt idx="4">
                  <c:v>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30-4B7C-90C1-FEF03DA84B21}"/>
            </c:ext>
          </c:extLst>
        </c:ser>
        <c:ser>
          <c:idx val="3"/>
          <c:order val="3"/>
          <c:tx>
            <c:v>Pedestal 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Search'!$AK$168:$AK$172</c:f>
              <c:numCache>
                <c:formatCode>General</c:formatCode>
                <c:ptCount val="5"/>
                <c:pt idx="0">
                  <c:v>0</c:v>
                </c:pt>
                <c:pt idx="1">
                  <c:v>16.5</c:v>
                </c:pt>
                <c:pt idx="2">
                  <c:v>16.5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'Bent Search'!$AL$168:$AL$172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21</c:v>
                </c:pt>
                <c:pt idx="3">
                  <c:v>21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5B-4115-B714-7CCEB0D2ABB7}"/>
            </c:ext>
          </c:extLst>
        </c:ser>
        <c:ser>
          <c:idx val="4"/>
          <c:order val="4"/>
          <c:tx>
            <c:v>Pedestal 2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Search'!$AV$168:$AV$172</c:f>
              <c:numCache>
                <c:formatCode>General</c:formatCode>
                <c:ptCount val="5"/>
                <c:pt idx="0">
                  <c:v>46.5</c:v>
                </c:pt>
                <c:pt idx="1">
                  <c:v>63</c:v>
                </c:pt>
                <c:pt idx="2">
                  <c:v>63</c:v>
                </c:pt>
                <c:pt idx="3">
                  <c:v>46.5</c:v>
                </c:pt>
                <c:pt idx="4">
                  <c:v>46.5</c:v>
                </c:pt>
              </c:numCache>
            </c:numRef>
          </c:xVal>
          <c:yVal>
            <c:numRef>
              <c:f>'Bent Search'!$AW$168:$AW$172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21</c:v>
                </c:pt>
                <c:pt idx="3">
                  <c:v>21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5B-4115-B714-7CCEB0D2ABB7}"/>
            </c:ext>
          </c:extLst>
        </c:ser>
        <c:ser>
          <c:idx val="5"/>
          <c:order val="5"/>
          <c:tx>
            <c:v>av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Search'!$AK$178:$AK$183</c:f>
              <c:numCache>
                <c:formatCode>General</c:formatCode>
                <c:ptCount val="6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16.5</c:v>
                </c:pt>
                <c:pt idx="4">
                  <c:v>16.5</c:v>
                </c:pt>
                <c:pt idx="5">
                  <c:v>16.5</c:v>
                </c:pt>
              </c:numCache>
            </c:numRef>
          </c:xVal>
          <c:yVal>
            <c:numRef>
              <c:f>'Bent Search'!$AL$178:$AL$183</c:f>
              <c:numCache>
                <c:formatCode>General</c:formatCode>
                <c:ptCount val="6"/>
                <c:pt idx="0">
                  <c:v>23.75</c:v>
                </c:pt>
                <c:pt idx="1">
                  <c:v>27.75</c:v>
                </c:pt>
                <c:pt idx="2">
                  <c:v>25.75</c:v>
                </c:pt>
                <c:pt idx="3">
                  <c:v>25.75</c:v>
                </c:pt>
                <c:pt idx="4">
                  <c:v>27.75</c:v>
                </c:pt>
                <c:pt idx="5">
                  <c:v>23.75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15B-4115-B714-7CCEB0D2ABB7}"/>
            </c:ext>
          </c:extLst>
        </c:ser>
        <c:ser>
          <c:idx val="6"/>
          <c:order val="6"/>
          <c:tx>
            <c:v>bw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Search'!$AK$189:$AK$194</c:f>
              <c:numCache>
                <c:formatCode>General</c:formatCode>
                <c:ptCount val="6"/>
                <c:pt idx="0">
                  <c:v>16.5</c:v>
                </c:pt>
                <c:pt idx="1">
                  <c:v>16.5</c:v>
                </c:pt>
                <c:pt idx="2">
                  <c:v>16.5</c:v>
                </c:pt>
                <c:pt idx="3">
                  <c:v>46.5</c:v>
                </c:pt>
                <c:pt idx="4">
                  <c:v>46.5</c:v>
                </c:pt>
                <c:pt idx="5">
                  <c:v>46.5</c:v>
                </c:pt>
              </c:numCache>
            </c:numRef>
          </c:xVal>
          <c:yVal>
            <c:numRef>
              <c:f>'Bent Search'!$AL$189:$AL$194</c:f>
              <c:numCache>
                <c:formatCode>General</c:formatCode>
                <c:ptCount val="6"/>
                <c:pt idx="0">
                  <c:v>78</c:v>
                </c:pt>
                <c:pt idx="1">
                  <c:v>82</c:v>
                </c:pt>
                <c:pt idx="2">
                  <c:v>80</c:v>
                </c:pt>
                <c:pt idx="3">
                  <c:v>80</c:v>
                </c:pt>
                <c:pt idx="4">
                  <c:v>82</c:v>
                </c:pt>
                <c:pt idx="5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5B-4115-B714-7CCEB0D2ABB7}"/>
            </c:ext>
          </c:extLst>
        </c:ser>
        <c:ser>
          <c:idx val="7"/>
          <c:order val="7"/>
          <c:tx>
            <c:v>bl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Search'!$AY$189:$AY$194</c:f>
              <c:numCache>
                <c:formatCode>General</c:formatCode>
                <c:ptCount val="6"/>
                <c:pt idx="0">
                  <c:v>46.5</c:v>
                </c:pt>
                <c:pt idx="1">
                  <c:v>46.5</c:v>
                </c:pt>
                <c:pt idx="2">
                  <c:v>46.5</c:v>
                </c:pt>
                <c:pt idx="3">
                  <c:v>63</c:v>
                </c:pt>
                <c:pt idx="4">
                  <c:v>63</c:v>
                </c:pt>
                <c:pt idx="5">
                  <c:v>63</c:v>
                </c:pt>
              </c:numCache>
            </c:numRef>
          </c:xVal>
          <c:yVal>
            <c:numRef>
              <c:f>'Bent Search'!$AZ$189:$AZ$194</c:f>
              <c:numCache>
                <c:formatCode>General</c:formatCode>
                <c:ptCount val="6"/>
                <c:pt idx="0">
                  <c:v>23.75</c:v>
                </c:pt>
                <c:pt idx="1">
                  <c:v>27.75</c:v>
                </c:pt>
                <c:pt idx="2">
                  <c:v>25.75</c:v>
                </c:pt>
                <c:pt idx="3">
                  <c:v>25.75</c:v>
                </c:pt>
                <c:pt idx="4">
                  <c:v>27.75</c:v>
                </c:pt>
                <c:pt idx="5">
                  <c:v>23.75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15B-4115-B714-7CCEB0D2ABB7}"/>
            </c:ext>
          </c:extLst>
        </c:ser>
        <c:ser>
          <c:idx val="8"/>
          <c:order val="8"/>
          <c:tx>
            <c:v>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Search'!$AY$200:$AY$205</c:f>
              <c:numCache>
                <c:formatCode>General</c:formatCode>
                <c:ptCount val="6"/>
                <c:pt idx="0">
                  <c:v>64</c:v>
                </c:pt>
                <c:pt idx="1">
                  <c:v>68</c:v>
                </c:pt>
                <c:pt idx="2">
                  <c:v>66</c:v>
                </c:pt>
                <c:pt idx="3">
                  <c:v>66</c:v>
                </c:pt>
                <c:pt idx="4">
                  <c:v>68</c:v>
                </c:pt>
                <c:pt idx="5">
                  <c:v>64</c:v>
                </c:pt>
              </c:numCache>
            </c:numRef>
          </c:xVal>
          <c:yVal>
            <c:numRef>
              <c:f>'Bent Search'!$AZ$200:$AZ$205</c:f>
              <c:numCache>
                <c:formatCode>General</c:formatCode>
                <c:ptCount val="6"/>
                <c:pt idx="0">
                  <c:v>77</c:v>
                </c:pt>
                <c:pt idx="1">
                  <c:v>77</c:v>
                </c:pt>
                <c:pt idx="2">
                  <c:v>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15B-4115-B714-7CCEB0D2ABB7}"/>
            </c:ext>
          </c:extLst>
        </c:ser>
        <c:ser>
          <c:idx val="9"/>
          <c:order val="9"/>
          <c:tx>
            <c:v>bf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Search'!$AK$200:$AK$205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63</c:v>
                </c:pt>
                <c:pt idx="4">
                  <c:v>63</c:v>
                </c:pt>
                <c:pt idx="5">
                  <c:v>63</c:v>
                </c:pt>
              </c:numCache>
            </c:numRef>
          </c:xVal>
          <c:yVal>
            <c:numRef>
              <c:f>'Bent Search'!$AL$200:$AL$205</c:f>
              <c:numCache>
                <c:formatCode>General</c:formatCode>
                <c:ptCount val="6"/>
                <c:pt idx="0">
                  <c:v>-1</c:v>
                </c:pt>
                <c:pt idx="1">
                  <c:v>-5</c:v>
                </c:pt>
                <c:pt idx="2">
                  <c:v>-3</c:v>
                </c:pt>
                <c:pt idx="3">
                  <c:v>-3</c:v>
                </c:pt>
                <c:pt idx="4">
                  <c:v>-5</c:v>
                </c:pt>
                <c:pt idx="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15B-4115-B714-7CCEB0D2ABB7}"/>
            </c:ext>
          </c:extLst>
        </c:ser>
        <c:ser>
          <c:idx val="10"/>
          <c:order val="10"/>
          <c:tx>
            <c:v>hs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Search'!$AK$211:$AK$216</c:f>
              <c:numCache>
                <c:formatCode>General</c:formatCode>
                <c:ptCount val="6"/>
                <c:pt idx="0">
                  <c:v>-1</c:v>
                </c:pt>
                <c:pt idx="1">
                  <c:v>-5</c:v>
                </c:pt>
                <c:pt idx="2">
                  <c:v>-3</c:v>
                </c:pt>
                <c:pt idx="3">
                  <c:v>-3</c:v>
                </c:pt>
                <c:pt idx="4">
                  <c:v>-5</c:v>
                </c:pt>
                <c:pt idx="5">
                  <c:v>-1</c:v>
                </c:pt>
              </c:numCache>
            </c:numRef>
          </c:xVal>
          <c:yVal>
            <c:numRef>
              <c:f>'Bent Search'!$AL$211:$AL$216</c:f>
              <c:numCache>
                <c:formatCode>General</c:formatCode>
                <c:ptCount val="6"/>
                <c:pt idx="0">
                  <c:v>77</c:v>
                </c:pt>
                <c:pt idx="1">
                  <c:v>77</c:v>
                </c:pt>
                <c:pt idx="2">
                  <c:v>77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15B-4115-B714-7CCEB0D2ABB7}"/>
            </c:ext>
          </c:extLst>
        </c:ser>
        <c:ser>
          <c:idx val="11"/>
          <c:order val="11"/>
          <c:tx>
            <c:v>h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Search'!$AY$211:$AY$216</c:f>
              <c:numCache>
                <c:formatCode>General</c:formatCode>
                <c:ptCount val="6"/>
                <c:pt idx="0">
                  <c:v>-1</c:v>
                </c:pt>
                <c:pt idx="1">
                  <c:v>-5</c:v>
                </c:pt>
                <c:pt idx="2">
                  <c:v>-3</c:v>
                </c:pt>
                <c:pt idx="3">
                  <c:v>-3</c:v>
                </c:pt>
                <c:pt idx="4">
                  <c:v>-5</c:v>
                </c:pt>
                <c:pt idx="5">
                  <c:v>-1</c:v>
                </c:pt>
              </c:numCache>
            </c:numRef>
          </c:xVal>
          <c:yVal>
            <c:numRef>
              <c:f>'Bent Search'!$AZ$211:$AZ$216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15B-4115-B714-7CCEB0D2ABB7}"/>
            </c:ext>
          </c:extLst>
        </c:ser>
        <c:ser>
          <c:idx val="12"/>
          <c:order val="12"/>
          <c:tx>
            <c:v>Fix Plot Area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xVal>
            <c:numRef>
              <c:f>'Bent Search'!$AY$150:$AY$151</c:f>
              <c:numCache>
                <c:formatCode>0.0</c:formatCode>
                <c:ptCount val="2"/>
                <c:pt idx="0" formatCode="General">
                  <c:v>-7</c:v>
                </c:pt>
                <c:pt idx="1">
                  <c:v>147</c:v>
                </c:pt>
              </c:numCache>
            </c:numRef>
          </c:xVal>
          <c:yVal>
            <c:numRef>
              <c:f>'Bent Search'!$AZ$150:$AZ$151</c:f>
              <c:numCache>
                <c:formatCode>0.0</c:formatCode>
                <c:ptCount val="2"/>
                <c:pt idx="0" formatCode="General">
                  <c:v>-4</c:v>
                </c:pt>
                <c:pt idx="1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8F-4F6A-BC76-AAB26426837D}"/>
            </c:ext>
          </c:extLst>
        </c:ser>
        <c:ser>
          <c:idx val="13"/>
          <c:order val="13"/>
          <c:tx>
            <c:v>Arow1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'Bent Search'!$AL$263:$AL$302</c:f>
              <c:numCache>
                <c:formatCode>General</c:formatCode>
                <c:ptCount val="40"/>
                <c:pt idx="0">
                  <c:v>19.830000000000002</c:v>
                </c:pt>
                <c:pt idx="1">
                  <c:v>25.3125</c:v>
                </c:pt>
                <c:pt idx="2">
                  <c:v>30.795000000000002</c:v>
                </c:pt>
                <c:pt idx="3">
                  <c:v>36.277500000000003</c:v>
                </c:pt>
                <c:pt idx="4">
                  <c:v>41.760000000000005</c:v>
                </c:pt>
                <c:pt idx="5">
                  <c:v>21.24</c:v>
                </c:pt>
                <c:pt idx="6">
                  <c:v>26.722499999999997</c:v>
                </c:pt>
                <c:pt idx="7">
                  <c:v>32.204999999999998</c:v>
                </c:pt>
                <c:pt idx="8">
                  <c:v>37.6875</c:v>
                </c:pt>
                <c:pt idx="9">
                  <c:v>43.17</c:v>
                </c:pt>
              </c:numCache>
            </c:numRef>
          </c:xVal>
          <c:yVal>
            <c:numRef>
              <c:f>'Bent Search'!$AM$263:$AM$302</c:f>
              <c:numCache>
                <c:formatCode>General</c:formatCode>
                <c:ptCount val="40"/>
                <c:pt idx="0">
                  <c:v>73.67</c:v>
                </c:pt>
                <c:pt idx="1">
                  <c:v>73.67</c:v>
                </c:pt>
                <c:pt idx="2">
                  <c:v>73.67</c:v>
                </c:pt>
                <c:pt idx="3">
                  <c:v>73.67</c:v>
                </c:pt>
                <c:pt idx="4">
                  <c:v>73.67</c:v>
                </c:pt>
                <c:pt idx="5">
                  <c:v>73.67</c:v>
                </c:pt>
                <c:pt idx="6">
                  <c:v>73.67</c:v>
                </c:pt>
                <c:pt idx="7">
                  <c:v>73.67</c:v>
                </c:pt>
                <c:pt idx="8">
                  <c:v>73.67</c:v>
                </c:pt>
                <c:pt idx="9">
                  <c:v>73.67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8F-4F6A-BC76-AAB26426837D}"/>
            </c:ext>
          </c:extLst>
        </c:ser>
        <c:ser>
          <c:idx val="14"/>
          <c:order val="14"/>
          <c:tx>
            <c:v>Arow2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'Bent Search'!$BA$263:$BA$302</c:f>
              <c:numCache>
                <c:formatCode>General</c:formatCode>
                <c:ptCount val="40"/>
                <c:pt idx="0">
                  <c:v>19.830000000000002</c:v>
                </c:pt>
                <c:pt idx="1">
                  <c:v>21.24</c:v>
                </c:pt>
                <c:pt idx="2">
                  <c:v>25.3125</c:v>
                </c:pt>
                <c:pt idx="3">
                  <c:v>26.722499999999997</c:v>
                </c:pt>
                <c:pt idx="4">
                  <c:v>30.795000000000002</c:v>
                </c:pt>
                <c:pt idx="5">
                  <c:v>32.204999999999998</c:v>
                </c:pt>
                <c:pt idx="6">
                  <c:v>36.277500000000003</c:v>
                </c:pt>
                <c:pt idx="7">
                  <c:v>37.6875</c:v>
                </c:pt>
                <c:pt idx="8">
                  <c:v>41.760000000000005</c:v>
                </c:pt>
                <c:pt idx="9">
                  <c:v>43.17</c:v>
                </c:pt>
              </c:numCache>
            </c:numRef>
          </c:xVal>
          <c:yVal>
            <c:numRef>
              <c:f>'Bent Search'!$BB$263:$BB$302</c:f>
              <c:numCache>
                <c:formatCode>General</c:formatCode>
                <c:ptCount val="40"/>
                <c:pt idx="0">
                  <c:v>69.92</c:v>
                </c:pt>
                <c:pt idx="1">
                  <c:v>69.92</c:v>
                </c:pt>
                <c:pt idx="2">
                  <c:v>69.92</c:v>
                </c:pt>
                <c:pt idx="3">
                  <c:v>69.92</c:v>
                </c:pt>
                <c:pt idx="4">
                  <c:v>69.92</c:v>
                </c:pt>
                <c:pt idx="5">
                  <c:v>69.92</c:v>
                </c:pt>
                <c:pt idx="6">
                  <c:v>69.92</c:v>
                </c:pt>
                <c:pt idx="7">
                  <c:v>69.92</c:v>
                </c:pt>
                <c:pt idx="8">
                  <c:v>69.92</c:v>
                </c:pt>
                <c:pt idx="9">
                  <c:v>69.92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58F-4F6A-BC76-AAB26426837D}"/>
            </c:ext>
          </c:extLst>
        </c:ser>
        <c:ser>
          <c:idx val="15"/>
          <c:order val="15"/>
          <c:tx>
            <c:v>Arow3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'Bent Search'!$BG$263:$BG$302</c:f>
              <c:numCache>
                <c:formatCode>General</c:formatCode>
                <c:ptCount val="40"/>
                <c:pt idx="0">
                  <c:v>19.830000000000002</c:v>
                </c:pt>
              </c:numCache>
            </c:numRef>
          </c:xVal>
          <c:yVal>
            <c:numRef>
              <c:f>'Bent Search'!$BH$263:$BH$302</c:f>
              <c:numCache>
                <c:formatCode>General</c:formatCode>
                <c:ptCount val="40"/>
                <c:pt idx="0">
                  <c:v>73.67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58F-4F6A-BC76-AAB26426837D}"/>
            </c:ext>
          </c:extLst>
        </c:ser>
        <c:ser>
          <c:idx val="16"/>
          <c:order val="16"/>
          <c:tx>
            <c:v>Brow1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'Bent Search'!$AL$317:$AL$356</c:f>
              <c:numCache>
                <c:formatCode>General</c:formatCode>
                <c:ptCount val="40"/>
                <c:pt idx="0">
                  <c:v>3.6920000000000002</c:v>
                </c:pt>
                <c:pt idx="1">
                  <c:v>30.936</c:v>
                </c:pt>
                <c:pt idx="2">
                  <c:v>58.18</c:v>
                </c:pt>
                <c:pt idx="3">
                  <c:v>4.82</c:v>
                </c:pt>
                <c:pt idx="4">
                  <c:v>32.064</c:v>
                </c:pt>
                <c:pt idx="5">
                  <c:v>59.308</c:v>
                </c:pt>
              </c:numCache>
            </c:numRef>
          </c:xVal>
          <c:yVal>
            <c:numRef>
              <c:f>'Bent Search'!$AM$317:$AM$356</c:f>
              <c:numCache>
                <c:formatCode>General</c:formatCode>
                <c:ptCount val="40"/>
                <c:pt idx="0">
                  <c:v>3.6920000000000002</c:v>
                </c:pt>
                <c:pt idx="1">
                  <c:v>3.6920000000000002</c:v>
                </c:pt>
                <c:pt idx="2">
                  <c:v>3.6920000000000002</c:v>
                </c:pt>
                <c:pt idx="3">
                  <c:v>3.6920000000000002</c:v>
                </c:pt>
                <c:pt idx="4">
                  <c:v>3.6920000000000002</c:v>
                </c:pt>
                <c:pt idx="5">
                  <c:v>3.6920000000000002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D6-40E1-9936-C1A1D2CB1C8E}"/>
            </c:ext>
          </c:extLst>
        </c:ser>
        <c:ser>
          <c:idx val="17"/>
          <c:order val="17"/>
          <c:tx>
            <c:v>Brow2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'Bent Search'!$BA$317:$BA$356</c:f>
              <c:numCache>
                <c:formatCode>General</c:formatCode>
                <c:ptCount val="40"/>
                <c:pt idx="0">
                  <c:v>3.6920000000000002</c:v>
                </c:pt>
              </c:numCache>
            </c:numRef>
          </c:xVal>
          <c:yVal>
            <c:numRef>
              <c:f>'Bent Search'!$BB$317:$BB$356</c:f>
              <c:numCache>
                <c:formatCode>General</c:formatCode>
                <c:ptCount val="40"/>
                <c:pt idx="0">
                  <c:v>3.6920000000000002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D6-40E1-9936-C1A1D2CB1C8E}"/>
            </c:ext>
          </c:extLst>
        </c:ser>
        <c:ser>
          <c:idx val="18"/>
          <c:order val="18"/>
          <c:tx>
            <c:v>Brow3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'Bent Search'!$BG$317:$BG$356</c:f>
              <c:numCache>
                <c:formatCode>General</c:formatCode>
                <c:ptCount val="40"/>
                <c:pt idx="0">
                  <c:v>3.6920000000000002</c:v>
                </c:pt>
              </c:numCache>
            </c:numRef>
          </c:xVal>
          <c:yVal>
            <c:numRef>
              <c:f>'Bent Search'!$BH$317:$BH$356</c:f>
              <c:numCache>
                <c:formatCode>General</c:formatCode>
                <c:ptCount val="40"/>
                <c:pt idx="0">
                  <c:v>3.6920000000000002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ED6-40E1-9936-C1A1D2CB1C8E}"/>
            </c:ext>
          </c:extLst>
        </c:ser>
        <c:ser>
          <c:idx val="19"/>
          <c:order val="19"/>
          <c:tx>
            <c:v>Shear S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Search'!$AK$373:$AK$385</c:f>
              <c:numCache>
                <c:formatCode>General</c:formatCode>
                <c:ptCount val="13"/>
                <c:pt idx="0">
                  <c:v>19.125</c:v>
                </c:pt>
                <c:pt idx="1">
                  <c:v>19.125</c:v>
                </c:pt>
                <c:pt idx="2">
                  <c:v>43.875</c:v>
                </c:pt>
                <c:pt idx="3">
                  <c:v>43.875</c:v>
                </c:pt>
                <c:pt idx="4">
                  <c:v>19.125</c:v>
                </c:pt>
                <c:pt idx="5">
                  <c:v>27.375</c:v>
                </c:pt>
                <c:pt idx="6">
                  <c:v>27.375</c:v>
                </c:pt>
                <c:pt idx="7">
                  <c:v>35.625</c:v>
                </c:pt>
                <c:pt idx="8">
                  <c:v>35.625</c:v>
                </c:pt>
                <c:pt idx="9">
                  <c:v>19.125</c:v>
                </c:pt>
                <c:pt idx="10">
                  <c:v>19.125</c:v>
                </c:pt>
                <c:pt idx="11">
                  <c:v>43.875</c:v>
                </c:pt>
                <c:pt idx="12">
                  <c:v>43.875</c:v>
                </c:pt>
              </c:numCache>
            </c:numRef>
          </c:xVal>
          <c:yVal>
            <c:numRef>
              <c:f>'Bent Search'!$AL$373:$AL$385</c:f>
              <c:numCache>
                <c:formatCode>General</c:formatCode>
                <c:ptCount val="13"/>
                <c:pt idx="0">
                  <c:v>2.625</c:v>
                </c:pt>
                <c:pt idx="1">
                  <c:v>74.375</c:v>
                </c:pt>
                <c:pt idx="2">
                  <c:v>74.375</c:v>
                </c:pt>
                <c:pt idx="3">
                  <c:v>2.625</c:v>
                </c:pt>
                <c:pt idx="4">
                  <c:v>2.625</c:v>
                </c:pt>
                <c:pt idx="5">
                  <c:v>2.625</c:v>
                </c:pt>
                <c:pt idx="6">
                  <c:v>74.375</c:v>
                </c:pt>
                <c:pt idx="7">
                  <c:v>74.375</c:v>
                </c:pt>
                <c:pt idx="8">
                  <c:v>2.625</c:v>
                </c:pt>
                <c:pt idx="9">
                  <c:v>2.625</c:v>
                </c:pt>
                <c:pt idx="10">
                  <c:v>74.375</c:v>
                </c:pt>
                <c:pt idx="11">
                  <c:v>74.375</c:v>
                </c:pt>
                <c:pt idx="12">
                  <c:v>2.625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F6-4112-81ED-5795E8A71676}"/>
            </c:ext>
          </c:extLst>
        </c:ser>
        <c:ser>
          <c:idx val="20"/>
          <c:order val="20"/>
          <c:tx>
            <c:v>BarsTstem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'Bent Search'!$AL$399:$AL$428</c:f>
              <c:numCache>
                <c:formatCode>General</c:formatCode>
                <c:ptCount val="30"/>
                <c:pt idx="0">
                  <c:v>19.4375</c:v>
                </c:pt>
                <c:pt idx="1">
                  <c:v>19.4375</c:v>
                </c:pt>
                <c:pt idx="2">
                  <c:v>19.4375</c:v>
                </c:pt>
                <c:pt idx="3">
                  <c:v>43.5625</c:v>
                </c:pt>
                <c:pt idx="4">
                  <c:v>43.5625</c:v>
                </c:pt>
                <c:pt idx="5">
                  <c:v>43.5625</c:v>
                </c:pt>
              </c:numCache>
            </c:numRef>
          </c:xVal>
          <c:yVal>
            <c:numRef>
              <c:f>'Bent Search'!$AM$399:$AM$428</c:f>
              <c:numCache>
                <c:formatCode>General</c:formatCode>
                <c:ptCount val="30"/>
                <c:pt idx="0">
                  <c:v>65.92</c:v>
                </c:pt>
                <c:pt idx="1">
                  <c:v>44.96</c:v>
                </c:pt>
                <c:pt idx="2">
                  <c:v>24</c:v>
                </c:pt>
                <c:pt idx="3">
                  <c:v>65.92</c:v>
                </c:pt>
                <c:pt idx="4">
                  <c:v>44.96</c:v>
                </c:pt>
                <c:pt idx="5">
                  <c:v>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F6-4112-81ED-5795E8A71676}"/>
            </c:ext>
          </c:extLst>
        </c:ser>
        <c:ser>
          <c:idx val="21"/>
          <c:order val="21"/>
          <c:tx>
            <c:v>BarsTledge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'Bent Search'!$AW$399:$AW$414</c:f>
              <c:numCache>
                <c:formatCode>General</c:formatCode>
                <c:ptCount val="16"/>
                <c:pt idx="0">
                  <c:v>2.9375</c:v>
                </c:pt>
                <c:pt idx="1">
                  <c:v>2.9375</c:v>
                </c:pt>
                <c:pt idx="2">
                  <c:v>2.9375</c:v>
                </c:pt>
                <c:pt idx="3">
                  <c:v>60.0625</c:v>
                </c:pt>
                <c:pt idx="4">
                  <c:v>60.0625</c:v>
                </c:pt>
                <c:pt idx="5">
                  <c:v>60.0625</c:v>
                </c:pt>
              </c:numCache>
            </c:numRef>
          </c:xVal>
          <c:yVal>
            <c:numRef>
              <c:f>'Bent Search'!$AX$399:$AX$414</c:f>
              <c:numCache>
                <c:formatCode>General</c:formatCode>
                <c:ptCount val="16"/>
                <c:pt idx="0">
                  <c:v>17.0625</c:v>
                </c:pt>
                <c:pt idx="1">
                  <c:v>12.37725</c:v>
                </c:pt>
                <c:pt idx="2">
                  <c:v>7.6920000000000002</c:v>
                </c:pt>
                <c:pt idx="3">
                  <c:v>17.0625</c:v>
                </c:pt>
                <c:pt idx="4">
                  <c:v>12.37725</c:v>
                </c:pt>
                <c:pt idx="5">
                  <c:v>7.6920000000000002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F6-4112-81ED-5795E8A71676}"/>
            </c:ext>
          </c:extLst>
        </c:ser>
        <c:ser>
          <c:idx val="22"/>
          <c:order val="22"/>
          <c:tx>
            <c:v>Bars T Top Ledge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'Bent Search'!$AW$428:$AW$437</c:f>
              <c:numCache>
                <c:formatCode>General</c:formatCode>
                <c:ptCount val="10"/>
                <c:pt idx="0">
                  <c:v>2.9375</c:v>
                </c:pt>
                <c:pt idx="1">
                  <c:v>13.5625</c:v>
                </c:pt>
                <c:pt idx="2">
                  <c:v>60.0625</c:v>
                </c:pt>
                <c:pt idx="3">
                  <c:v>49.4375</c:v>
                </c:pt>
              </c:numCache>
            </c:numRef>
          </c:xVal>
          <c:yVal>
            <c:numRef>
              <c:f>'Bent Search'!$AX$428:$AX$437</c:f>
              <c:numCache>
                <c:formatCode>General</c:formatCode>
                <c:ptCount val="10"/>
                <c:pt idx="0">
                  <c:v>17.0625</c:v>
                </c:pt>
                <c:pt idx="1">
                  <c:v>17.0625</c:v>
                </c:pt>
                <c:pt idx="2">
                  <c:v>17.0625</c:v>
                </c:pt>
                <c:pt idx="3">
                  <c:v>17.0625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F6-4112-81ED-5795E8A71676}"/>
            </c:ext>
          </c:extLst>
        </c:ser>
        <c:ser>
          <c:idx val="23"/>
          <c:order val="23"/>
          <c:tx>
            <c:v>Bar M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Search'!$AK$450:$AK$454</c:f>
              <c:numCache>
                <c:formatCode>General</c:formatCode>
                <c:ptCount val="5"/>
                <c:pt idx="0">
                  <c:v>2.5640000000000001</c:v>
                </c:pt>
                <c:pt idx="1">
                  <c:v>2.5640000000000001</c:v>
                </c:pt>
                <c:pt idx="2">
                  <c:v>60.436</c:v>
                </c:pt>
                <c:pt idx="3">
                  <c:v>60.436</c:v>
                </c:pt>
                <c:pt idx="4">
                  <c:v>2.5640000000000001</c:v>
                </c:pt>
              </c:numCache>
            </c:numRef>
          </c:xVal>
          <c:yVal>
            <c:numRef>
              <c:f>'Bent Search'!$AL$450:$AL$454</c:f>
              <c:numCache>
                <c:formatCode>General</c:formatCode>
                <c:ptCount val="5"/>
                <c:pt idx="0">
                  <c:v>2.5640000000000001</c:v>
                </c:pt>
                <c:pt idx="1">
                  <c:v>17.436</c:v>
                </c:pt>
                <c:pt idx="2">
                  <c:v>17.436</c:v>
                </c:pt>
                <c:pt idx="3">
                  <c:v>2.5640000000000001</c:v>
                </c:pt>
                <c:pt idx="4">
                  <c:v>2.5640000000000001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F6-4112-81ED-5795E8A71676}"/>
            </c:ext>
          </c:extLst>
        </c:ser>
        <c:ser>
          <c:idx val="24"/>
          <c:order val="24"/>
          <c:tx>
            <c:v>Bar 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Search'!$AN$450:$AN$451</c:f>
              <c:numCache>
                <c:formatCode>General</c:formatCode>
                <c:ptCount val="2"/>
                <c:pt idx="0">
                  <c:v>2.5640000000000001</c:v>
                </c:pt>
                <c:pt idx="1">
                  <c:v>60.436</c:v>
                </c:pt>
              </c:numCache>
            </c:numRef>
          </c:xVal>
          <c:yVal>
            <c:numRef>
              <c:f>'Bent Search'!$AO$450:$AO$451</c:f>
              <c:numCache>
                <c:formatCode>General</c:formatCode>
                <c:ptCount val="2"/>
                <c:pt idx="0">
                  <c:v>12.478666666666665</c:v>
                </c:pt>
                <c:pt idx="1">
                  <c:v>12.478666666666665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F6-4112-81ED-5795E8A71676}"/>
            </c:ext>
          </c:extLst>
        </c:ser>
        <c:ser>
          <c:idx val="26"/>
          <c:order val="26"/>
          <c:tx>
            <c:strRef>
              <c:f>'Bent Search'!$BG$156:$BG$162</c:f>
              <c:strCache>
                <c:ptCount val="7"/>
                <c:pt idx="0">
                  <c:v>hs: 57 in</c:v>
                </c:pt>
                <c:pt idx="1">
                  <c:v>h: 20 in</c:v>
                </c:pt>
                <c:pt idx="2">
                  <c:v>av: 7.5 in</c:v>
                </c:pt>
                <c:pt idx="3">
                  <c:v>bw: 30 in</c:v>
                </c:pt>
                <c:pt idx="4">
                  <c:v>bf: 63 in</c:v>
                </c:pt>
                <c:pt idx="5">
                  <c:v>bl: 16.5 in</c:v>
                </c:pt>
                <c:pt idx="6">
                  <c:v>d: 77 in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1C47087-7E9C-467F-8071-EA89BEAA33C3}" type="CELLREF">
                      <a:rPr lang="en-US" sz="1100">
                        <a:solidFill>
                          <a:schemeClr val="accent3"/>
                        </a:solidFill>
                      </a:rPr>
                      <a:pPr/>
                      <a:t>[CELLREF]</a:t>
                    </a:fld>
                    <a:endParaRPr lang="en-US"/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{B1C47087-7E9C-467F-8071-EA89BEAA33C3}</c15:txfldGUID>
                      <c15:f>'Bent Search'!$BG$156</c15:f>
                      <c15:dlblFieldTableCache>
                        <c:ptCount val="1"/>
                        <c:pt idx="0">
                          <c:v>hs: 57 in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633F-47CD-99BC-4A6A13BFFFF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298B704-90AD-47EF-9070-198D724D00F2}" type="CELLREF">
                      <a:rPr lang="en-US" sz="1100">
                        <a:solidFill>
                          <a:schemeClr val="accent3"/>
                        </a:solidFill>
                      </a:rPr>
                      <a:pPr/>
                      <a:t>[CELLREF]</a:t>
                    </a:fld>
                    <a:endParaRPr lang="en-US"/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{B298B704-90AD-47EF-9070-198D724D00F2}</c15:txfldGUID>
                      <c15:f>'Bent Search'!$BG$157</c15:f>
                      <c15:dlblFieldTableCache>
                        <c:ptCount val="1"/>
                        <c:pt idx="0">
                          <c:v>h: 20 in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633F-47CD-99BC-4A6A13BFFFF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86102E0-F177-48CF-9F7D-4719CFB79BCE}" type="CELLREF">
                      <a:rPr lang="en-US" sz="1100">
                        <a:solidFill>
                          <a:schemeClr val="accent3"/>
                        </a:solidFill>
                      </a:rPr>
                      <a:pPr/>
                      <a:t>[CELLREF]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{E86102E0-F177-48CF-9F7D-4719CFB79BCE}</c15:txfldGUID>
                      <c15:f>'Bent Search'!$BG$158</c15:f>
                      <c15:dlblFieldTableCache>
                        <c:ptCount val="1"/>
                        <c:pt idx="0">
                          <c:v>av: 7.5 in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633F-47CD-99BC-4A6A13BFFFF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B621AF1-D851-4F02-A370-83040870FD3B}" type="CELLREF">
                      <a:rPr lang="en-US" sz="1100">
                        <a:solidFill>
                          <a:schemeClr val="accent3"/>
                        </a:solidFill>
                      </a:rPr>
                      <a:pPr/>
                      <a:t>[CELLREF]</a:t>
                    </a:fld>
                    <a:endParaRPr 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{5B621AF1-D851-4F02-A370-83040870FD3B}</c15:txfldGUID>
                      <c15:f>'Bent Search'!$BG$159</c15:f>
                      <c15:dlblFieldTableCache>
                        <c:ptCount val="1"/>
                        <c:pt idx="0">
                          <c:v>bw: 30 in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633F-47CD-99BC-4A6A13BFFFF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8C97D54-0E55-4D18-A82E-3180FBA4A32A}" type="CELLREF">
                      <a:rPr lang="en-US" sz="1100">
                        <a:solidFill>
                          <a:schemeClr val="accent3"/>
                        </a:solidFill>
                      </a:rPr>
                      <a:pPr/>
                      <a:t>[CELLREF]</a:t>
                    </a:fld>
                    <a:endParaRPr lang="en-US"/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{38C97D54-0E55-4D18-A82E-3180FBA4A32A}</c15:txfldGUID>
                      <c15:f>'Bent Search'!$BG$160</c15:f>
                      <c15:dlblFieldTableCache>
                        <c:ptCount val="1"/>
                        <c:pt idx="0">
                          <c:v>bf: 63 in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633F-47CD-99BC-4A6A13BFFFF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EE7124C-D4FC-4673-A0FC-5885C01EA4CF}" type="CELLREF">
                      <a:rPr lang="en-US" sz="1100">
                        <a:solidFill>
                          <a:schemeClr val="accent3"/>
                        </a:solidFill>
                      </a:rPr>
                      <a:pPr/>
                      <a:t>[CELLREF]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{0EE7124C-D4FC-4673-A0FC-5885C01EA4CF}</c15:txfldGUID>
                      <c15:f>'Bent Search'!$BG$161</c15:f>
                      <c15:dlblFieldTableCache>
                        <c:ptCount val="1"/>
                        <c:pt idx="0">
                          <c:v>bl: 16.5 in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633F-47CD-99BC-4A6A13BFFFF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4F6A257-2FAF-4F14-991F-7157B6A0CEE8}" type="CELLREF">
                      <a:rPr lang="en-US" sz="1100">
                        <a:solidFill>
                          <a:schemeClr val="accent3"/>
                        </a:solidFill>
                      </a:rPr>
                      <a:pPr/>
                      <a:t>[CELLREF]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{D4F6A257-2FAF-4F14-991F-7157B6A0CEE8}</c15:txfldGUID>
                      <c15:f>'Bent Search'!$BG$162</c15:f>
                      <c15:dlblFieldTableCache>
                        <c:ptCount val="1"/>
                        <c:pt idx="0">
                          <c:v>d: 77 in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633F-47CD-99BC-4A6A13BFFF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'Bent Search'!$BH$156:$BH$162</c:f>
              <c:numCache>
                <c:formatCode>General</c:formatCode>
                <c:ptCount val="7"/>
                <c:pt idx="0">
                  <c:v>-5</c:v>
                </c:pt>
                <c:pt idx="1">
                  <c:v>-5</c:v>
                </c:pt>
                <c:pt idx="2">
                  <c:v>6.75</c:v>
                </c:pt>
                <c:pt idx="3">
                  <c:v>31.5</c:v>
                </c:pt>
                <c:pt idx="4">
                  <c:v>31.5</c:v>
                </c:pt>
                <c:pt idx="5">
                  <c:v>59.75</c:v>
                </c:pt>
                <c:pt idx="6">
                  <c:v>68</c:v>
                </c:pt>
              </c:numCache>
            </c:numRef>
          </c:xVal>
          <c:yVal>
            <c:numRef>
              <c:f>'Bent Search'!$BI$156:$BI$162</c:f>
              <c:numCache>
                <c:formatCode>General</c:formatCode>
                <c:ptCount val="7"/>
                <c:pt idx="0">
                  <c:v>53.5</c:v>
                </c:pt>
                <c:pt idx="1">
                  <c:v>15</c:v>
                </c:pt>
                <c:pt idx="2">
                  <c:v>32.75</c:v>
                </c:pt>
                <c:pt idx="3">
                  <c:v>80</c:v>
                </c:pt>
                <c:pt idx="4">
                  <c:v>-3</c:v>
                </c:pt>
                <c:pt idx="5">
                  <c:v>32.75</c:v>
                </c:pt>
                <c:pt idx="6">
                  <c:v>38.5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33F-47CD-99BC-4A6A13BFF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6476480"/>
        <c:axId val="1796480640"/>
        <c:extLst>
          <c:ext xmlns:c15="http://schemas.microsoft.com/office/drawing/2012/chart" uri="{02D57815-91ED-43cb-92C2-25804820EDAC}">
            <c15:filteredScatterSeries>
              <c15:ser>
                <c:idx val="25"/>
                <c:order val="25"/>
                <c:tx>
                  <c:strRef>
                    <c:extLst>
                      <c:ext uri="{02D57815-91ED-43cb-92C2-25804820EDAC}">
                        <c15:formulaRef>
                          <c15:sqref>'Bent Search'!$AK$175</c15:sqref>
                        </c15:formulaRef>
                      </c:ext>
                    </c:extLst>
                    <c:strCache>
                      <c:ptCount val="1"/>
                      <c:pt idx="0">
                        <c:v>av: 7.5 in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0"/>
                    <c:tx>
                      <c:rich>
                        <a:bodyPr/>
                        <a:lstStyle/>
                        <a:p>
                          <a:fld id="{0505F6D0-E02E-4155-9F29-AABFFF91B142}" type="SERIESNAME">
                            <a:rPr lang="en-US" sz="1100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dLblPos val="ctr"/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3-633F-47CD-99BC-4A6A13BFFFF9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ln>
                            <a:noFill/>
                          </a:ln>
                          <a:solidFill>
                            <a:schemeClr val="accent6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1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'Bent Search'!$AL$175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6.75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'Bent Search'!$AM$175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32.75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33F-47CD-99BC-4A6A13BFFFF9}"/>
                  </c:ext>
                </c:extLst>
              </c15:ser>
            </c15:filteredScatterSeries>
          </c:ext>
        </c:extLst>
      </c:scatterChart>
      <c:valAx>
        <c:axId val="179647648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6480640"/>
        <c:crosses val="autoZero"/>
        <c:crossBetween val="midCat"/>
        <c:majorUnit val="14"/>
      </c:valAx>
      <c:valAx>
        <c:axId val="179648064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6476480"/>
        <c:crosses val="autoZero"/>
        <c:crossBetween val="midCat"/>
        <c:majorUnit val="8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'Bent Search'!$AK$5</c:f>
          <c:strCache>
            <c:ptCount val="1"/>
            <c:pt idx="0">
              <c:v>Bent 75R - Back Span (125')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1.7460317460317461E-2"/>
          <c:y val="0.14718253968253969"/>
          <c:w val="0.95238095238095255"/>
          <c:h val="0.79365079365079361"/>
        </c:manualLayout>
      </c:layout>
      <c:scatterChart>
        <c:scatterStyle val="lineMarker"/>
        <c:varyColors val="0"/>
        <c:ser>
          <c:idx val="11"/>
          <c:order val="0"/>
          <c:tx>
            <c:v>Edge Offset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Search'!$AK$87:$AK$92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0.00">
                  <c:v>2.8333333333333335</c:v>
                </c:pt>
                <c:pt idx="4" formatCode="0.00">
                  <c:v>2.8333333333333335</c:v>
                </c:pt>
                <c:pt idx="5" formatCode="0.00">
                  <c:v>2.8333333333333335</c:v>
                </c:pt>
              </c:numCache>
            </c:numRef>
          </c:xVal>
          <c:yVal>
            <c:numRef>
              <c:f>'Bent Search'!$AL$87:$AL$92</c:f>
              <c:numCache>
                <c:formatCode>General</c:formatCode>
                <c:ptCount val="6"/>
                <c:pt idx="0">
                  <c:v>0.66666666666666674</c:v>
                </c:pt>
                <c:pt idx="1">
                  <c:v>1</c:v>
                </c:pt>
                <c:pt idx="2">
                  <c:v>0.83333333333333337</c:v>
                </c:pt>
                <c:pt idx="3">
                  <c:v>0.83333333333333337</c:v>
                </c:pt>
                <c:pt idx="4">
                  <c:v>1</c:v>
                </c:pt>
                <c:pt idx="5">
                  <c:v>0.66666666666666674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F1-43F1-AD77-9435029E0E5A}"/>
            </c:ext>
          </c:extLst>
        </c:ser>
        <c:ser>
          <c:idx val="15"/>
          <c:order val="1"/>
          <c:tx>
            <c:v>Edge Dimension rt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Search'!$AK$96:$AK$101</c:f>
              <c:numCache>
                <c:formatCode>General</c:formatCode>
                <c:ptCount val="6"/>
                <c:pt idx="0">
                  <c:v>43.182291666666664</c:v>
                </c:pt>
                <c:pt idx="1">
                  <c:v>43.182291666666664</c:v>
                </c:pt>
                <c:pt idx="2">
                  <c:v>43.182291666666664</c:v>
                </c:pt>
                <c:pt idx="3" formatCode="0.00">
                  <c:v>40.348958333333329</c:v>
                </c:pt>
                <c:pt idx="4" formatCode="0.00">
                  <c:v>40.348958333333329</c:v>
                </c:pt>
                <c:pt idx="5" formatCode="0.00">
                  <c:v>40.348958333333329</c:v>
                </c:pt>
              </c:numCache>
            </c:numRef>
          </c:xVal>
          <c:yVal>
            <c:numRef>
              <c:f>'Bent Search'!$AL$96:$AL$101</c:f>
              <c:numCache>
                <c:formatCode>General</c:formatCode>
                <c:ptCount val="6"/>
                <c:pt idx="0">
                  <c:v>0.66666666666666674</c:v>
                </c:pt>
                <c:pt idx="1">
                  <c:v>1</c:v>
                </c:pt>
                <c:pt idx="2">
                  <c:v>0.83333333333333337</c:v>
                </c:pt>
                <c:pt idx="3">
                  <c:v>0.83333333333333337</c:v>
                </c:pt>
                <c:pt idx="4">
                  <c:v>1</c:v>
                </c:pt>
                <c:pt idx="5">
                  <c:v>0.66666666666666674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1F1-43F1-AD77-9435029E0E5A}"/>
            </c:ext>
          </c:extLst>
        </c:ser>
        <c:ser>
          <c:idx val="13"/>
          <c:order val="2"/>
          <c:tx>
            <c:v>Clear Edge Distance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Search'!$AK$114:$AK$119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0.00">
                  <c:v>2</c:v>
                </c:pt>
                <c:pt idx="4" formatCode="0.00">
                  <c:v>2</c:v>
                </c:pt>
                <c:pt idx="5" formatCode="0.00">
                  <c:v>2</c:v>
                </c:pt>
              </c:numCache>
            </c:numRef>
          </c:xVal>
          <c:yVal>
            <c:numRef>
              <c:f>'Bent Search'!$AL$114:$AL$119</c:f>
              <c:numCache>
                <c:formatCode>General</c:formatCode>
                <c:ptCount val="6"/>
                <c:pt idx="0">
                  <c:v>1.0833333333333335</c:v>
                </c:pt>
                <c:pt idx="1">
                  <c:v>1.4166666666666667</c:v>
                </c:pt>
                <c:pt idx="2">
                  <c:v>1.25</c:v>
                </c:pt>
                <c:pt idx="3">
                  <c:v>1.25</c:v>
                </c:pt>
                <c:pt idx="4">
                  <c:v>1.4166666666666667</c:v>
                </c:pt>
                <c:pt idx="5">
                  <c:v>1.0833333333333335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F1-43F1-AD77-9435029E0E5A}"/>
            </c:ext>
          </c:extLst>
        </c:ser>
        <c:ser>
          <c:idx val="16"/>
          <c:order val="3"/>
          <c:tx>
            <c:v>Clear Edge Dist. rt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Search'!$AK$123:$AK$128</c:f>
              <c:numCache>
                <c:formatCode>General</c:formatCode>
                <c:ptCount val="6"/>
                <c:pt idx="0">
                  <c:v>43.182291666666664</c:v>
                </c:pt>
                <c:pt idx="1">
                  <c:v>43.182291666666664</c:v>
                </c:pt>
                <c:pt idx="2">
                  <c:v>43.182291666666664</c:v>
                </c:pt>
                <c:pt idx="3" formatCode="0.00">
                  <c:v>41.182291666666664</c:v>
                </c:pt>
                <c:pt idx="4" formatCode="0.00">
                  <c:v>41.182291666666664</c:v>
                </c:pt>
                <c:pt idx="5" formatCode="0.00">
                  <c:v>41.182291666666664</c:v>
                </c:pt>
              </c:numCache>
            </c:numRef>
          </c:xVal>
          <c:yVal>
            <c:numRef>
              <c:f>'Bent Search'!$AL$123:$AL$128</c:f>
              <c:numCache>
                <c:formatCode>General</c:formatCode>
                <c:ptCount val="6"/>
                <c:pt idx="0">
                  <c:v>1.0833333333333335</c:v>
                </c:pt>
                <c:pt idx="1">
                  <c:v>1.4166666666666667</c:v>
                </c:pt>
                <c:pt idx="2">
                  <c:v>1.25</c:v>
                </c:pt>
                <c:pt idx="3">
                  <c:v>1.25</c:v>
                </c:pt>
                <c:pt idx="4">
                  <c:v>1.4166666666666667</c:v>
                </c:pt>
                <c:pt idx="5">
                  <c:v>1.0833333333333335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1F1-43F1-AD77-9435029E0E5A}"/>
            </c:ext>
          </c:extLst>
        </c:ser>
        <c:ser>
          <c:idx val="14"/>
          <c:order val="4"/>
          <c:tx>
            <c:v>Clear Span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Search'!$AK$132:$AK$137</c:f>
              <c:numCache>
                <c:formatCode>General</c:formatCode>
                <c:ptCount val="6"/>
                <c:pt idx="0">
                  <c:v>39.515624999999993</c:v>
                </c:pt>
                <c:pt idx="1">
                  <c:v>39.515624999999993</c:v>
                </c:pt>
                <c:pt idx="2">
                  <c:v>39.515624999999993</c:v>
                </c:pt>
                <c:pt idx="3" formatCode="0.00">
                  <c:v>34.425291666666659</c:v>
                </c:pt>
                <c:pt idx="4" formatCode="0.00">
                  <c:v>34.425291666666659</c:v>
                </c:pt>
                <c:pt idx="5" formatCode="0.00">
                  <c:v>34.425291666666659</c:v>
                </c:pt>
              </c:numCache>
            </c:numRef>
          </c:xVal>
          <c:yVal>
            <c:numRef>
              <c:f>'Bent Search'!$AL$132:$AL$137</c:f>
              <c:numCache>
                <c:formatCode>General</c:formatCode>
                <c:ptCount val="6"/>
                <c:pt idx="0">
                  <c:v>0.66666666666666674</c:v>
                </c:pt>
                <c:pt idx="1">
                  <c:v>1</c:v>
                </c:pt>
                <c:pt idx="2">
                  <c:v>0.83333333333333337</c:v>
                </c:pt>
                <c:pt idx="3">
                  <c:v>0.83333333333333337</c:v>
                </c:pt>
                <c:pt idx="4">
                  <c:v>1</c:v>
                </c:pt>
                <c:pt idx="5">
                  <c:v>0.66666666666666674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1F1-43F1-AD77-9435029E0E5A}"/>
            </c:ext>
          </c:extLst>
        </c:ser>
        <c:ser>
          <c:idx val="10"/>
          <c:order val="5"/>
          <c:tx>
            <c:v>Roadway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Search'!$AK$75:$AK$79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43.182291666666664</c:v>
                </c:pt>
                <c:pt idx="3">
                  <c:v>43.182291666666664</c:v>
                </c:pt>
                <c:pt idx="4">
                  <c:v>0</c:v>
                </c:pt>
              </c:numCache>
            </c:numRef>
          </c:xVal>
          <c:yVal>
            <c:numRef>
              <c:f>'Bent Search'!$AL$75:$AL$79</c:f>
              <c:numCache>
                <c:formatCode>General</c:formatCode>
                <c:ptCount val="5"/>
                <c:pt idx="0">
                  <c:v>0</c:v>
                </c:pt>
                <c:pt idx="1">
                  <c:v>0.58333333333333337</c:v>
                </c:pt>
                <c:pt idx="2">
                  <c:v>0.58333333333333337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1F1-43F1-AD77-9435029E0E5A}"/>
            </c:ext>
          </c:extLst>
        </c:ser>
        <c:ser>
          <c:idx val="0"/>
          <c:order val="6"/>
          <c:tx>
            <c:v>Girder 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Search'!$AK$8:$AK$20</c:f>
              <c:numCache>
                <c:formatCode>0.000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2.5</c:v>
                </c:pt>
                <c:pt idx="3">
                  <c:v>2.5</c:v>
                </c:pt>
                <c:pt idx="4">
                  <c:v>1.7500000000000002</c:v>
                </c:pt>
                <c:pt idx="5">
                  <c:v>1.7500000000000002</c:v>
                </c:pt>
                <c:pt idx="6">
                  <c:v>3.916666666666667</c:v>
                </c:pt>
                <c:pt idx="7">
                  <c:v>3.916666666666667</c:v>
                </c:pt>
                <c:pt idx="8">
                  <c:v>3.166666666666667</c:v>
                </c:pt>
                <c:pt idx="9">
                  <c:v>3.166666666666667</c:v>
                </c:pt>
                <c:pt idx="10">
                  <c:v>3.666666666666667</c:v>
                </c:pt>
                <c:pt idx="11">
                  <c:v>3.666666666666667</c:v>
                </c:pt>
                <c:pt idx="12">
                  <c:v>2</c:v>
                </c:pt>
              </c:numCache>
            </c:numRef>
          </c:xVal>
          <c:yVal>
            <c:numRef>
              <c:f>'Bent Search'!$AK$23:$AK$35</c:f>
              <c:numCache>
                <c:formatCode>0.000</c:formatCode>
                <c:ptCount val="13"/>
                <c:pt idx="0">
                  <c:v>-0.14583333333333334</c:v>
                </c:pt>
                <c:pt idx="1">
                  <c:v>-0.8125</c:v>
                </c:pt>
                <c:pt idx="2">
                  <c:v>-1.3124999999999998</c:v>
                </c:pt>
                <c:pt idx="3">
                  <c:v>-3.229166666666667</c:v>
                </c:pt>
                <c:pt idx="4">
                  <c:v>-3.979166666666667</c:v>
                </c:pt>
                <c:pt idx="5">
                  <c:v>-4.645833333333333</c:v>
                </c:pt>
                <c:pt idx="6">
                  <c:v>-4.645833333333333</c:v>
                </c:pt>
                <c:pt idx="7">
                  <c:v>-3.979166666666667</c:v>
                </c:pt>
                <c:pt idx="8">
                  <c:v>-3.229166666666667</c:v>
                </c:pt>
                <c:pt idx="9">
                  <c:v>-1.3124999999999998</c:v>
                </c:pt>
                <c:pt idx="10">
                  <c:v>-0.8125</c:v>
                </c:pt>
                <c:pt idx="11">
                  <c:v>-0.14583333333333334</c:v>
                </c:pt>
                <c:pt idx="12">
                  <c:v>-0.14583333333333334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1F1-43F1-AD77-9435029E0E5A}"/>
            </c:ext>
          </c:extLst>
        </c:ser>
        <c:ser>
          <c:idx val="1"/>
          <c:order val="7"/>
          <c:tx>
            <c:v>Girder 2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Search'!$AL$8:$AL$20</c:f>
              <c:numCache>
                <c:formatCode>0.000</c:formatCode>
                <c:ptCount val="13"/>
                <c:pt idx="0">
                  <c:v>8</c:v>
                </c:pt>
                <c:pt idx="1">
                  <c:v>8</c:v>
                </c:pt>
                <c:pt idx="2">
                  <c:v>8.5</c:v>
                </c:pt>
                <c:pt idx="3">
                  <c:v>8.5</c:v>
                </c:pt>
                <c:pt idx="4">
                  <c:v>7.7500000000000009</c:v>
                </c:pt>
                <c:pt idx="5">
                  <c:v>7.7500000000000009</c:v>
                </c:pt>
                <c:pt idx="6">
                  <c:v>9.9166666666666661</c:v>
                </c:pt>
                <c:pt idx="7">
                  <c:v>9.9166666666666661</c:v>
                </c:pt>
                <c:pt idx="8">
                  <c:v>9.1666666666666661</c:v>
                </c:pt>
                <c:pt idx="9">
                  <c:v>9.1666666666666661</c:v>
                </c:pt>
                <c:pt idx="10">
                  <c:v>9.6666666666666661</c:v>
                </c:pt>
                <c:pt idx="11">
                  <c:v>9.6666666666666661</c:v>
                </c:pt>
                <c:pt idx="12">
                  <c:v>8</c:v>
                </c:pt>
              </c:numCache>
            </c:numRef>
          </c:xVal>
          <c:yVal>
            <c:numRef>
              <c:f>'Bent Search'!$AL$23:$AL$35</c:f>
              <c:numCache>
                <c:formatCode>0.000</c:formatCode>
                <c:ptCount val="13"/>
                <c:pt idx="0">
                  <c:v>-0.14583333333333334</c:v>
                </c:pt>
                <c:pt idx="1">
                  <c:v>-0.8125</c:v>
                </c:pt>
                <c:pt idx="2">
                  <c:v>-1.3124999999999998</c:v>
                </c:pt>
                <c:pt idx="3">
                  <c:v>-3.229166666666667</c:v>
                </c:pt>
                <c:pt idx="4">
                  <c:v>-3.979166666666667</c:v>
                </c:pt>
                <c:pt idx="5">
                  <c:v>-4.645833333333333</c:v>
                </c:pt>
                <c:pt idx="6">
                  <c:v>-4.645833333333333</c:v>
                </c:pt>
                <c:pt idx="7">
                  <c:v>-3.979166666666667</c:v>
                </c:pt>
                <c:pt idx="8">
                  <c:v>-3.229166666666667</c:v>
                </c:pt>
                <c:pt idx="9">
                  <c:v>-1.3124999999999998</c:v>
                </c:pt>
                <c:pt idx="10">
                  <c:v>-0.8125</c:v>
                </c:pt>
                <c:pt idx="11">
                  <c:v>-0.14583333333333334</c:v>
                </c:pt>
                <c:pt idx="12">
                  <c:v>-0.14583333333333334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1F1-43F1-AD77-9435029E0E5A}"/>
            </c:ext>
          </c:extLst>
        </c:ser>
        <c:ser>
          <c:idx val="2"/>
          <c:order val="8"/>
          <c:tx>
            <c:v>Girder 3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Search'!$AM$8:$AM$20</c:f>
              <c:numCache>
                <c:formatCode>0.000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14.5</c:v>
                </c:pt>
                <c:pt idx="3">
                  <c:v>14.5</c:v>
                </c:pt>
                <c:pt idx="4">
                  <c:v>13.75</c:v>
                </c:pt>
                <c:pt idx="5">
                  <c:v>13.75</c:v>
                </c:pt>
                <c:pt idx="6">
                  <c:v>15.916666666666666</c:v>
                </c:pt>
                <c:pt idx="7">
                  <c:v>15.916666666666666</c:v>
                </c:pt>
                <c:pt idx="8">
                  <c:v>15.166666666666666</c:v>
                </c:pt>
                <c:pt idx="9">
                  <c:v>15.166666666666666</c:v>
                </c:pt>
                <c:pt idx="10">
                  <c:v>15.666666666666666</c:v>
                </c:pt>
                <c:pt idx="11">
                  <c:v>15.666666666666666</c:v>
                </c:pt>
                <c:pt idx="12">
                  <c:v>14</c:v>
                </c:pt>
              </c:numCache>
            </c:numRef>
          </c:xVal>
          <c:yVal>
            <c:numRef>
              <c:f>'Bent Search'!$AM$23:$AM$35</c:f>
              <c:numCache>
                <c:formatCode>0.000</c:formatCode>
                <c:ptCount val="13"/>
                <c:pt idx="0">
                  <c:v>-0.14583333333333334</c:v>
                </c:pt>
                <c:pt idx="1">
                  <c:v>-0.8125</c:v>
                </c:pt>
                <c:pt idx="2">
                  <c:v>-1.3124999999999998</c:v>
                </c:pt>
                <c:pt idx="3">
                  <c:v>-3.229166666666667</c:v>
                </c:pt>
                <c:pt idx="4">
                  <c:v>-3.979166666666667</c:v>
                </c:pt>
                <c:pt idx="5">
                  <c:v>-4.645833333333333</c:v>
                </c:pt>
                <c:pt idx="6">
                  <c:v>-4.645833333333333</c:v>
                </c:pt>
                <c:pt idx="7">
                  <c:v>-3.979166666666667</c:v>
                </c:pt>
                <c:pt idx="8">
                  <c:v>-3.229166666666667</c:v>
                </c:pt>
                <c:pt idx="9">
                  <c:v>-1.3124999999999998</c:v>
                </c:pt>
                <c:pt idx="10">
                  <c:v>-0.8125</c:v>
                </c:pt>
                <c:pt idx="11">
                  <c:v>-0.14583333333333334</c:v>
                </c:pt>
                <c:pt idx="12">
                  <c:v>-0.14583333333333334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F1-43F1-AD77-9435029E0E5A}"/>
            </c:ext>
          </c:extLst>
        </c:ser>
        <c:ser>
          <c:idx val="3"/>
          <c:order val="9"/>
          <c:tx>
            <c:v>Girder 4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Search'!$AN$8:$AN$20</c:f>
              <c:numCache>
                <c:formatCode>0.000</c:formatCode>
                <c:ptCount val="13"/>
                <c:pt idx="0">
                  <c:v>20.000000000000004</c:v>
                </c:pt>
                <c:pt idx="1">
                  <c:v>20.000000000000004</c:v>
                </c:pt>
                <c:pt idx="2">
                  <c:v>20.500000000000004</c:v>
                </c:pt>
                <c:pt idx="3">
                  <c:v>20.500000000000004</c:v>
                </c:pt>
                <c:pt idx="4">
                  <c:v>19.750000000000004</c:v>
                </c:pt>
                <c:pt idx="5">
                  <c:v>19.750000000000004</c:v>
                </c:pt>
                <c:pt idx="6">
                  <c:v>21.916666666666671</c:v>
                </c:pt>
                <c:pt idx="7">
                  <c:v>21.916666666666671</c:v>
                </c:pt>
                <c:pt idx="8">
                  <c:v>21.166666666666671</c:v>
                </c:pt>
                <c:pt idx="9">
                  <c:v>21.166666666666671</c:v>
                </c:pt>
                <c:pt idx="10">
                  <c:v>21.666666666666671</c:v>
                </c:pt>
                <c:pt idx="11">
                  <c:v>21.666666666666671</c:v>
                </c:pt>
                <c:pt idx="12">
                  <c:v>20.000000000000004</c:v>
                </c:pt>
              </c:numCache>
            </c:numRef>
          </c:xVal>
          <c:yVal>
            <c:numRef>
              <c:f>'Bent Search'!$AN$23:$AN$35</c:f>
              <c:numCache>
                <c:formatCode>0.000</c:formatCode>
                <c:ptCount val="13"/>
                <c:pt idx="0">
                  <c:v>-0.14583333333333334</c:v>
                </c:pt>
                <c:pt idx="1">
                  <c:v>-0.8125</c:v>
                </c:pt>
                <c:pt idx="2">
                  <c:v>-1.3124999999999998</c:v>
                </c:pt>
                <c:pt idx="3">
                  <c:v>-3.229166666666667</c:v>
                </c:pt>
                <c:pt idx="4">
                  <c:v>-3.979166666666667</c:v>
                </c:pt>
                <c:pt idx="5">
                  <c:v>-4.645833333333333</c:v>
                </c:pt>
                <c:pt idx="6">
                  <c:v>-4.645833333333333</c:v>
                </c:pt>
                <c:pt idx="7">
                  <c:v>-3.979166666666667</c:v>
                </c:pt>
                <c:pt idx="8">
                  <c:v>-3.229166666666667</c:v>
                </c:pt>
                <c:pt idx="9">
                  <c:v>-1.3124999999999998</c:v>
                </c:pt>
                <c:pt idx="10">
                  <c:v>-0.8125</c:v>
                </c:pt>
                <c:pt idx="11">
                  <c:v>-0.14583333333333334</c:v>
                </c:pt>
                <c:pt idx="12">
                  <c:v>-0.14583333333333334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1F1-43F1-AD77-9435029E0E5A}"/>
            </c:ext>
          </c:extLst>
        </c:ser>
        <c:ser>
          <c:idx val="4"/>
          <c:order val="10"/>
          <c:tx>
            <c:v>Girder 5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Search'!$AO$8:$AO$20</c:f>
              <c:numCache>
                <c:formatCode>0.000</c:formatCode>
                <c:ptCount val="13"/>
                <c:pt idx="0">
                  <c:v>26.000000000000004</c:v>
                </c:pt>
                <c:pt idx="1">
                  <c:v>26.000000000000004</c:v>
                </c:pt>
                <c:pt idx="2">
                  <c:v>26.500000000000004</c:v>
                </c:pt>
                <c:pt idx="3">
                  <c:v>26.500000000000004</c:v>
                </c:pt>
                <c:pt idx="4">
                  <c:v>25.750000000000004</c:v>
                </c:pt>
                <c:pt idx="5">
                  <c:v>25.750000000000004</c:v>
                </c:pt>
                <c:pt idx="6">
                  <c:v>27.916666666666671</c:v>
                </c:pt>
                <c:pt idx="7">
                  <c:v>27.916666666666671</c:v>
                </c:pt>
                <c:pt idx="8">
                  <c:v>27.166666666666671</c:v>
                </c:pt>
                <c:pt idx="9">
                  <c:v>27.166666666666671</c:v>
                </c:pt>
                <c:pt idx="10">
                  <c:v>27.666666666666671</c:v>
                </c:pt>
                <c:pt idx="11">
                  <c:v>27.666666666666671</c:v>
                </c:pt>
                <c:pt idx="12">
                  <c:v>26.000000000000004</c:v>
                </c:pt>
              </c:numCache>
            </c:numRef>
          </c:xVal>
          <c:yVal>
            <c:numRef>
              <c:f>'Bent Search'!$AO$23:$AO$35</c:f>
              <c:numCache>
                <c:formatCode>0.000</c:formatCode>
                <c:ptCount val="13"/>
                <c:pt idx="0">
                  <c:v>-0.14583333333333334</c:v>
                </c:pt>
                <c:pt idx="1">
                  <c:v>-0.8125</c:v>
                </c:pt>
                <c:pt idx="2">
                  <c:v>-1.3124999999999998</c:v>
                </c:pt>
                <c:pt idx="3">
                  <c:v>-3.229166666666667</c:v>
                </c:pt>
                <c:pt idx="4">
                  <c:v>-3.979166666666667</c:v>
                </c:pt>
                <c:pt idx="5">
                  <c:v>-4.645833333333333</c:v>
                </c:pt>
                <c:pt idx="6">
                  <c:v>-4.645833333333333</c:v>
                </c:pt>
                <c:pt idx="7">
                  <c:v>-3.979166666666667</c:v>
                </c:pt>
                <c:pt idx="8">
                  <c:v>-3.229166666666667</c:v>
                </c:pt>
                <c:pt idx="9">
                  <c:v>-1.3124999999999998</c:v>
                </c:pt>
                <c:pt idx="10">
                  <c:v>-0.8125</c:v>
                </c:pt>
                <c:pt idx="11">
                  <c:v>-0.14583333333333334</c:v>
                </c:pt>
                <c:pt idx="12">
                  <c:v>-0.14583333333333334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1F1-43F1-AD77-9435029E0E5A}"/>
            </c:ext>
          </c:extLst>
        </c:ser>
        <c:ser>
          <c:idx val="5"/>
          <c:order val="11"/>
          <c:tx>
            <c:v>Girder 6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Search'!$AP$8:$AP$20</c:f>
              <c:numCache>
                <c:formatCode>0.000</c:formatCode>
                <c:ptCount val="13"/>
                <c:pt idx="0">
                  <c:v>32.756999999999998</c:v>
                </c:pt>
                <c:pt idx="1">
                  <c:v>32.756999999999998</c:v>
                </c:pt>
                <c:pt idx="2">
                  <c:v>33.256999999999998</c:v>
                </c:pt>
                <c:pt idx="3">
                  <c:v>33.256999999999998</c:v>
                </c:pt>
                <c:pt idx="4">
                  <c:v>32.506999999999998</c:v>
                </c:pt>
                <c:pt idx="5">
                  <c:v>32.506999999999998</c:v>
                </c:pt>
                <c:pt idx="6">
                  <c:v>34.673666666666662</c:v>
                </c:pt>
                <c:pt idx="7">
                  <c:v>34.673666666666662</c:v>
                </c:pt>
                <c:pt idx="8">
                  <c:v>33.923666666666662</c:v>
                </c:pt>
                <c:pt idx="9">
                  <c:v>33.923666666666662</c:v>
                </c:pt>
                <c:pt idx="10">
                  <c:v>34.423666666666662</c:v>
                </c:pt>
                <c:pt idx="11">
                  <c:v>34.423666666666662</c:v>
                </c:pt>
                <c:pt idx="12">
                  <c:v>32.756999999999998</c:v>
                </c:pt>
              </c:numCache>
            </c:numRef>
          </c:xVal>
          <c:yVal>
            <c:numRef>
              <c:f>'Bent Search'!$AO$23:$AO$35</c:f>
              <c:numCache>
                <c:formatCode>0.000</c:formatCode>
                <c:ptCount val="13"/>
                <c:pt idx="0">
                  <c:v>-0.14583333333333334</c:v>
                </c:pt>
                <c:pt idx="1">
                  <c:v>-0.8125</c:v>
                </c:pt>
                <c:pt idx="2">
                  <c:v>-1.3124999999999998</c:v>
                </c:pt>
                <c:pt idx="3">
                  <c:v>-3.229166666666667</c:v>
                </c:pt>
                <c:pt idx="4">
                  <c:v>-3.979166666666667</c:v>
                </c:pt>
                <c:pt idx="5">
                  <c:v>-4.645833333333333</c:v>
                </c:pt>
                <c:pt idx="6">
                  <c:v>-4.645833333333333</c:v>
                </c:pt>
                <c:pt idx="7">
                  <c:v>-3.979166666666667</c:v>
                </c:pt>
                <c:pt idx="8">
                  <c:v>-3.229166666666667</c:v>
                </c:pt>
                <c:pt idx="9">
                  <c:v>-1.3124999999999998</c:v>
                </c:pt>
                <c:pt idx="10">
                  <c:v>-0.8125</c:v>
                </c:pt>
                <c:pt idx="11">
                  <c:v>-0.14583333333333334</c:v>
                </c:pt>
                <c:pt idx="12">
                  <c:v>-0.14583333333333334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1F1-43F1-AD77-9435029E0E5A}"/>
            </c:ext>
          </c:extLst>
        </c:ser>
        <c:ser>
          <c:idx val="6"/>
          <c:order val="12"/>
          <c:tx>
            <c:v>Girder 7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Search'!$AQ$8:$AQ$20</c:f>
              <c:numCache>
                <c:formatCode>0.000</c:formatCode>
                <c:ptCount val="13"/>
                <c:pt idx="0">
                  <c:v>39.513999999999996</c:v>
                </c:pt>
                <c:pt idx="1">
                  <c:v>39.513999999999996</c:v>
                </c:pt>
                <c:pt idx="2">
                  <c:v>40.013999999999996</c:v>
                </c:pt>
                <c:pt idx="3">
                  <c:v>40.013999999999996</c:v>
                </c:pt>
                <c:pt idx="4">
                  <c:v>39.263999999999996</c:v>
                </c:pt>
                <c:pt idx="5">
                  <c:v>39.263999999999996</c:v>
                </c:pt>
                <c:pt idx="6">
                  <c:v>41.43066666666666</c:v>
                </c:pt>
                <c:pt idx="7">
                  <c:v>41.43066666666666</c:v>
                </c:pt>
                <c:pt idx="8">
                  <c:v>40.68066666666666</c:v>
                </c:pt>
                <c:pt idx="9">
                  <c:v>40.68066666666666</c:v>
                </c:pt>
                <c:pt idx="10">
                  <c:v>41.18066666666666</c:v>
                </c:pt>
                <c:pt idx="11">
                  <c:v>41.18066666666666</c:v>
                </c:pt>
                <c:pt idx="12">
                  <c:v>39.513999999999996</c:v>
                </c:pt>
              </c:numCache>
            </c:numRef>
          </c:xVal>
          <c:yVal>
            <c:numRef>
              <c:f>'Bent Search'!$AQ$23:$AQ$35</c:f>
              <c:numCache>
                <c:formatCode>0.000</c:formatCode>
                <c:ptCount val="13"/>
                <c:pt idx="0">
                  <c:v>-0.14583333333333334</c:v>
                </c:pt>
                <c:pt idx="1">
                  <c:v>-0.8125</c:v>
                </c:pt>
                <c:pt idx="2">
                  <c:v>-1.3124999999999998</c:v>
                </c:pt>
                <c:pt idx="3">
                  <c:v>-3.229166666666667</c:v>
                </c:pt>
                <c:pt idx="4">
                  <c:v>-3.979166666666667</c:v>
                </c:pt>
                <c:pt idx="5">
                  <c:v>-4.645833333333333</c:v>
                </c:pt>
                <c:pt idx="6">
                  <c:v>-4.645833333333333</c:v>
                </c:pt>
                <c:pt idx="7">
                  <c:v>-3.979166666666667</c:v>
                </c:pt>
                <c:pt idx="8">
                  <c:v>-3.229166666666667</c:v>
                </c:pt>
                <c:pt idx="9">
                  <c:v>-1.3124999999999998</c:v>
                </c:pt>
                <c:pt idx="10">
                  <c:v>-0.8125</c:v>
                </c:pt>
                <c:pt idx="11">
                  <c:v>-0.14583333333333334</c:v>
                </c:pt>
                <c:pt idx="12">
                  <c:v>-0.14583333333333334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51F1-43F1-AD77-9435029E0E5A}"/>
            </c:ext>
          </c:extLst>
        </c:ser>
        <c:ser>
          <c:idx val="7"/>
          <c:order val="13"/>
          <c:tx>
            <c:v>Girder 8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Search'!$AR$8:$AR$20</c:f>
              <c:numCache>
                <c:formatCode>0.000</c:formatCode>
                <c:ptCount val="13"/>
              </c:numCache>
            </c:numRef>
          </c:xVal>
          <c:yVal>
            <c:numRef>
              <c:f>'Bent Search'!$AR$23:$AR$35</c:f>
              <c:numCache>
                <c:formatCode>0.000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51F1-43F1-AD77-9435029E0E5A}"/>
            </c:ext>
          </c:extLst>
        </c:ser>
        <c:ser>
          <c:idx val="8"/>
          <c:order val="14"/>
          <c:tx>
            <c:v>Girder 9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Search'!$AS$8:$AS$20</c:f>
              <c:numCache>
                <c:formatCode>0.000</c:formatCode>
                <c:ptCount val="13"/>
              </c:numCache>
            </c:numRef>
          </c:xVal>
          <c:yVal>
            <c:numRef>
              <c:f>'Bent Search'!$AS$23:$AS$35</c:f>
              <c:numCache>
                <c:formatCode>0.000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51F1-43F1-AD77-9435029E0E5A}"/>
            </c:ext>
          </c:extLst>
        </c:ser>
        <c:ser>
          <c:idx val="9"/>
          <c:order val="15"/>
          <c:tx>
            <c:v>Girder 10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Search'!$AT$8:$AT$20</c:f>
              <c:numCache>
                <c:formatCode>0.000</c:formatCode>
                <c:ptCount val="13"/>
              </c:numCache>
            </c:numRef>
          </c:xVal>
          <c:yVal>
            <c:numRef>
              <c:f>'Bent Search'!$AT$23:$AT$35</c:f>
              <c:numCache>
                <c:formatCode>0.000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51F1-43F1-AD77-9435029E0E5A}"/>
            </c:ext>
          </c:extLst>
        </c:ser>
        <c:ser>
          <c:idx val="17"/>
          <c:order val="16"/>
          <c:tx>
            <c:v>Girder 11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Search'!$AU$8:$AU$20</c:f>
              <c:numCache>
                <c:formatCode>0.000</c:formatCode>
                <c:ptCount val="13"/>
              </c:numCache>
            </c:numRef>
          </c:xVal>
          <c:yVal>
            <c:numRef>
              <c:f>'Bent Search'!$AU$23:$AU$35</c:f>
              <c:numCache>
                <c:formatCode>0.000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BA-4121-B0A8-A6C73A28D089}"/>
            </c:ext>
          </c:extLst>
        </c:ser>
        <c:ser>
          <c:idx val="18"/>
          <c:order val="17"/>
          <c:tx>
            <c:v>Girder 12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Search'!$AV$8:$AV$20</c:f>
              <c:numCache>
                <c:formatCode>0.000</c:formatCode>
                <c:ptCount val="13"/>
              </c:numCache>
            </c:numRef>
          </c:xVal>
          <c:yVal>
            <c:numRef>
              <c:f>'Bent Search'!$AW$23:$AW$35</c:f>
              <c:numCache>
                <c:formatCode>0.000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BA-4121-B0A8-A6C73A28D089}"/>
            </c:ext>
          </c:extLst>
        </c:ser>
        <c:ser>
          <c:idx val="19"/>
          <c:order val="18"/>
          <c:tx>
            <c:v>Girder 13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Search'!$AW$8:$AW$20</c:f>
              <c:numCache>
                <c:formatCode>0.000</c:formatCode>
                <c:ptCount val="13"/>
              </c:numCache>
            </c:numRef>
          </c:xVal>
          <c:yVal>
            <c:numRef>
              <c:f>'Bent Search'!$AW$23:$AW$35</c:f>
              <c:numCache>
                <c:formatCode>0.000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9BA-4121-B0A8-A6C73A28D089}"/>
            </c:ext>
          </c:extLst>
        </c:ser>
        <c:ser>
          <c:idx val="20"/>
          <c:order val="19"/>
          <c:tx>
            <c:v>Girder 14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Search'!$AX$8:$AX$20</c:f>
              <c:numCache>
                <c:formatCode>0.000</c:formatCode>
                <c:ptCount val="13"/>
              </c:numCache>
            </c:numRef>
          </c:xVal>
          <c:yVal>
            <c:numRef>
              <c:f>'Bent Search'!$AX$23:$AX$35</c:f>
              <c:numCache>
                <c:formatCode>0.000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9BA-4121-B0A8-A6C73A28D089}"/>
            </c:ext>
          </c:extLst>
        </c:ser>
        <c:ser>
          <c:idx val="21"/>
          <c:order val="20"/>
          <c:tx>
            <c:v>Girder 15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Search'!$AY$8:$AY$20</c:f>
              <c:numCache>
                <c:formatCode>0.000</c:formatCode>
                <c:ptCount val="13"/>
              </c:numCache>
            </c:numRef>
          </c:xVal>
          <c:yVal>
            <c:numRef>
              <c:f>'Bent Search'!$AY$23:$AY$35</c:f>
              <c:numCache>
                <c:formatCode>0.000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9BA-4121-B0A8-A6C73A28D089}"/>
            </c:ext>
          </c:extLst>
        </c:ser>
        <c:ser>
          <c:idx val="22"/>
          <c:order val="21"/>
          <c:tx>
            <c:v>Girder 16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Search'!$AZ$8:$AZ$20</c:f>
              <c:numCache>
                <c:formatCode>0.000</c:formatCode>
                <c:ptCount val="13"/>
              </c:numCache>
            </c:numRef>
          </c:xVal>
          <c:yVal>
            <c:numRef>
              <c:f>'Bent Search'!$AZ$23:$AZ$35</c:f>
              <c:numCache>
                <c:formatCode>0.000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9BA-4121-B0A8-A6C73A28D089}"/>
            </c:ext>
          </c:extLst>
        </c:ser>
        <c:ser>
          <c:idx val="23"/>
          <c:order val="22"/>
          <c:tx>
            <c:v>Girder 17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Search'!$BA$8:$BA$20</c:f>
              <c:numCache>
                <c:formatCode>0.000</c:formatCode>
                <c:ptCount val="13"/>
              </c:numCache>
            </c:numRef>
          </c:xVal>
          <c:yVal>
            <c:numRef>
              <c:f>'Bent Search'!$BA$23:$BA$35</c:f>
              <c:numCache>
                <c:formatCode>0.000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9BA-4121-B0A8-A6C73A28D089}"/>
            </c:ext>
          </c:extLst>
        </c:ser>
        <c:ser>
          <c:idx val="24"/>
          <c:order val="23"/>
          <c:tx>
            <c:v>Girder 18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Search'!$BB$8:$BB$20</c:f>
              <c:numCache>
                <c:formatCode>0.000</c:formatCode>
                <c:ptCount val="13"/>
              </c:numCache>
            </c:numRef>
          </c:xVal>
          <c:yVal>
            <c:numRef>
              <c:f>'Bent Search'!$BB$23:$BB$35</c:f>
              <c:numCache>
                <c:formatCode>0.000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9BA-4121-B0A8-A6C73A28D089}"/>
            </c:ext>
          </c:extLst>
        </c:ser>
        <c:ser>
          <c:idx val="25"/>
          <c:order val="24"/>
          <c:tx>
            <c:v>Girder 19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Search'!$BC$8:$BC$20</c:f>
              <c:numCache>
                <c:formatCode>0.000</c:formatCode>
                <c:ptCount val="13"/>
              </c:numCache>
            </c:numRef>
          </c:xVal>
          <c:yVal>
            <c:numRef>
              <c:f>'Bent Search'!$BC$23:$BC$35</c:f>
              <c:numCache>
                <c:formatCode>0.000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9BA-4121-B0A8-A6C73A28D089}"/>
            </c:ext>
          </c:extLst>
        </c:ser>
        <c:ser>
          <c:idx val="26"/>
          <c:order val="25"/>
          <c:tx>
            <c:v>Girder 20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Search'!$BD$8:$BD$20</c:f>
              <c:numCache>
                <c:formatCode>0.000</c:formatCode>
                <c:ptCount val="13"/>
              </c:numCache>
            </c:numRef>
          </c:xVal>
          <c:yVal>
            <c:numRef>
              <c:f>'Bent Search'!$BD$23:$BD$35</c:f>
              <c:numCache>
                <c:formatCode>0.000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9BA-4121-B0A8-A6C73A28D089}"/>
            </c:ext>
          </c:extLst>
        </c:ser>
        <c:ser>
          <c:idx val="27"/>
          <c:order val="26"/>
          <c:tx>
            <c:v>Cap Points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Search'!$AU$119:$AU$127</c:f>
              <c:numCache>
                <c:formatCode>General</c:formatCode>
                <c:ptCount val="9"/>
                <c:pt idx="0">
                  <c:v>1.4531250000000002</c:v>
                </c:pt>
                <c:pt idx="1">
                  <c:v>1.4531250000000002</c:v>
                </c:pt>
                <c:pt idx="2">
                  <c:v>41.786458333333336</c:v>
                </c:pt>
                <c:pt idx="3">
                  <c:v>41.786458333333336</c:v>
                </c:pt>
                <c:pt idx="4">
                  <c:v>1.4531250000000002</c:v>
                </c:pt>
                <c:pt idx="5">
                  <c:v>1.4531250000000002</c:v>
                </c:pt>
                <c:pt idx="6">
                  <c:v>41.786458333333336</c:v>
                </c:pt>
                <c:pt idx="7">
                  <c:v>41.786458333333336</c:v>
                </c:pt>
                <c:pt idx="8">
                  <c:v>1.4531250000000002</c:v>
                </c:pt>
              </c:numCache>
            </c:numRef>
          </c:xVal>
          <c:yVal>
            <c:numRef>
              <c:f>'Bent Search'!$AV$119:$AV$127</c:f>
              <c:numCache>
                <c:formatCode>General</c:formatCode>
                <c:ptCount val="9"/>
                <c:pt idx="0">
                  <c:v>0</c:v>
                </c:pt>
                <c:pt idx="1">
                  <c:v>-6.416666666666667</c:v>
                </c:pt>
                <c:pt idx="2">
                  <c:v>-6.416666666666667</c:v>
                </c:pt>
                <c:pt idx="3">
                  <c:v>0</c:v>
                </c:pt>
                <c:pt idx="4">
                  <c:v>0</c:v>
                </c:pt>
                <c:pt idx="5">
                  <c:v>-4.75</c:v>
                </c:pt>
                <c:pt idx="6">
                  <c:v>-4.75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9BA-4121-B0A8-A6C73A28D089}"/>
            </c:ext>
          </c:extLst>
        </c:ser>
        <c:ser>
          <c:idx val="28"/>
          <c:order val="27"/>
          <c:tx>
            <c:v>Col 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Search'!$AX$89:$AX$93</c:f>
              <c:numCache>
                <c:formatCode>0.0000</c:formatCode>
                <c:ptCount val="5"/>
                <c:pt idx="0">
                  <c:v>18.578125</c:v>
                </c:pt>
                <c:pt idx="1">
                  <c:v>18.578125</c:v>
                </c:pt>
                <c:pt idx="2">
                  <c:v>24.578125</c:v>
                </c:pt>
                <c:pt idx="3">
                  <c:v>24.578125</c:v>
                </c:pt>
                <c:pt idx="4">
                  <c:v>18.578125</c:v>
                </c:pt>
              </c:numCache>
            </c:numRef>
          </c:xVal>
          <c:yVal>
            <c:numRef>
              <c:f>'Bent Search'!$AX$96:$AX$100</c:f>
              <c:numCache>
                <c:formatCode>0.0000</c:formatCode>
                <c:ptCount val="5"/>
                <c:pt idx="0">
                  <c:v>-6.416666666666667</c:v>
                </c:pt>
                <c:pt idx="1">
                  <c:v>-11.416666666666668</c:v>
                </c:pt>
                <c:pt idx="2">
                  <c:v>-11.416666666666668</c:v>
                </c:pt>
                <c:pt idx="3">
                  <c:v>-6.416666666666667</c:v>
                </c:pt>
                <c:pt idx="4">
                  <c:v>-6.416666666666667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9BA-4121-B0A8-A6C73A28D089}"/>
            </c:ext>
          </c:extLst>
        </c:ser>
        <c:ser>
          <c:idx val="29"/>
          <c:order val="28"/>
          <c:tx>
            <c:v>Col 2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Search'!$AY$89:$AY$93</c:f>
              <c:numCache>
                <c:formatCode>0.0000</c:formatCode>
                <c:ptCount val="5"/>
              </c:numCache>
            </c:numRef>
          </c:xVal>
          <c:yVal>
            <c:numRef>
              <c:f>'Bent Search'!$AY$96:$AY$100</c:f>
              <c:numCache>
                <c:formatCode>0.0000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9BA-4121-B0A8-A6C73A28D089}"/>
            </c:ext>
          </c:extLst>
        </c:ser>
        <c:ser>
          <c:idx val="30"/>
          <c:order val="29"/>
          <c:tx>
            <c:v>Col 3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Search'!$AZ$89:$AZ$93</c:f>
              <c:numCache>
                <c:formatCode>0.0000</c:formatCode>
                <c:ptCount val="5"/>
              </c:numCache>
            </c:numRef>
          </c:xVal>
          <c:yVal>
            <c:numRef>
              <c:f>'Bent Search'!$AZ$96:$AZ$100</c:f>
              <c:numCache>
                <c:formatCode>0.0000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9BA-4121-B0A8-A6C73A28D089}"/>
            </c:ext>
          </c:extLst>
        </c:ser>
        <c:ser>
          <c:idx val="31"/>
          <c:order val="30"/>
          <c:tx>
            <c:v>Col 4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Search'!$BA$89:$BA$93</c:f>
              <c:numCache>
                <c:formatCode>0.0000</c:formatCode>
                <c:ptCount val="5"/>
              </c:numCache>
            </c:numRef>
          </c:xVal>
          <c:yVal>
            <c:numRef>
              <c:f>'Bent Search'!$BA$96:$BA$100</c:f>
              <c:numCache>
                <c:formatCode>0.0000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9BA-4121-B0A8-A6C73A28D089}"/>
            </c:ext>
          </c:extLst>
        </c:ser>
        <c:ser>
          <c:idx val="32"/>
          <c:order val="31"/>
          <c:tx>
            <c:v>Col 5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Search'!$BB$89:$BB$93</c:f>
              <c:numCache>
                <c:formatCode>0.0000</c:formatCode>
                <c:ptCount val="5"/>
              </c:numCache>
            </c:numRef>
          </c:xVal>
          <c:yVal>
            <c:numRef>
              <c:f>'Bent Search'!$BB$96:$BB$100</c:f>
              <c:numCache>
                <c:formatCode>0.0000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69BA-4121-B0A8-A6C73A28D089}"/>
            </c:ext>
          </c:extLst>
        </c:ser>
        <c:ser>
          <c:idx val="33"/>
          <c:order val="32"/>
          <c:tx>
            <c:v>Col 6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Search'!$BC$89:$BC$93</c:f>
              <c:numCache>
                <c:formatCode>0.0000</c:formatCode>
                <c:ptCount val="5"/>
              </c:numCache>
            </c:numRef>
          </c:xVal>
          <c:yVal>
            <c:numRef>
              <c:f>'Bent Search'!$BC$96:$BC$100</c:f>
              <c:numCache>
                <c:formatCode>0.0000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69BA-4121-B0A8-A6C73A28D089}"/>
            </c:ext>
          </c:extLst>
        </c:ser>
        <c:ser>
          <c:idx val="34"/>
          <c:order val="33"/>
          <c:tx>
            <c:v>Col 7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Search'!$BD$89:$BD$93</c:f>
              <c:numCache>
                <c:formatCode>0.0000</c:formatCode>
                <c:ptCount val="5"/>
              </c:numCache>
            </c:numRef>
          </c:xVal>
          <c:yVal>
            <c:numRef>
              <c:f>'Bent Search'!$BD$96:$BD$100</c:f>
              <c:numCache>
                <c:formatCode>0.0000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9BA-4121-B0A8-A6C73A28D089}"/>
            </c:ext>
          </c:extLst>
        </c:ser>
        <c:ser>
          <c:idx val="35"/>
          <c:order val="34"/>
          <c:tx>
            <c:v>Col 8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Search'!$BE$89:$BE$93</c:f>
              <c:numCache>
                <c:formatCode>0.0000</c:formatCode>
                <c:ptCount val="5"/>
              </c:numCache>
            </c:numRef>
          </c:xVal>
          <c:yVal>
            <c:numRef>
              <c:f>'Bent Search'!$BE$96:$BE$100</c:f>
              <c:numCache>
                <c:formatCode>0.0000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69BA-4121-B0A8-A6C73A28D089}"/>
            </c:ext>
          </c:extLst>
        </c:ser>
        <c:ser>
          <c:idx val="36"/>
          <c:order val="35"/>
          <c:tx>
            <c:v>Col 9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Search'!$BF$89:$BF$93</c:f>
              <c:numCache>
                <c:formatCode>0.0000</c:formatCode>
                <c:ptCount val="5"/>
              </c:numCache>
            </c:numRef>
          </c:xVal>
          <c:yVal>
            <c:numRef>
              <c:f>'Bent Search'!$BF$96:$BF$100</c:f>
              <c:numCache>
                <c:formatCode>0.0000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9BA-4121-B0A8-A6C73A28D089}"/>
            </c:ext>
          </c:extLst>
        </c:ser>
        <c:ser>
          <c:idx val="37"/>
          <c:order val="36"/>
          <c:tx>
            <c:v>Col 10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Search'!$BG$89:$BG$93</c:f>
              <c:numCache>
                <c:formatCode>0.0000</c:formatCode>
                <c:ptCount val="5"/>
              </c:numCache>
            </c:numRef>
          </c:xVal>
          <c:yVal>
            <c:numRef>
              <c:f>'Bent Search'!$BG$96:$BG$100</c:f>
              <c:numCache>
                <c:formatCode>0.0000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69BA-4121-B0A8-A6C73A28D089}"/>
            </c:ext>
          </c:extLst>
        </c:ser>
        <c:ser>
          <c:idx val="38"/>
          <c:order val="37"/>
          <c:tx>
            <c:v>Plot Area Fix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xVal>
            <c:numRef>
              <c:f>'Bent Search'!$AU$81:$AU$82</c:f>
              <c:numCache>
                <c:formatCode>0.0</c:formatCode>
                <c:ptCount val="2"/>
                <c:pt idx="0" formatCode="General">
                  <c:v>-2.5</c:v>
                </c:pt>
                <c:pt idx="1">
                  <c:v>47.5</c:v>
                </c:pt>
              </c:numCache>
            </c:numRef>
          </c:xVal>
          <c:yVal>
            <c:numRef>
              <c:f>'Bent Search'!$AV$81:$AV$82</c:f>
              <c:numCache>
                <c:formatCode>0.0</c:formatCode>
                <c:ptCount val="2"/>
                <c:pt idx="0" formatCode="General">
                  <c:v>-12.500000000000002</c:v>
                </c:pt>
                <c:pt idx="1">
                  <c:v>4.1666666666666643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6D-4A63-8EDF-B77A441648B9}"/>
            </c:ext>
          </c:extLst>
        </c:ser>
        <c:ser>
          <c:idx val="39"/>
          <c:order val="38"/>
          <c:tx>
            <c:v>Bm Spacing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percentage"/>
            <c:noEndCap val="1"/>
            <c:val val="10"/>
            <c:spPr>
              <a:noFill/>
              <a:ln w="19050" cap="flat" cmpd="sng" algn="ctr">
                <a:solidFill>
                  <a:schemeClr val="accent3"/>
                </a:solidFill>
                <a:round/>
              </a:ln>
              <a:effectLst/>
            </c:spPr>
          </c:errBars>
          <c:xVal>
            <c:numRef>
              <c:f>'Bent Search'!$BJ$38:$BJ$58</c:f>
              <c:numCache>
                <c:formatCode>0.00</c:formatCode>
                <c:ptCount val="21"/>
                <c:pt idx="0">
                  <c:v>2.8333333333333335</c:v>
                </c:pt>
                <c:pt idx="1">
                  <c:v>8.8333333333333339</c:v>
                </c:pt>
                <c:pt idx="2">
                  <c:v>14.833333333333334</c:v>
                </c:pt>
                <c:pt idx="3">
                  <c:v>20.833333333333336</c:v>
                </c:pt>
                <c:pt idx="4">
                  <c:v>26.833333333333336</c:v>
                </c:pt>
                <c:pt idx="5">
                  <c:v>33.590333333333334</c:v>
                </c:pt>
                <c:pt idx="6">
                  <c:v>40.347333333333331</c:v>
                </c:pt>
              </c:numCache>
            </c:numRef>
          </c:xVal>
          <c:yVal>
            <c:numRef>
              <c:f>'Bent Search'!$BK$38:$BK$58</c:f>
              <c:numCache>
                <c:formatCode>0.00</c:formatCode>
                <c:ptCount val="21"/>
                <c:pt idx="0">
                  <c:v>-2.1842948717948718</c:v>
                </c:pt>
                <c:pt idx="1">
                  <c:v>-2.1842948717948718</c:v>
                </c:pt>
                <c:pt idx="2">
                  <c:v>-2.1842948717948718</c:v>
                </c:pt>
                <c:pt idx="3">
                  <c:v>-2.1842948717948718</c:v>
                </c:pt>
                <c:pt idx="4">
                  <c:v>-2.1842948717948718</c:v>
                </c:pt>
                <c:pt idx="5">
                  <c:v>-2.1842948717948718</c:v>
                </c:pt>
                <c:pt idx="6">
                  <c:v>-2.1842948717948718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F2-4143-A98A-86E698246AF5}"/>
            </c:ext>
          </c:extLst>
        </c:ser>
        <c:ser>
          <c:idx val="40"/>
          <c:order val="39"/>
          <c:tx>
            <c:v>Bm Spacing Lables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22B87F0-21D3-4A1A-A674-213EA8B247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2F2-4143-A98A-86E698246AF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4B1220C-C294-42FE-A1B3-F49510C096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2F2-4143-A98A-86E698246AF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111145F-AA1A-4092-8390-D8A8569355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2F2-4143-A98A-86E698246AF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69638B1-7ED3-47C7-8B18-C5FE10726E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2F2-4143-A98A-86E698246AF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C9C2964-4E40-43EC-BAB5-78B6F17AE9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2F2-4143-A98A-86E698246AF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70AD250-2F26-47C5-B27C-CB5F221072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2F2-4143-A98A-86E698246AF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2F2-4143-A98A-86E698246AF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2F2-4143-A98A-86E698246AF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2F2-4143-A98A-86E698246AF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2F2-4143-A98A-86E698246AF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2F2-4143-A98A-86E698246AF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2F2-4143-A98A-86E698246AF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2F2-4143-A98A-86E698246AF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2F2-4143-A98A-86E698246AF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2F2-4143-A98A-86E698246AF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2F2-4143-A98A-86E698246AF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2F2-4143-A98A-86E698246AF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2F2-4143-A98A-86E698246AF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2F2-4143-A98A-86E698246AF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2F2-4143-A98A-86E698246A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'Bent Search'!$BQ$38:$BQ$57</c:f>
              <c:numCache>
                <c:formatCode>0.000</c:formatCode>
                <c:ptCount val="20"/>
                <c:pt idx="0">
                  <c:v>5.8333333333333339</c:v>
                </c:pt>
                <c:pt idx="1">
                  <c:v>11.833333333333334</c:v>
                </c:pt>
                <c:pt idx="2">
                  <c:v>17.833333333333336</c:v>
                </c:pt>
                <c:pt idx="3">
                  <c:v>23.833333333333336</c:v>
                </c:pt>
                <c:pt idx="4">
                  <c:v>30.211833333333335</c:v>
                </c:pt>
                <c:pt idx="5">
                  <c:v>36.968833333333336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'Bent Search'!$BR$38:$BR$57</c:f>
              <c:numCache>
                <c:formatCode>0.000</c:formatCode>
                <c:ptCount val="20"/>
                <c:pt idx="0">
                  <c:v>-2.1842948717948718</c:v>
                </c:pt>
                <c:pt idx="1">
                  <c:v>-2.1842948717948718</c:v>
                </c:pt>
                <c:pt idx="2">
                  <c:v>-2.1842948717948718</c:v>
                </c:pt>
                <c:pt idx="3">
                  <c:v>-2.1842948717948718</c:v>
                </c:pt>
                <c:pt idx="4">
                  <c:v>-2.1842948717948718</c:v>
                </c:pt>
                <c:pt idx="5">
                  <c:v>-2.1842948717948718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'Bent Search'!$BP$38:$BP$57</c15:f>
                <c15:dlblRangeCache>
                  <c:ptCount val="20"/>
                  <c:pt idx="0">
                    <c:v>6.00 ft</c:v>
                  </c:pt>
                  <c:pt idx="1">
                    <c:v>6.00 ft</c:v>
                  </c:pt>
                  <c:pt idx="2">
                    <c:v>6.00 ft</c:v>
                  </c:pt>
                  <c:pt idx="3">
                    <c:v>6.00 ft</c:v>
                  </c:pt>
                  <c:pt idx="4">
                    <c:v>6.76 ft</c:v>
                  </c:pt>
                  <c:pt idx="5">
                    <c:v>6.76 ft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52F2-4143-A98A-86E698246AF5}"/>
            </c:ext>
          </c:extLst>
        </c:ser>
        <c:ser>
          <c:idx val="41"/>
          <c:order val="40"/>
          <c:tx>
            <c:v>Column Spacing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fixedVal"/>
            <c:noEndCap val="1"/>
            <c:val val="0.30000000000000004"/>
            <c:spPr>
              <a:noFill/>
              <a:ln w="19050" cap="flat" cmpd="sng" algn="ctr">
                <a:solidFill>
                  <a:schemeClr val="accent3"/>
                </a:solidFill>
                <a:round/>
              </a:ln>
              <a:effectLst/>
            </c:spPr>
          </c:errBars>
          <c:xVal>
            <c:numRef>
              <c:f>'Bent Search'!$BL$89:$BL$100</c:f>
              <c:numCache>
                <c:formatCode>0.000</c:formatCode>
                <c:ptCount val="12"/>
                <c:pt idx="0" formatCode="General">
                  <c:v>1.4531250000000002</c:v>
                </c:pt>
                <c:pt idx="1">
                  <c:v>21.578125</c:v>
                </c:pt>
                <c:pt idx="2" formatCode="General">
                  <c:v>41.786458333333336</c:v>
                </c:pt>
              </c:numCache>
            </c:numRef>
          </c:xVal>
          <c:yVal>
            <c:numRef>
              <c:f>'Bent Search'!$BM$89:$BM$100</c:f>
              <c:numCache>
                <c:formatCode>General</c:formatCode>
                <c:ptCount val="12"/>
                <c:pt idx="0">
                  <c:v>-7.041666666666667</c:v>
                </c:pt>
                <c:pt idx="1">
                  <c:v>-7.041666666666667</c:v>
                </c:pt>
                <c:pt idx="2">
                  <c:v>-7.041666666666667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36-4CE4-897F-B01B22E3AE26}"/>
            </c:ext>
          </c:extLst>
        </c:ser>
        <c:ser>
          <c:idx val="42"/>
          <c:order val="41"/>
          <c:tx>
            <c:v>Column Spacing 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697D178-6294-446D-9CE9-028A69D2E3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F36-4CE4-897F-B01B22E3AE2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58F9CA8-77AF-4BCE-9A5E-86CF998643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F36-4CE4-897F-B01B22E3AE2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F36-4CE4-897F-B01B22E3AE2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F36-4CE4-897F-B01B22E3AE2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F36-4CE4-897F-B01B22E3AE2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F36-4CE4-897F-B01B22E3AE2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F36-4CE4-897F-B01B22E3AE2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F36-4CE4-897F-B01B22E3AE2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F36-4CE4-897F-B01B22E3AE2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F36-4CE4-897F-B01B22E3AE2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F36-4CE4-897F-B01B22E3AE2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F36-4CE4-897F-B01B22E3AE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'Bent Search'!$BR$89:$BR$100</c:f>
              <c:numCache>
                <c:formatCode>0.000</c:formatCode>
                <c:ptCount val="12"/>
                <c:pt idx="0">
                  <c:v>11.515625</c:v>
                </c:pt>
                <c:pt idx="1">
                  <c:v>31.682291666666668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'Bent Search'!$BS$89:$BS$100</c:f>
              <c:numCache>
                <c:formatCode>General</c:formatCode>
                <c:ptCount val="12"/>
                <c:pt idx="0">
                  <c:v>-7.041666666666667</c:v>
                </c:pt>
                <c:pt idx="1">
                  <c:v>-7.041666666666667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'Bent Search'!$BQ$89:$BQ$100</c15:f>
                <c15:dlblRangeCache>
                  <c:ptCount val="12"/>
                  <c:pt idx="0">
                    <c:v>20.13 ft</c:v>
                  </c:pt>
                  <c:pt idx="1">
                    <c:v>20.21 ft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9F36-4CE4-897F-B01B22E3AE26}"/>
            </c:ext>
          </c:extLst>
        </c:ser>
        <c:ser>
          <c:idx val="43"/>
          <c:order val="42"/>
          <c:tx>
            <c:v>Other 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DB3B71A-1653-4319-8CE9-56BECFF7B82C}" type="CELLRANGE">
                      <a:rPr lang="en-US">
                        <a:solidFill>
                          <a:schemeClr val="accent3"/>
                        </a:solidFill>
                      </a:rPr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9F36-4CE4-897F-B01B22E3AE2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5C026C0-ED55-4124-B9F9-20054917C566}" type="CELLRANGE">
                      <a:rPr lang="en-US">
                        <a:solidFill>
                          <a:schemeClr val="accent3"/>
                        </a:solidFill>
                      </a:rPr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9F36-4CE4-897F-B01B22E3AE2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BB7EF07-DCA4-4B63-BE19-9A8E757DDB0D}" type="CELLRANGE">
                      <a:rPr lang="en-US">
                        <a:solidFill>
                          <a:schemeClr val="accent3"/>
                        </a:solidFill>
                      </a:rPr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9F36-4CE4-897F-B01B22E3AE2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9DA2608-A0F4-45A7-9822-4CCC3C623D40}" type="CELLRANGE">
                      <a:rPr lang="en-US">
                        <a:solidFill>
                          <a:schemeClr val="accent3"/>
                        </a:solidFill>
                      </a:rPr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9F36-4CE4-897F-B01B22E3AE2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2F7C7C1-59EF-489C-A2B3-CEF7A55A2874}" type="CELLRANGE">
                      <a:rPr lang="en-US">
                        <a:solidFill>
                          <a:schemeClr val="accent3"/>
                        </a:solidFill>
                      </a:rPr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9F36-4CE4-897F-B01B22E3AE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'Bent Search'!$BX$37:$BX$41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 formatCode="0.00">
                  <c:v>43.182291666666664</c:v>
                </c:pt>
                <c:pt idx="3">
                  <c:v>43.182291666666664</c:v>
                </c:pt>
                <c:pt idx="4">
                  <c:v>36.970458333333326</c:v>
                </c:pt>
              </c:numCache>
            </c:numRef>
          </c:xVal>
          <c:yVal>
            <c:numRef>
              <c:f>'Bent Search'!$BY$37:$BY$41</c:f>
              <c:numCache>
                <c:formatCode>General</c:formatCode>
                <c:ptCount val="5"/>
                <c:pt idx="0">
                  <c:v>0.83333333333333337</c:v>
                </c:pt>
                <c:pt idx="1">
                  <c:v>1.25</c:v>
                </c:pt>
                <c:pt idx="2">
                  <c:v>0.83333333333333337</c:v>
                </c:pt>
                <c:pt idx="3">
                  <c:v>1.25</c:v>
                </c:pt>
                <c:pt idx="4">
                  <c:v>0.83333333333333337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'Bent Search'!$BW$37:$BW$41</c15:f>
                <c15:dlblRangeCache>
                  <c:ptCount val="5"/>
                  <c:pt idx="0">
                    <c:v>2.83 ft</c:v>
                  </c:pt>
                  <c:pt idx="1">
                    <c:v>2.00 ft</c:v>
                  </c:pt>
                  <c:pt idx="2">
                    <c:v>2.83 ft</c:v>
                  </c:pt>
                  <c:pt idx="3">
                    <c:v>2.00 ft</c:v>
                  </c:pt>
                  <c:pt idx="4">
                    <c:v>5.09 ft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E-9F36-4CE4-897F-B01B22E3AE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091568"/>
        <c:axId val="1565111952"/>
      </c:scatterChart>
      <c:valAx>
        <c:axId val="1565091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5111952"/>
        <c:crosses val="autoZero"/>
        <c:crossBetween val="midCat"/>
        <c:majorUnit val="5"/>
      </c:valAx>
      <c:valAx>
        <c:axId val="1565111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5091568"/>
        <c:crosses val="autoZero"/>
        <c:crossBetween val="midCat"/>
        <c:majorUnit val="1.666667000000000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'Bent Search'!$AK$39</c:f>
          <c:strCache>
            <c:ptCount val="1"/>
            <c:pt idx="0">
              <c:v>Bent 75R - Forward Span (115')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1.7460317460317461E-2"/>
          <c:y val="0.14718253968253969"/>
          <c:w val="0.95238095238095255"/>
          <c:h val="0.79365079365079361"/>
        </c:manualLayout>
      </c:layout>
      <c:scatterChart>
        <c:scatterStyle val="lineMarker"/>
        <c:varyColors val="0"/>
        <c:ser>
          <c:idx val="11"/>
          <c:order val="0"/>
          <c:tx>
            <c:v>Edge Offset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Search'!$AP$87:$AP$92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0.00">
                  <c:v>2.8333333333333335</c:v>
                </c:pt>
                <c:pt idx="4" formatCode="0.00">
                  <c:v>2.8333333333333335</c:v>
                </c:pt>
                <c:pt idx="5" formatCode="0.00">
                  <c:v>2.8333333333333335</c:v>
                </c:pt>
              </c:numCache>
            </c:numRef>
          </c:xVal>
          <c:yVal>
            <c:numRef>
              <c:f>'Bent Search'!$AQ$87:$AQ$92</c:f>
              <c:numCache>
                <c:formatCode>General</c:formatCode>
                <c:ptCount val="6"/>
                <c:pt idx="0">
                  <c:v>0.66666666666666674</c:v>
                </c:pt>
                <c:pt idx="1">
                  <c:v>1</c:v>
                </c:pt>
                <c:pt idx="2">
                  <c:v>0.83333333333333337</c:v>
                </c:pt>
                <c:pt idx="3">
                  <c:v>0.83333333333333337</c:v>
                </c:pt>
                <c:pt idx="4">
                  <c:v>1</c:v>
                </c:pt>
                <c:pt idx="5">
                  <c:v>0.66666666666666674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BA-49BA-A201-192CC338D845}"/>
            </c:ext>
          </c:extLst>
        </c:ser>
        <c:ser>
          <c:idx val="15"/>
          <c:order val="1"/>
          <c:tx>
            <c:v>Edge Dimension rt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Search'!$AP$96:$AP$101</c:f>
              <c:numCache>
                <c:formatCode>General</c:formatCode>
                <c:ptCount val="6"/>
                <c:pt idx="0">
                  <c:v>43.182291666666664</c:v>
                </c:pt>
                <c:pt idx="1">
                  <c:v>43.182291666666664</c:v>
                </c:pt>
                <c:pt idx="2">
                  <c:v>43.182291666666664</c:v>
                </c:pt>
                <c:pt idx="3" formatCode="0.00">
                  <c:v>40.348958333333329</c:v>
                </c:pt>
                <c:pt idx="4" formatCode="0.00">
                  <c:v>40.348958333333329</c:v>
                </c:pt>
                <c:pt idx="5" formatCode="0.00">
                  <c:v>40.348958333333329</c:v>
                </c:pt>
              </c:numCache>
            </c:numRef>
          </c:xVal>
          <c:yVal>
            <c:numRef>
              <c:f>'Bent Search'!$AQ$96:$AQ$101</c:f>
              <c:numCache>
                <c:formatCode>General</c:formatCode>
                <c:ptCount val="6"/>
                <c:pt idx="0">
                  <c:v>0.66666666666666674</c:v>
                </c:pt>
                <c:pt idx="1">
                  <c:v>1</c:v>
                </c:pt>
                <c:pt idx="2">
                  <c:v>0.83333333333333337</c:v>
                </c:pt>
                <c:pt idx="3">
                  <c:v>0.83333333333333337</c:v>
                </c:pt>
                <c:pt idx="4">
                  <c:v>1</c:v>
                </c:pt>
                <c:pt idx="5">
                  <c:v>0.66666666666666674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BA-49BA-A201-192CC338D845}"/>
            </c:ext>
          </c:extLst>
        </c:ser>
        <c:ser>
          <c:idx val="13"/>
          <c:order val="2"/>
          <c:tx>
            <c:v>Clear Edge Distance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Search'!$AP$114:$AP$119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0.00">
                  <c:v>2</c:v>
                </c:pt>
                <c:pt idx="4" formatCode="0.00">
                  <c:v>2</c:v>
                </c:pt>
                <c:pt idx="5" formatCode="0.00">
                  <c:v>2</c:v>
                </c:pt>
              </c:numCache>
            </c:numRef>
          </c:xVal>
          <c:yVal>
            <c:numRef>
              <c:f>'Bent Search'!$AQ$114:$AQ$119</c:f>
              <c:numCache>
                <c:formatCode>General</c:formatCode>
                <c:ptCount val="6"/>
                <c:pt idx="0">
                  <c:v>1.0833333333333335</c:v>
                </c:pt>
                <c:pt idx="1">
                  <c:v>1.4166666666666667</c:v>
                </c:pt>
                <c:pt idx="2">
                  <c:v>1.25</c:v>
                </c:pt>
                <c:pt idx="3">
                  <c:v>1.25</c:v>
                </c:pt>
                <c:pt idx="4">
                  <c:v>1.4166666666666667</c:v>
                </c:pt>
                <c:pt idx="5">
                  <c:v>1.0833333333333335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6BA-49BA-A201-192CC338D845}"/>
            </c:ext>
          </c:extLst>
        </c:ser>
        <c:ser>
          <c:idx val="16"/>
          <c:order val="3"/>
          <c:tx>
            <c:v>Clear Edge Dist. rt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Search'!$AP$123:$AP$128</c:f>
              <c:numCache>
                <c:formatCode>General</c:formatCode>
                <c:ptCount val="6"/>
                <c:pt idx="0">
                  <c:v>43.182291666666664</c:v>
                </c:pt>
                <c:pt idx="1">
                  <c:v>43.182291666666664</c:v>
                </c:pt>
                <c:pt idx="2">
                  <c:v>43.182291666666664</c:v>
                </c:pt>
                <c:pt idx="3" formatCode="0.00">
                  <c:v>41.182291666666664</c:v>
                </c:pt>
                <c:pt idx="4" formatCode="0.00">
                  <c:v>41.182291666666664</c:v>
                </c:pt>
                <c:pt idx="5" formatCode="0.00">
                  <c:v>41.182291666666664</c:v>
                </c:pt>
              </c:numCache>
            </c:numRef>
          </c:xVal>
          <c:yVal>
            <c:numRef>
              <c:f>'Bent Search'!$AQ$123:$AQ$128</c:f>
              <c:numCache>
                <c:formatCode>General</c:formatCode>
                <c:ptCount val="6"/>
                <c:pt idx="0">
                  <c:v>1.0833333333333335</c:v>
                </c:pt>
                <c:pt idx="1">
                  <c:v>1.4166666666666667</c:v>
                </c:pt>
                <c:pt idx="2">
                  <c:v>1.25</c:v>
                </c:pt>
                <c:pt idx="3">
                  <c:v>1.25</c:v>
                </c:pt>
                <c:pt idx="4">
                  <c:v>1.4166666666666667</c:v>
                </c:pt>
                <c:pt idx="5">
                  <c:v>1.0833333333333335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BA-49BA-A201-192CC338D845}"/>
            </c:ext>
          </c:extLst>
        </c:ser>
        <c:ser>
          <c:idx val="14"/>
          <c:order val="4"/>
          <c:tx>
            <c:v>Clear Span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Search'!$AP$132:$AP$137</c:f>
              <c:numCache>
                <c:formatCode>General</c:formatCode>
                <c:ptCount val="6"/>
                <c:pt idx="0">
                  <c:v>39.515624999999993</c:v>
                </c:pt>
                <c:pt idx="1">
                  <c:v>39.515624999999993</c:v>
                </c:pt>
                <c:pt idx="2">
                  <c:v>39.515624999999993</c:v>
                </c:pt>
                <c:pt idx="3" formatCode="0.00">
                  <c:v>37.668291666666661</c:v>
                </c:pt>
                <c:pt idx="4" formatCode="0.00">
                  <c:v>37.668291666666661</c:v>
                </c:pt>
                <c:pt idx="5" formatCode="0.00">
                  <c:v>37.668291666666661</c:v>
                </c:pt>
              </c:numCache>
            </c:numRef>
          </c:xVal>
          <c:yVal>
            <c:numRef>
              <c:f>'Bent Search'!$AQ$132:$AQ$137</c:f>
              <c:numCache>
                <c:formatCode>General</c:formatCode>
                <c:ptCount val="6"/>
                <c:pt idx="0">
                  <c:v>0.66666666666666674</c:v>
                </c:pt>
                <c:pt idx="1">
                  <c:v>1</c:v>
                </c:pt>
                <c:pt idx="2">
                  <c:v>0.83333333333333337</c:v>
                </c:pt>
                <c:pt idx="3">
                  <c:v>0.83333333333333337</c:v>
                </c:pt>
                <c:pt idx="4">
                  <c:v>1</c:v>
                </c:pt>
                <c:pt idx="5">
                  <c:v>0.66666666666666674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BA-49BA-A201-192CC338D845}"/>
            </c:ext>
          </c:extLst>
        </c:ser>
        <c:ser>
          <c:idx val="10"/>
          <c:order val="5"/>
          <c:tx>
            <c:v>Roadway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Search'!$AK$75:$AK$79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43.182291666666664</c:v>
                </c:pt>
                <c:pt idx="3">
                  <c:v>43.182291666666664</c:v>
                </c:pt>
                <c:pt idx="4">
                  <c:v>0</c:v>
                </c:pt>
              </c:numCache>
            </c:numRef>
          </c:xVal>
          <c:yVal>
            <c:numRef>
              <c:f>'Bent Search'!$AL$75:$AL$79</c:f>
              <c:numCache>
                <c:formatCode>General</c:formatCode>
                <c:ptCount val="5"/>
                <c:pt idx="0">
                  <c:v>0</c:v>
                </c:pt>
                <c:pt idx="1">
                  <c:v>0.58333333333333337</c:v>
                </c:pt>
                <c:pt idx="2">
                  <c:v>0.58333333333333337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BA-49BA-A201-192CC338D845}"/>
            </c:ext>
          </c:extLst>
        </c:ser>
        <c:ser>
          <c:idx val="0"/>
          <c:order val="6"/>
          <c:tx>
            <c:v>Girder 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Search'!$AK$42:$AK$54</c:f>
              <c:numCache>
                <c:formatCode>0.000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2.5</c:v>
                </c:pt>
                <c:pt idx="3">
                  <c:v>2.5</c:v>
                </c:pt>
                <c:pt idx="4">
                  <c:v>1.7500000000000002</c:v>
                </c:pt>
                <c:pt idx="5">
                  <c:v>1.7500000000000002</c:v>
                </c:pt>
                <c:pt idx="6">
                  <c:v>3.916666666666667</c:v>
                </c:pt>
                <c:pt idx="7">
                  <c:v>3.916666666666667</c:v>
                </c:pt>
                <c:pt idx="8">
                  <c:v>3.166666666666667</c:v>
                </c:pt>
                <c:pt idx="9">
                  <c:v>3.166666666666667</c:v>
                </c:pt>
                <c:pt idx="10">
                  <c:v>3.666666666666667</c:v>
                </c:pt>
                <c:pt idx="11">
                  <c:v>3.666666666666667</c:v>
                </c:pt>
                <c:pt idx="12">
                  <c:v>2</c:v>
                </c:pt>
              </c:numCache>
            </c:numRef>
          </c:xVal>
          <c:yVal>
            <c:numRef>
              <c:f>'Bent Search'!$AK$57:$AK$69</c:f>
              <c:numCache>
                <c:formatCode>0.000</c:formatCode>
                <c:ptCount val="13"/>
                <c:pt idx="0">
                  <c:v>-8.3333333333333329E-2</c:v>
                </c:pt>
                <c:pt idx="1">
                  <c:v>-0.75</c:v>
                </c:pt>
                <c:pt idx="2">
                  <c:v>-1.2499999999999998</c:v>
                </c:pt>
                <c:pt idx="3">
                  <c:v>-3.166666666666667</c:v>
                </c:pt>
                <c:pt idx="4">
                  <c:v>-3.916666666666667</c:v>
                </c:pt>
                <c:pt idx="5">
                  <c:v>-4.583333333333333</c:v>
                </c:pt>
                <c:pt idx="6">
                  <c:v>-4.583333333333333</c:v>
                </c:pt>
                <c:pt idx="7">
                  <c:v>-3.916666666666667</c:v>
                </c:pt>
                <c:pt idx="8">
                  <c:v>-3.166666666666667</c:v>
                </c:pt>
                <c:pt idx="9">
                  <c:v>-1.2499999999999998</c:v>
                </c:pt>
                <c:pt idx="10">
                  <c:v>-0.75</c:v>
                </c:pt>
                <c:pt idx="11">
                  <c:v>-8.3333333333333329E-2</c:v>
                </c:pt>
                <c:pt idx="12">
                  <c:v>-8.3333333333333329E-2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BA-49BA-A201-192CC338D845}"/>
            </c:ext>
          </c:extLst>
        </c:ser>
        <c:ser>
          <c:idx val="1"/>
          <c:order val="7"/>
          <c:tx>
            <c:v>Girder 2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Search'!$AL$42:$AL$54</c:f>
              <c:numCache>
                <c:formatCode>0.000</c:formatCode>
                <c:ptCount val="13"/>
                <c:pt idx="0">
                  <c:v>10.5</c:v>
                </c:pt>
                <c:pt idx="1">
                  <c:v>10.5</c:v>
                </c:pt>
                <c:pt idx="2">
                  <c:v>11</c:v>
                </c:pt>
                <c:pt idx="3">
                  <c:v>11</c:v>
                </c:pt>
                <c:pt idx="4">
                  <c:v>10.25</c:v>
                </c:pt>
                <c:pt idx="5">
                  <c:v>10.25</c:v>
                </c:pt>
                <c:pt idx="6">
                  <c:v>12.416666666666666</c:v>
                </c:pt>
                <c:pt idx="7">
                  <c:v>12.416666666666666</c:v>
                </c:pt>
                <c:pt idx="8">
                  <c:v>11.666666666666666</c:v>
                </c:pt>
                <c:pt idx="9">
                  <c:v>11.666666666666666</c:v>
                </c:pt>
                <c:pt idx="10">
                  <c:v>12.166666666666666</c:v>
                </c:pt>
                <c:pt idx="11">
                  <c:v>12.166666666666666</c:v>
                </c:pt>
                <c:pt idx="12">
                  <c:v>10.5</c:v>
                </c:pt>
              </c:numCache>
            </c:numRef>
          </c:xVal>
          <c:yVal>
            <c:numRef>
              <c:f>'Bent Search'!$AL$57:$AL$69</c:f>
              <c:numCache>
                <c:formatCode>0.000</c:formatCode>
                <c:ptCount val="13"/>
                <c:pt idx="0">
                  <c:v>-8.3333333333333329E-2</c:v>
                </c:pt>
                <c:pt idx="1">
                  <c:v>-0.75</c:v>
                </c:pt>
                <c:pt idx="2">
                  <c:v>-1.2499999999999998</c:v>
                </c:pt>
                <c:pt idx="3">
                  <c:v>-3.166666666666667</c:v>
                </c:pt>
                <c:pt idx="4">
                  <c:v>-3.916666666666667</c:v>
                </c:pt>
                <c:pt idx="5">
                  <c:v>-4.583333333333333</c:v>
                </c:pt>
                <c:pt idx="6">
                  <c:v>-4.583333333333333</c:v>
                </c:pt>
                <c:pt idx="7">
                  <c:v>-3.916666666666667</c:v>
                </c:pt>
                <c:pt idx="8">
                  <c:v>-3.166666666666667</c:v>
                </c:pt>
                <c:pt idx="9">
                  <c:v>-1.2499999999999998</c:v>
                </c:pt>
                <c:pt idx="10">
                  <c:v>-0.75</c:v>
                </c:pt>
                <c:pt idx="11">
                  <c:v>-8.3333333333333329E-2</c:v>
                </c:pt>
                <c:pt idx="12">
                  <c:v>-8.3333333333333329E-2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6BA-49BA-A201-192CC338D845}"/>
            </c:ext>
          </c:extLst>
        </c:ser>
        <c:ser>
          <c:idx val="2"/>
          <c:order val="8"/>
          <c:tx>
            <c:v>Girder 3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Search'!$AM$42:$AM$54</c:f>
              <c:numCache>
                <c:formatCode>0.000</c:formatCode>
                <c:ptCount val="13"/>
                <c:pt idx="0">
                  <c:v>19.000000000000004</c:v>
                </c:pt>
                <c:pt idx="1">
                  <c:v>19.000000000000004</c:v>
                </c:pt>
                <c:pt idx="2">
                  <c:v>19.500000000000004</c:v>
                </c:pt>
                <c:pt idx="3">
                  <c:v>19.500000000000004</c:v>
                </c:pt>
                <c:pt idx="4">
                  <c:v>18.750000000000004</c:v>
                </c:pt>
                <c:pt idx="5">
                  <c:v>18.750000000000004</c:v>
                </c:pt>
                <c:pt idx="6">
                  <c:v>20.916666666666671</c:v>
                </c:pt>
                <c:pt idx="7">
                  <c:v>20.916666666666671</c:v>
                </c:pt>
                <c:pt idx="8">
                  <c:v>20.166666666666671</c:v>
                </c:pt>
                <c:pt idx="9">
                  <c:v>20.166666666666671</c:v>
                </c:pt>
                <c:pt idx="10">
                  <c:v>20.666666666666671</c:v>
                </c:pt>
                <c:pt idx="11">
                  <c:v>20.666666666666671</c:v>
                </c:pt>
                <c:pt idx="12">
                  <c:v>19.000000000000004</c:v>
                </c:pt>
              </c:numCache>
            </c:numRef>
          </c:xVal>
          <c:yVal>
            <c:numRef>
              <c:f>'Bent Search'!$AM$57:$AM$69</c:f>
              <c:numCache>
                <c:formatCode>0.000</c:formatCode>
                <c:ptCount val="13"/>
                <c:pt idx="0">
                  <c:v>-8.3333333333333329E-2</c:v>
                </c:pt>
                <c:pt idx="1">
                  <c:v>-0.75</c:v>
                </c:pt>
                <c:pt idx="2">
                  <c:v>-1.2499999999999998</c:v>
                </c:pt>
                <c:pt idx="3">
                  <c:v>-3.166666666666667</c:v>
                </c:pt>
                <c:pt idx="4">
                  <c:v>-3.916666666666667</c:v>
                </c:pt>
                <c:pt idx="5">
                  <c:v>-4.583333333333333</c:v>
                </c:pt>
                <c:pt idx="6">
                  <c:v>-4.583333333333333</c:v>
                </c:pt>
                <c:pt idx="7">
                  <c:v>-3.916666666666667</c:v>
                </c:pt>
                <c:pt idx="8">
                  <c:v>-3.166666666666667</c:v>
                </c:pt>
                <c:pt idx="9">
                  <c:v>-1.2499999999999998</c:v>
                </c:pt>
                <c:pt idx="10">
                  <c:v>-0.75</c:v>
                </c:pt>
                <c:pt idx="11">
                  <c:v>-8.3333333333333329E-2</c:v>
                </c:pt>
                <c:pt idx="12">
                  <c:v>-8.3333333333333329E-2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6BA-49BA-A201-192CC338D845}"/>
            </c:ext>
          </c:extLst>
        </c:ser>
        <c:ser>
          <c:idx val="3"/>
          <c:order val="9"/>
          <c:tx>
            <c:v>Girder 4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Search'!$AN$42:$AN$54</c:f>
              <c:numCache>
                <c:formatCode>0.000</c:formatCode>
                <c:ptCount val="13"/>
                <c:pt idx="0">
                  <c:v>27.500000000000004</c:v>
                </c:pt>
                <c:pt idx="1">
                  <c:v>27.500000000000004</c:v>
                </c:pt>
                <c:pt idx="2">
                  <c:v>28.000000000000004</c:v>
                </c:pt>
                <c:pt idx="3">
                  <c:v>28.000000000000004</c:v>
                </c:pt>
                <c:pt idx="4">
                  <c:v>27.250000000000004</c:v>
                </c:pt>
                <c:pt idx="5">
                  <c:v>27.250000000000004</c:v>
                </c:pt>
                <c:pt idx="6">
                  <c:v>29.416666666666671</c:v>
                </c:pt>
                <c:pt idx="7">
                  <c:v>29.416666666666671</c:v>
                </c:pt>
                <c:pt idx="8">
                  <c:v>28.666666666666671</c:v>
                </c:pt>
                <c:pt idx="9">
                  <c:v>28.666666666666671</c:v>
                </c:pt>
                <c:pt idx="10">
                  <c:v>29.166666666666671</c:v>
                </c:pt>
                <c:pt idx="11">
                  <c:v>29.166666666666671</c:v>
                </c:pt>
                <c:pt idx="12">
                  <c:v>27.500000000000004</c:v>
                </c:pt>
              </c:numCache>
            </c:numRef>
          </c:xVal>
          <c:yVal>
            <c:numRef>
              <c:f>'Bent Search'!$AN$57:$AN$69</c:f>
              <c:numCache>
                <c:formatCode>0.000</c:formatCode>
                <c:ptCount val="13"/>
                <c:pt idx="0">
                  <c:v>-8.3333333333333329E-2</c:v>
                </c:pt>
                <c:pt idx="1">
                  <c:v>-0.75</c:v>
                </c:pt>
                <c:pt idx="2">
                  <c:v>-1.2499999999999998</c:v>
                </c:pt>
                <c:pt idx="3">
                  <c:v>-3.166666666666667</c:v>
                </c:pt>
                <c:pt idx="4">
                  <c:v>-3.916666666666667</c:v>
                </c:pt>
                <c:pt idx="5">
                  <c:v>-4.583333333333333</c:v>
                </c:pt>
                <c:pt idx="6">
                  <c:v>-4.583333333333333</c:v>
                </c:pt>
                <c:pt idx="7">
                  <c:v>-3.916666666666667</c:v>
                </c:pt>
                <c:pt idx="8">
                  <c:v>-3.166666666666667</c:v>
                </c:pt>
                <c:pt idx="9">
                  <c:v>-1.2499999999999998</c:v>
                </c:pt>
                <c:pt idx="10">
                  <c:v>-0.75</c:v>
                </c:pt>
                <c:pt idx="11">
                  <c:v>-8.3333333333333329E-2</c:v>
                </c:pt>
                <c:pt idx="12">
                  <c:v>-8.3333333333333329E-2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6BA-49BA-A201-192CC338D845}"/>
            </c:ext>
          </c:extLst>
        </c:ser>
        <c:ser>
          <c:idx val="4"/>
          <c:order val="10"/>
          <c:tx>
            <c:v>Girder 5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Search'!$AO$42:$AO$54</c:f>
              <c:numCache>
                <c:formatCode>0.000</c:formatCode>
                <c:ptCount val="13"/>
                <c:pt idx="0">
                  <c:v>36</c:v>
                </c:pt>
                <c:pt idx="1">
                  <c:v>36</c:v>
                </c:pt>
                <c:pt idx="2">
                  <c:v>36.5</c:v>
                </c:pt>
                <c:pt idx="3">
                  <c:v>36.5</c:v>
                </c:pt>
                <c:pt idx="4">
                  <c:v>35.75</c:v>
                </c:pt>
                <c:pt idx="5">
                  <c:v>35.75</c:v>
                </c:pt>
                <c:pt idx="6">
                  <c:v>37.916666666666664</c:v>
                </c:pt>
                <c:pt idx="7">
                  <c:v>37.916666666666664</c:v>
                </c:pt>
                <c:pt idx="8">
                  <c:v>37.166666666666664</c:v>
                </c:pt>
                <c:pt idx="9">
                  <c:v>37.166666666666664</c:v>
                </c:pt>
                <c:pt idx="10">
                  <c:v>37.666666666666664</c:v>
                </c:pt>
                <c:pt idx="11">
                  <c:v>37.666666666666664</c:v>
                </c:pt>
                <c:pt idx="12">
                  <c:v>36</c:v>
                </c:pt>
              </c:numCache>
            </c:numRef>
          </c:xVal>
          <c:yVal>
            <c:numRef>
              <c:f>'Bent Search'!$AO$57:$AO$69</c:f>
              <c:numCache>
                <c:formatCode>0.000</c:formatCode>
                <c:ptCount val="13"/>
                <c:pt idx="0">
                  <c:v>-8.3333333333333329E-2</c:v>
                </c:pt>
                <c:pt idx="1">
                  <c:v>-0.75</c:v>
                </c:pt>
                <c:pt idx="2">
                  <c:v>-1.2499999999999998</c:v>
                </c:pt>
                <c:pt idx="3">
                  <c:v>-3.166666666666667</c:v>
                </c:pt>
                <c:pt idx="4">
                  <c:v>-3.916666666666667</c:v>
                </c:pt>
                <c:pt idx="5">
                  <c:v>-4.583333333333333</c:v>
                </c:pt>
                <c:pt idx="6">
                  <c:v>-4.583333333333333</c:v>
                </c:pt>
                <c:pt idx="7">
                  <c:v>-3.916666666666667</c:v>
                </c:pt>
                <c:pt idx="8">
                  <c:v>-3.166666666666667</c:v>
                </c:pt>
                <c:pt idx="9">
                  <c:v>-1.2499999999999998</c:v>
                </c:pt>
                <c:pt idx="10">
                  <c:v>-0.75</c:v>
                </c:pt>
                <c:pt idx="11">
                  <c:v>-8.3333333333333329E-2</c:v>
                </c:pt>
                <c:pt idx="12">
                  <c:v>-8.3333333333333329E-2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6BA-49BA-A201-192CC338D845}"/>
            </c:ext>
          </c:extLst>
        </c:ser>
        <c:ser>
          <c:idx val="5"/>
          <c:order val="11"/>
          <c:tx>
            <c:v>Girder 6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Search'!$AP$42:$AP$54</c:f>
              <c:numCache>
                <c:formatCode>0.000</c:formatCode>
                <c:ptCount val="13"/>
                <c:pt idx="0">
                  <c:v>39.514000000000003</c:v>
                </c:pt>
                <c:pt idx="1">
                  <c:v>39.514000000000003</c:v>
                </c:pt>
                <c:pt idx="2">
                  <c:v>40.014000000000003</c:v>
                </c:pt>
                <c:pt idx="3">
                  <c:v>40.014000000000003</c:v>
                </c:pt>
                <c:pt idx="4">
                  <c:v>39.264000000000003</c:v>
                </c:pt>
                <c:pt idx="5">
                  <c:v>39.264000000000003</c:v>
                </c:pt>
                <c:pt idx="6">
                  <c:v>41.430666666666667</c:v>
                </c:pt>
                <c:pt idx="7">
                  <c:v>41.430666666666667</c:v>
                </c:pt>
                <c:pt idx="8">
                  <c:v>40.680666666666667</c:v>
                </c:pt>
                <c:pt idx="9">
                  <c:v>40.680666666666667</c:v>
                </c:pt>
                <c:pt idx="10">
                  <c:v>41.180666666666667</c:v>
                </c:pt>
                <c:pt idx="11">
                  <c:v>41.180666666666667</c:v>
                </c:pt>
                <c:pt idx="12">
                  <c:v>39.514000000000003</c:v>
                </c:pt>
              </c:numCache>
            </c:numRef>
          </c:xVal>
          <c:yVal>
            <c:numRef>
              <c:f>'Bent Search'!$AP$57:$AP$69</c:f>
              <c:numCache>
                <c:formatCode>0.000</c:formatCode>
                <c:ptCount val="13"/>
                <c:pt idx="0">
                  <c:v>-8.3333333333333329E-2</c:v>
                </c:pt>
                <c:pt idx="1">
                  <c:v>-0.75</c:v>
                </c:pt>
                <c:pt idx="2">
                  <c:v>-1.2499999999999998</c:v>
                </c:pt>
                <c:pt idx="3">
                  <c:v>-3.166666666666667</c:v>
                </c:pt>
                <c:pt idx="4">
                  <c:v>-3.916666666666667</c:v>
                </c:pt>
                <c:pt idx="5">
                  <c:v>-4.583333333333333</c:v>
                </c:pt>
                <c:pt idx="6">
                  <c:v>-4.583333333333333</c:v>
                </c:pt>
                <c:pt idx="7">
                  <c:v>-3.916666666666667</c:v>
                </c:pt>
                <c:pt idx="8">
                  <c:v>-3.166666666666667</c:v>
                </c:pt>
                <c:pt idx="9">
                  <c:v>-1.2499999999999998</c:v>
                </c:pt>
                <c:pt idx="10">
                  <c:v>-0.75</c:v>
                </c:pt>
                <c:pt idx="11">
                  <c:v>-8.3333333333333329E-2</c:v>
                </c:pt>
                <c:pt idx="12">
                  <c:v>-8.3333333333333329E-2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B6BA-49BA-A201-192CC338D845}"/>
            </c:ext>
          </c:extLst>
        </c:ser>
        <c:ser>
          <c:idx val="6"/>
          <c:order val="12"/>
          <c:tx>
            <c:v>Girder 7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Search'!$AQ$42:$AQ$54</c:f>
              <c:numCache>
                <c:formatCode>0.000</c:formatCode>
                <c:ptCount val="13"/>
              </c:numCache>
            </c:numRef>
          </c:xVal>
          <c:yVal>
            <c:numRef>
              <c:f>'Bent Search'!$AQ$57:$AQ$69</c:f>
              <c:numCache>
                <c:formatCode>0.000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B6BA-49BA-A201-192CC338D845}"/>
            </c:ext>
          </c:extLst>
        </c:ser>
        <c:ser>
          <c:idx val="7"/>
          <c:order val="13"/>
          <c:tx>
            <c:v>Girder 8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Search'!$AR$42:$AR$54</c:f>
              <c:numCache>
                <c:formatCode>0.000</c:formatCode>
                <c:ptCount val="13"/>
              </c:numCache>
            </c:numRef>
          </c:xVal>
          <c:yVal>
            <c:numRef>
              <c:f>'Bent Search'!$AR$57:$AR$69</c:f>
              <c:numCache>
                <c:formatCode>0.000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B6BA-49BA-A201-192CC338D845}"/>
            </c:ext>
          </c:extLst>
        </c:ser>
        <c:ser>
          <c:idx val="8"/>
          <c:order val="14"/>
          <c:tx>
            <c:v>Girder 9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Search'!$AS$42:$AS$54</c:f>
              <c:numCache>
                <c:formatCode>0.000</c:formatCode>
                <c:ptCount val="13"/>
              </c:numCache>
            </c:numRef>
          </c:xVal>
          <c:yVal>
            <c:numRef>
              <c:f>'Bent Search'!$AS$57:$AS$69</c:f>
              <c:numCache>
                <c:formatCode>0.000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B6BA-49BA-A201-192CC338D845}"/>
            </c:ext>
          </c:extLst>
        </c:ser>
        <c:ser>
          <c:idx val="9"/>
          <c:order val="15"/>
          <c:tx>
            <c:v>Girder 10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Search'!$AT$42:$AT$54</c:f>
              <c:numCache>
                <c:formatCode>0.000</c:formatCode>
                <c:ptCount val="13"/>
              </c:numCache>
            </c:numRef>
          </c:xVal>
          <c:yVal>
            <c:numRef>
              <c:f>'Bent Search'!$AT$57:$AT$69</c:f>
              <c:numCache>
                <c:formatCode>0.000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B6BA-49BA-A201-192CC338D845}"/>
            </c:ext>
          </c:extLst>
        </c:ser>
        <c:ser>
          <c:idx val="17"/>
          <c:order val="16"/>
          <c:tx>
            <c:v>Girder 11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Search'!$AU$42:$AU$54</c:f>
              <c:numCache>
                <c:formatCode>0.000</c:formatCode>
                <c:ptCount val="13"/>
              </c:numCache>
            </c:numRef>
          </c:xVal>
          <c:yVal>
            <c:numRef>
              <c:f>'Bent Search'!$AU$57:$AU$69</c:f>
              <c:numCache>
                <c:formatCode>0.000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B6BA-49BA-A201-192CC338D845}"/>
            </c:ext>
          </c:extLst>
        </c:ser>
        <c:ser>
          <c:idx val="18"/>
          <c:order val="17"/>
          <c:tx>
            <c:v>Girder 12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Search'!$AV$42:$AV$54</c:f>
              <c:numCache>
                <c:formatCode>0.000</c:formatCode>
                <c:ptCount val="13"/>
              </c:numCache>
            </c:numRef>
          </c:xVal>
          <c:yVal>
            <c:numRef>
              <c:f>'Bent Search'!$AV$57:$AV$69</c:f>
              <c:numCache>
                <c:formatCode>0.000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B6BA-49BA-A201-192CC338D845}"/>
            </c:ext>
          </c:extLst>
        </c:ser>
        <c:ser>
          <c:idx val="19"/>
          <c:order val="18"/>
          <c:tx>
            <c:v>Girder 13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Search'!$AW$42:$AW$54</c:f>
              <c:numCache>
                <c:formatCode>0.000</c:formatCode>
                <c:ptCount val="13"/>
              </c:numCache>
            </c:numRef>
          </c:xVal>
          <c:yVal>
            <c:numRef>
              <c:f>'Bent Search'!$AW$57:$AW$69</c:f>
              <c:numCache>
                <c:formatCode>0.000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B6BA-49BA-A201-192CC338D845}"/>
            </c:ext>
          </c:extLst>
        </c:ser>
        <c:ser>
          <c:idx val="20"/>
          <c:order val="19"/>
          <c:tx>
            <c:v>Girder 14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Search'!$AX$42:$AX$54</c:f>
              <c:numCache>
                <c:formatCode>0.000</c:formatCode>
                <c:ptCount val="13"/>
              </c:numCache>
            </c:numRef>
          </c:xVal>
          <c:yVal>
            <c:numRef>
              <c:f>'Bent Search'!$AX$57:$AX$69</c:f>
              <c:numCache>
                <c:formatCode>0.000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B6BA-49BA-A201-192CC338D845}"/>
            </c:ext>
          </c:extLst>
        </c:ser>
        <c:ser>
          <c:idx val="21"/>
          <c:order val="20"/>
          <c:tx>
            <c:v>Girder 15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Search'!$AY$42:$AY$54</c:f>
              <c:numCache>
                <c:formatCode>0.000</c:formatCode>
                <c:ptCount val="13"/>
              </c:numCache>
            </c:numRef>
          </c:xVal>
          <c:yVal>
            <c:numRef>
              <c:f>'Bent Search'!$AY$57:$AY$69</c:f>
              <c:numCache>
                <c:formatCode>0.000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B6BA-49BA-A201-192CC338D845}"/>
            </c:ext>
          </c:extLst>
        </c:ser>
        <c:ser>
          <c:idx val="22"/>
          <c:order val="21"/>
          <c:tx>
            <c:v>Girder 16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Search'!$AZ$42:$AZ$54</c:f>
              <c:numCache>
                <c:formatCode>0.000</c:formatCode>
                <c:ptCount val="13"/>
              </c:numCache>
            </c:numRef>
          </c:xVal>
          <c:yVal>
            <c:numRef>
              <c:f>'Bent Search'!$AZ$57:$AZ$69</c:f>
              <c:numCache>
                <c:formatCode>0.000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B6BA-49BA-A201-192CC338D845}"/>
            </c:ext>
          </c:extLst>
        </c:ser>
        <c:ser>
          <c:idx val="23"/>
          <c:order val="22"/>
          <c:tx>
            <c:v>Girder 17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Search'!$BA$42:$BA$54</c:f>
              <c:numCache>
                <c:formatCode>0.000</c:formatCode>
                <c:ptCount val="13"/>
              </c:numCache>
            </c:numRef>
          </c:xVal>
          <c:yVal>
            <c:numRef>
              <c:f>'Bent Search'!$BA$57:$BA$69</c:f>
              <c:numCache>
                <c:formatCode>0.000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B6BA-49BA-A201-192CC338D845}"/>
            </c:ext>
          </c:extLst>
        </c:ser>
        <c:ser>
          <c:idx val="24"/>
          <c:order val="23"/>
          <c:tx>
            <c:v>Girder 18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Search'!$BB$42:$BB$54</c:f>
              <c:numCache>
                <c:formatCode>0.000</c:formatCode>
                <c:ptCount val="13"/>
              </c:numCache>
            </c:numRef>
          </c:xVal>
          <c:yVal>
            <c:numRef>
              <c:f>'Bent Search'!$BB$57:$BB$69</c:f>
              <c:numCache>
                <c:formatCode>0.000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B6BA-49BA-A201-192CC338D845}"/>
            </c:ext>
          </c:extLst>
        </c:ser>
        <c:ser>
          <c:idx val="25"/>
          <c:order val="24"/>
          <c:tx>
            <c:v>Girder 19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Search'!$BC$42:$BC$54</c:f>
              <c:numCache>
                <c:formatCode>0.000</c:formatCode>
                <c:ptCount val="13"/>
              </c:numCache>
            </c:numRef>
          </c:xVal>
          <c:yVal>
            <c:numRef>
              <c:f>'Bent Search'!$BC$57:$BC$69</c:f>
              <c:numCache>
                <c:formatCode>0.000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B6BA-49BA-A201-192CC338D845}"/>
            </c:ext>
          </c:extLst>
        </c:ser>
        <c:ser>
          <c:idx val="26"/>
          <c:order val="25"/>
          <c:tx>
            <c:v>Girder 20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Search'!$BD$42:$BD$54</c:f>
              <c:numCache>
                <c:formatCode>0.000</c:formatCode>
                <c:ptCount val="13"/>
              </c:numCache>
            </c:numRef>
          </c:xVal>
          <c:yVal>
            <c:numRef>
              <c:f>'Bent Search'!$BD$57:$BD$69</c:f>
              <c:numCache>
                <c:formatCode>0.000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B6BA-49BA-A201-192CC338D845}"/>
            </c:ext>
          </c:extLst>
        </c:ser>
        <c:ser>
          <c:idx val="27"/>
          <c:order val="26"/>
          <c:tx>
            <c:v>Cap Points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Search'!$AU$119:$AU$127</c:f>
              <c:numCache>
                <c:formatCode>General</c:formatCode>
                <c:ptCount val="9"/>
                <c:pt idx="0">
                  <c:v>1.4531250000000002</c:v>
                </c:pt>
                <c:pt idx="1">
                  <c:v>1.4531250000000002</c:v>
                </c:pt>
                <c:pt idx="2">
                  <c:v>41.786458333333336</c:v>
                </c:pt>
                <c:pt idx="3">
                  <c:v>41.786458333333336</c:v>
                </c:pt>
                <c:pt idx="4">
                  <c:v>1.4531250000000002</c:v>
                </c:pt>
                <c:pt idx="5">
                  <c:v>1.4531250000000002</c:v>
                </c:pt>
                <c:pt idx="6">
                  <c:v>41.786458333333336</c:v>
                </c:pt>
                <c:pt idx="7">
                  <c:v>41.786458333333336</c:v>
                </c:pt>
                <c:pt idx="8">
                  <c:v>1.4531250000000002</c:v>
                </c:pt>
              </c:numCache>
            </c:numRef>
          </c:xVal>
          <c:yVal>
            <c:numRef>
              <c:f>'Bent Search'!$AV$119:$AV$127</c:f>
              <c:numCache>
                <c:formatCode>General</c:formatCode>
                <c:ptCount val="9"/>
                <c:pt idx="0">
                  <c:v>0</c:v>
                </c:pt>
                <c:pt idx="1">
                  <c:v>-6.416666666666667</c:v>
                </c:pt>
                <c:pt idx="2">
                  <c:v>-6.416666666666667</c:v>
                </c:pt>
                <c:pt idx="3">
                  <c:v>0</c:v>
                </c:pt>
                <c:pt idx="4">
                  <c:v>0</c:v>
                </c:pt>
                <c:pt idx="5">
                  <c:v>-4.75</c:v>
                </c:pt>
                <c:pt idx="6">
                  <c:v>-4.75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B6BA-49BA-A201-192CC338D845}"/>
            </c:ext>
          </c:extLst>
        </c:ser>
        <c:ser>
          <c:idx val="28"/>
          <c:order val="27"/>
          <c:tx>
            <c:v>Col 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Search'!$AX$89:$AX$93</c:f>
              <c:numCache>
                <c:formatCode>0.0000</c:formatCode>
                <c:ptCount val="5"/>
                <c:pt idx="0">
                  <c:v>18.578125</c:v>
                </c:pt>
                <c:pt idx="1">
                  <c:v>18.578125</c:v>
                </c:pt>
                <c:pt idx="2">
                  <c:v>24.578125</c:v>
                </c:pt>
                <c:pt idx="3">
                  <c:v>24.578125</c:v>
                </c:pt>
                <c:pt idx="4">
                  <c:v>18.578125</c:v>
                </c:pt>
              </c:numCache>
            </c:numRef>
          </c:xVal>
          <c:yVal>
            <c:numRef>
              <c:f>'Bent Search'!$AX$96:$AX$100</c:f>
              <c:numCache>
                <c:formatCode>0.0000</c:formatCode>
                <c:ptCount val="5"/>
                <c:pt idx="0">
                  <c:v>-6.416666666666667</c:v>
                </c:pt>
                <c:pt idx="1">
                  <c:v>-11.416666666666668</c:v>
                </c:pt>
                <c:pt idx="2">
                  <c:v>-11.416666666666668</c:v>
                </c:pt>
                <c:pt idx="3">
                  <c:v>-6.416666666666667</c:v>
                </c:pt>
                <c:pt idx="4">
                  <c:v>-6.416666666666667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6BA-49BA-A201-192CC338D845}"/>
            </c:ext>
          </c:extLst>
        </c:ser>
        <c:ser>
          <c:idx val="29"/>
          <c:order val="28"/>
          <c:tx>
            <c:v>Col 2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Search'!$AY$89:$AY$93</c:f>
              <c:numCache>
                <c:formatCode>0.0000</c:formatCode>
                <c:ptCount val="5"/>
              </c:numCache>
            </c:numRef>
          </c:xVal>
          <c:yVal>
            <c:numRef>
              <c:f>'Bent Search'!$AY$96:$AY$100</c:f>
              <c:numCache>
                <c:formatCode>0.0000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B6BA-49BA-A201-192CC338D845}"/>
            </c:ext>
          </c:extLst>
        </c:ser>
        <c:ser>
          <c:idx val="30"/>
          <c:order val="29"/>
          <c:tx>
            <c:v>Col 3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Search'!$AZ$89:$AZ$93</c:f>
              <c:numCache>
                <c:formatCode>0.0000</c:formatCode>
                <c:ptCount val="5"/>
              </c:numCache>
            </c:numRef>
          </c:xVal>
          <c:yVal>
            <c:numRef>
              <c:f>'Bent Search'!$AZ$96:$AZ$100</c:f>
              <c:numCache>
                <c:formatCode>0.0000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B6BA-49BA-A201-192CC338D845}"/>
            </c:ext>
          </c:extLst>
        </c:ser>
        <c:ser>
          <c:idx val="31"/>
          <c:order val="30"/>
          <c:tx>
            <c:v>Col 4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Search'!$BA$89:$BA$93</c:f>
              <c:numCache>
                <c:formatCode>0.0000</c:formatCode>
                <c:ptCount val="5"/>
              </c:numCache>
            </c:numRef>
          </c:xVal>
          <c:yVal>
            <c:numRef>
              <c:f>'Bent Search'!$BA$96:$BA$100</c:f>
              <c:numCache>
                <c:formatCode>0.0000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B6BA-49BA-A201-192CC338D845}"/>
            </c:ext>
          </c:extLst>
        </c:ser>
        <c:ser>
          <c:idx val="32"/>
          <c:order val="31"/>
          <c:tx>
            <c:v>Col 5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Search'!$BB$89:$BB$93</c:f>
              <c:numCache>
                <c:formatCode>0.0000</c:formatCode>
                <c:ptCount val="5"/>
              </c:numCache>
            </c:numRef>
          </c:xVal>
          <c:yVal>
            <c:numRef>
              <c:f>'Bent Search'!$BB$96:$BB$100</c:f>
              <c:numCache>
                <c:formatCode>0.0000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B6BA-49BA-A201-192CC338D845}"/>
            </c:ext>
          </c:extLst>
        </c:ser>
        <c:ser>
          <c:idx val="33"/>
          <c:order val="32"/>
          <c:tx>
            <c:v>Col 6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Search'!$BC$89:$BC$93</c:f>
              <c:numCache>
                <c:formatCode>0.0000</c:formatCode>
                <c:ptCount val="5"/>
              </c:numCache>
            </c:numRef>
          </c:xVal>
          <c:yVal>
            <c:numRef>
              <c:f>'Bent Search'!$BC$96:$BC$100</c:f>
              <c:numCache>
                <c:formatCode>0.0000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B6BA-49BA-A201-192CC338D845}"/>
            </c:ext>
          </c:extLst>
        </c:ser>
        <c:ser>
          <c:idx val="34"/>
          <c:order val="33"/>
          <c:tx>
            <c:v>Col 7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Search'!$BD$89:$BD$93</c:f>
              <c:numCache>
                <c:formatCode>0.0000</c:formatCode>
                <c:ptCount val="5"/>
              </c:numCache>
            </c:numRef>
          </c:xVal>
          <c:yVal>
            <c:numRef>
              <c:f>'Bent Search'!$BD$96:$BD$100</c:f>
              <c:numCache>
                <c:formatCode>0.0000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B6BA-49BA-A201-192CC338D845}"/>
            </c:ext>
          </c:extLst>
        </c:ser>
        <c:ser>
          <c:idx val="35"/>
          <c:order val="34"/>
          <c:tx>
            <c:v>Col 8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Search'!$BE$89:$BE$93</c:f>
              <c:numCache>
                <c:formatCode>0.0000</c:formatCode>
                <c:ptCount val="5"/>
              </c:numCache>
            </c:numRef>
          </c:xVal>
          <c:yVal>
            <c:numRef>
              <c:f>'Bent Search'!$BE$96:$BE$100</c:f>
              <c:numCache>
                <c:formatCode>0.0000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B6BA-49BA-A201-192CC338D845}"/>
            </c:ext>
          </c:extLst>
        </c:ser>
        <c:ser>
          <c:idx val="36"/>
          <c:order val="35"/>
          <c:tx>
            <c:v>Col 9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Search'!$BF$89:$BF$93</c:f>
              <c:numCache>
                <c:formatCode>0.0000</c:formatCode>
                <c:ptCount val="5"/>
              </c:numCache>
            </c:numRef>
          </c:xVal>
          <c:yVal>
            <c:numRef>
              <c:f>'Bent Search'!$BF$96:$BF$100</c:f>
              <c:numCache>
                <c:formatCode>0.0000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B6BA-49BA-A201-192CC338D845}"/>
            </c:ext>
          </c:extLst>
        </c:ser>
        <c:ser>
          <c:idx val="37"/>
          <c:order val="36"/>
          <c:tx>
            <c:v>Col 10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'Bent Search'!$BG$89:$BG$93</c:f>
              <c:numCache>
                <c:formatCode>0.0000</c:formatCode>
                <c:ptCount val="5"/>
              </c:numCache>
            </c:numRef>
          </c:xVal>
          <c:yVal>
            <c:numRef>
              <c:f>'Bent Search'!$BG$96:$BG$100</c:f>
              <c:numCache>
                <c:formatCode>0.0000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B6BA-49BA-A201-192CC338D845}"/>
            </c:ext>
          </c:extLst>
        </c:ser>
        <c:ser>
          <c:idx val="38"/>
          <c:order val="37"/>
          <c:tx>
            <c:v>Plot Area Fix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xVal>
            <c:numRef>
              <c:f>'Bent Search'!$AU$81:$AU$82</c:f>
              <c:numCache>
                <c:formatCode>0.0</c:formatCode>
                <c:ptCount val="2"/>
                <c:pt idx="0" formatCode="General">
                  <c:v>-2.5</c:v>
                </c:pt>
                <c:pt idx="1">
                  <c:v>47.5</c:v>
                </c:pt>
              </c:numCache>
            </c:numRef>
          </c:xVal>
          <c:yVal>
            <c:numRef>
              <c:f>'Bent Search'!$AV$81:$AV$82</c:f>
              <c:numCache>
                <c:formatCode>0.0</c:formatCode>
                <c:ptCount val="2"/>
                <c:pt idx="0" formatCode="General">
                  <c:v>-12.500000000000002</c:v>
                </c:pt>
                <c:pt idx="1">
                  <c:v>4.1666666666666643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33-45DE-8816-77109D89C13E}"/>
            </c:ext>
          </c:extLst>
        </c:ser>
        <c:ser>
          <c:idx val="39"/>
          <c:order val="38"/>
          <c:tx>
            <c:v>Bm Spacing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percentage"/>
            <c:noEndCap val="1"/>
            <c:val val="10"/>
            <c:spPr>
              <a:noFill/>
              <a:ln w="19050" cap="flat" cmpd="sng" algn="ctr">
                <a:solidFill>
                  <a:schemeClr val="accent3"/>
                </a:solidFill>
                <a:round/>
              </a:ln>
              <a:effectLst/>
            </c:spPr>
          </c:errBars>
          <c:xVal>
            <c:numRef>
              <c:f>'Bent Search'!$BJ$63:$BJ$82</c:f>
              <c:numCache>
                <c:formatCode>0.00</c:formatCode>
                <c:ptCount val="20"/>
                <c:pt idx="0">
                  <c:v>2.8333333333333335</c:v>
                </c:pt>
                <c:pt idx="1">
                  <c:v>11.333333333333334</c:v>
                </c:pt>
                <c:pt idx="2">
                  <c:v>19.833333333333336</c:v>
                </c:pt>
                <c:pt idx="3">
                  <c:v>28.333333333333336</c:v>
                </c:pt>
                <c:pt idx="4">
                  <c:v>36.833333333333336</c:v>
                </c:pt>
                <c:pt idx="5">
                  <c:v>40.347333333333339</c:v>
                </c:pt>
              </c:numCache>
            </c:numRef>
          </c:xVal>
          <c:yVal>
            <c:numRef>
              <c:f>'Bent Search'!$BK$63:$BK$82</c:f>
              <c:numCache>
                <c:formatCode>0.00</c:formatCode>
                <c:ptCount val="20"/>
                <c:pt idx="0">
                  <c:v>-2.1217948717948718</c:v>
                </c:pt>
                <c:pt idx="1">
                  <c:v>-2.1217948717948718</c:v>
                </c:pt>
                <c:pt idx="2">
                  <c:v>-2.1217948717948718</c:v>
                </c:pt>
                <c:pt idx="3">
                  <c:v>-2.1217948717948718</c:v>
                </c:pt>
                <c:pt idx="4">
                  <c:v>-2.1217948717948718</c:v>
                </c:pt>
                <c:pt idx="5">
                  <c:v>-2.1217948717948718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56-46E6-8A39-83192ADF578F}"/>
            </c:ext>
          </c:extLst>
        </c:ser>
        <c:ser>
          <c:idx val="40"/>
          <c:order val="39"/>
          <c:tx>
            <c:v>Bm Spacing 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937958A-39CE-4E92-B366-80D7FB9F1B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656-46E6-8A39-83192ADF578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866F20-CE55-4E85-88E4-4F33669F4E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656-46E6-8A39-83192ADF578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03862F5-9B53-41A2-A66C-AF1967E4D5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656-46E6-8A39-83192ADF578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A764312-CF41-4A4D-AC60-9A3231B758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656-46E6-8A39-83192ADF578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31CA8CB-E465-4D40-B300-FAFE01D5A8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656-46E6-8A39-83192ADF578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656-46E6-8A39-83192ADF578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656-46E6-8A39-83192ADF578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656-46E6-8A39-83192ADF578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656-46E6-8A39-83192ADF578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656-46E6-8A39-83192ADF578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656-46E6-8A39-83192ADF578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656-46E6-8A39-83192ADF578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656-46E6-8A39-83192ADF578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656-46E6-8A39-83192ADF578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656-46E6-8A39-83192ADF578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656-46E6-8A39-83192ADF578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656-46E6-8A39-83192ADF578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656-46E6-8A39-83192ADF578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656-46E6-8A39-83192ADF578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656-46E6-8A39-83192ADF57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'Bent Search'!$BQ$63:$BQ$82</c:f>
              <c:numCache>
                <c:formatCode>0.000</c:formatCode>
                <c:ptCount val="20"/>
                <c:pt idx="0">
                  <c:v>7.0833333333333339</c:v>
                </c:pt>
                <c:pt idx="1">
                  <c:v>15.583333333333336</c:v>
                </c:pt>
                <c:pt idx="2">
                  <c:v>24.083333333333336</c:v>
                </c:pt>
                <c:pt idx="3">
                  <c:v>32.583333333333336</c:v>
                </c:pt>
                <c:pt idx="4">
                  <c:v>38.590333333333334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'Bent Search'!$BR$63:$BR$82</c:f>
              <c:numCache>
                <c:formatCode>0.000</c:formatCode>
                <c:ptCount val="20"/>
                <c:pt idx="0">
                  <c:v>-2.1217948717948718</c:v>
                </c:pt>
                <c:pt idx="1">
                  <c:v>-2.1217948717948718</c:v>
                </c:pt>
                <c:pt idx="2">
                  <c:v>-2.1217948717948718</c:v>
                </c:pt>
                <c:pt idx="3">
                  <c:v>-2.1217948717948718</c:v>
                </c:pt>
                <c:pt idx="4">
                  <c:v>-2.1217948717948718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'Bent Search'!$BP$63:$BP$82</c15:f>
                <c15:dlblRangeCache>
                  <c:ptCount val="20"/>
                  <c:pt idx="0">
                    <c:v>8.50 ft</c:v>
                  </c:pt>
                  <c:pt idx="1">
                    <c:v>8.50 ft</c:v>
                  </c:pt>
                  <c:pt idx="2">
                    <c:v>8.50 ft</c:v>
                  </c:pt>
                  <c:pt idx="3">
                    <c:v>8.50 ft</c:v>
                  </c:pt>
                  <c:pt idx="4">
                    <c:v>3.51 ft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3656-46E6-8A39-83192ADF578F}"/>
            </c:ext>
          </c:extLst>
        </c:ser>
        <c:ser>
          <c:idx val="41"/>
          <c:order val="40"/>
          <c:tx>
            <c:v>Column Spacing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fixedVal"/>
            <c:noEndCap val="1"/>
            <c:val val="0.30000000000000004"/>
            <c:spPr>
              <a:noFill/>
              <a:ln w="19050" cap="flat" cmpd="sng" algn="ctr">
                <a:solidFill>
                  <a:schemeClr val="accent3"/>
                </a:solidFill>
                <a:round/>
              </a:ln>
              <a:effectLst/>
            </c:spPr>
          </c:errBars>
          <c:xVal>
            <c:numRef>
              <c:f>'Bent Search'!$BL$89:$BL$100</c:f>
              <c:numCache>
                <c:formatCode>0.000</c:formatCode>
                <c:ptCount val="12"/>
                <c:pt idx="0" formatCode="General">
                  <c:v>1.4531250000000002</c:v>
                </c:pt>
                <c:pt idx="1">
                  <c:v>21.578125</c:v>
                </c:pt>
                <c:pt idx="2" formatCode="General">
                  <c:v>41.786458333333336</c:v>
                </c:pt>
              </c:numCache>
            </c:numRef>
          </c:xVal>
          <c:yVal>
            <c:numRef>
              <c:f>'Bent Search'!$BM$89:$BM$100</c:f>
              <c:numCache>
                <c:formatCode>General</c:formatCode>
                <c:ptCount val="12"/>
                <c:pt idx="0">
                  <c:v>-7.041666666666667</c:v>
                </c:pt>
                <c:pt idx="1">
                  <c:v>-7.041666666666667</c:v>
                </c:pt>
                <c:pt idx="2">
                  <c:v>-7.041666666666667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56-46E6-8A39-83192ADF578F}"/>
            </c:ext>
          </c:extLst>
        </c:ser>
        <c:ser>
          <c:idx val="42"/>
          <c:order val="41"/>
          <c:tx>
            <c:v>Column Spacing 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B081E14-05D9-4105-A656-33136B1421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656-46E6-8A39-83192ADF578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857F44E-AE6E-457E-9EAB-7C9F5D089F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656-46E6-8A39-83192ADF578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656-46E6-8A39-83192ADF578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656-46E6-8A39-83192ADF578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656-46E6-8A39-83192ADF578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656-46E6-8A39-83192ADF578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656-46E6-8A39-83192ADF578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656-46E6-8A39-83192ADF578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656-46E6-8A39-83192ADF578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656-46E6-8A39-83192ADF578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656-46E6-8A39-83192ADF578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656-46E6-8A39-83192ADF57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'Bent Search'!$BR$89:$BR$100</c:f>
              <c:numCache>
                <c:formatCode>0.000</c:formatCode>
                <c:ptCount val="12"/>
                <c:pt idx="0">
                  <c:v>11.515625</c:v>
                </c:pt>
                <c:pt idx="1">
                  <c:v>31.682291666666668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'Bent Search'!$BS$89:$BS$100</c:f>
              <c:numCache>
                <c:formatCode>General</c:formatCode>
                <c:ptCount val="12"/>
                <c:pt idx="0">
                  <c:v>-7.041666666666667</c:v>
                </c:pt>
                <c:pt idx="1">
                  <c:v>-7.041666666666667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'Bent Search'!$BQ$89:$BQ$100</c15:f>
                <c15:dlblRangeCache>
                  <c:ptCount val="12"/>
                  <c:pt idx="0">
                    <c:v>20.13 ft</c:v>
                  </c:pt>
                  <c:pt idx="1">
                    <c:v>20.21 ft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3656-46E6-8A39-83192ADF578F}"/>
            </c:ext>
          </c:extLst>
        </c:ser>
        <c:ser>
          <c:idx val="43"/>
          <c:order val="42"/>
          <c:tx>
            <c:v>Other Lables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01A9177-98EF-4BD9-98CE-C94E9EDD5BCD}" type="CELLRANGE">
                      <a:rPr lang="en-US">
                        <a:solidFill>
                          <a:schemeClr val="accent3"/>
                        </a:solidFill>
                      </a:rPr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3656-46E6-8A39-83192ADF578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FA27BE9-C248-4978-8B6E-4E19809830E8}" type="CELLRANGE">
                      <a:rPr lang="en-US">
                        <a:solidFill>
                          <a:schemeClr val="accent3"/>
                        </a:solidFill>
                      </a:rPr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3656-46E6-8A39-83192ADF578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B83C97E-112B-4731-B602-FB18543636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656-46E6-8A39-83192ADF578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2D390BB-622F-42EA-A5EE-8BB7A4B030A2}" type="CELLRANGE">
                      <a:rPr lang="en-US">
                        <a:solidFill>
                          <a:schemeClr val="accent3"/>
                        </a:solidFill>
                      </a:rPr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3656-46E6-8A39-83192ADF578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F85551-7DEB-4894-9DA8-65F97BCE6CB0}" type="CELLRANGE">
                      <a:rPr lang="en-US">
                        <a:solidFill>
                          <a:schemeClr val="accent3"/>
                        </a:solidFill>
                      </a:rPr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3656-46E6-8A39-83192ADF57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'Bent Search'!$BX$62:$BX$66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 formatCode="0.00">
                  <c:v>43.182291666666664</c:v>
                </c:pt>
                <c:pt idx="3">
                  <c:v>43.182291666666664</c:v>
                </c:pt>
                <c:pt idx="4">
                  <c:v>38.591958333333324</c:v>
                </c:pt>
              </c:numCache>
            </c:numRef>
          </c:xVal>
          <c:yVal>
            <c:numRef>
              <c:f>'Bent Search'!$BY$62:$BY$66</c:f>
              <c:numCache>
                <c:formatCode>General</c:formatCode>
                <c:ptCount val="5"/>
                <c:pt idx="0">
                  <c:v>0.83333333333333337</c:v>
                </c:pt>
                <c:pt idx="1">
                  <c:v>1.25</c:v>
                </c:pt>
                <c:pt idx="2">
                  <c:v>0.83333333333333337</c:v>
                </c:pt>
                <c:pt idx="3">
                  <c:v>1.25</c:v>
                </c:pt>
                <c:pt idx="4">
                  <c:v>0.83333333333333337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'Bent Search'!$BW$62:$BW$66</c15:f>
                <c15:dlblRangeCache>
                  <c:ptCount val="5"/>
                  <c:pt idx="0">
                    <c:v>2.83 ft</c:v>
                  </c:pt>
                  <c:pt idx="1">
                    <c:v>2.00 ft</c:v>
                  </c:pt>
                  <c:pt idx="2">
                    <c:v>2.83 ft</c:v>
                  </c:pt>
                  <c:pt idx="3">
                    <c:v>2.00 ft</c:v>
                  </c:pt>
                  <c:pt idx="4">
                    <c:v>1.85 ft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3656-46E6-8A39-83192ADF5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091568"/>
        <c:axId val="1565111952"/>
      </c:scatterChart>
      <c:valAx>
        <c:axId val="1565091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5111952"/>
        <c:crosses val="autoZero"/>
        <c:crossBetween val="midCat"/>
        <c:majorUnit val="5"/>
      </c:valAx>
      <c:valAx>
        <c:axId val="156511195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65091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'Bent Search'!$O$98</c:f>
          <c:strCache>
            <c:ptCount val="1"/>
            <c:pt idx="0">
              <c:v>Bent 75R - Interior Girder Ledge Capacity Ratios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'Bent Search'!$AS$222</c:f>
              <c:strCache>
                <c:ptCount val="1"/>
                <c:pt idx="0">
                  <c:v>Under Capacity (&gt;1.0)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  <a:effectLst/>
          </c:spPr>
          <c:cat>
            <c:strRef>
              <c:f>'Bent Search'!$AT$225:$AT$232</c:f>
              <c:strCache>
                <c:ptCount val="8"/>
                <c:pt idx="0">
                  <c:v>Punching Shear Ratio </c:v>
                </c:pt>
                <c:pt idx="1">
                  <c:v>Bearing Ratio </c:v>
                </c:pt>
                <c:pt idx="2">
                  <c:v>Bar M Development Length Ratio </c:v>
                </c:pt>
                <c:pt idx="3">
                  <c:v>Ledge Flexure Ratio </c:v>
                </c:pt>
                <c:pt idx="4">
                  <c:v>Shear Friction Ratio </c:v>
                </c:pt>
                <c:pt idx="5">
                  <c:v>Mid Corbel Bar Ratio </c:v>
                </c:pt>
                <c:pt idx="6">
                  <c:v>Hanger Strength Ratio </c:v>
                </c:pt>
                <c:pt idx="7">
                  <c:v>Hanger Service Ratio </c:v>
                </c:pt>
              </c:strCache>
            </c:strRef>
          </c:cat>
          <c:val>
            <c:numRef>
              <c:f>'Bent Search'!$AU$225:$AU$232</c:f>
              <c:numCache>
                <c:formatCode>0.00</c:formatCode>
                <c:ptCount val="8"/>
                <c:pt idx="0">
                  <c:v>4.5299475717301299</c:v>
                </c:pt>
                <c:pt idx="1">
                  <c:v>4.5299475717301299</c:v>
                </c:pt>
                <c:pt idx="2">
                  <c:v>4.5299475717301299</c:v>
                </c:pt>
                <c:pt idx="3">
                  <c:v>4.5299475717301299</c:v>
                </c:pt>
                <c:pt idx="4">
                  <c:v>4.5299475717301299</c:v>
                </c:pt>
                <c:pt idx="5">
                  <c:v>4.5299475717301299</c:v>
                </c:pt>
                <c:pt idx="6">
                  <c:v>4.5299475717301299</c:v>
                </c:pt>
                <c:pt idx="7">
                  <c:v>4.5299475717301299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61-4D1C-8F0E-3352E7FF7334}"/>
            </c:ext>
          </c:extLst>
        </c:ser>
        <c:ser>
          <c:idx val="2"/>
          <c:order val="1"/>
          <c:tx>
            <c:strRef>
              <c:f>'Bent Search'!$AU$222</c:f>
              <c:strCache>
                <c:ptCount val="1"/>
                <c:pt idx="0">
                  <c:v>OK (&gt;0.8 &amp; &lt;=1.0)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strRef>
              <c:f>'Bent Search'!$AT$225:$AT$232</c:f>
              <c:strCache>
                <c:ptCount val="8"/>
                <c:pt idx="0">
                  <c:v>Punching Shear Ratio </c:v>
                </c:pt>
                <c:pt idx="1">
                  <c:v>Bearing Ratio </c:v>
                </c:pt>
                <c:pt idx="2">
                  <c:v>Bar M Development Length Ratio </c:v>
                </c:pt>
                <c:pt idx="3">
                  <c:v>Ledge Flexure Ratio </c:v>
                </c:pt>
                <c:pt idx="4">
                  <c:v>Shear Friction Ratio </c:v>
                </c:pt>
                <c:pt idx="5">
                  <c:v>Mid Corbel Bar Ratio </c:v>
                </c:pt>
                <c:pt idx="6">
                  <c:v>Hanger Strength Ratio </c:v>
                </c:pt>
                <c:pt idx="7">
                  <c:v>Hanger Service Ratio </c:v>
                </c:pt>
              </c:strCache>
            </c:strRef>
          </c:cat>
          <c:val>
            <c:numRef>
              <c:f>'Bent Search'!$AV$225:$AV$232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61-4D1C-8F0E-3352E7FF7334}"/>
            </c:ext>
          </c:extLst>
        </c:ser>
        <c:ser>
          <c:idx val="3"/>
          <c:order val="2"/>
          <c:tx>
            <c:strRef>
              <c:f>'Bent Search'!$AW$222</c:f>
              <c:strCache>
                <c:ptCount val="1"/>
                <c:pt idx="0">
                  <c:v>Good (&lt;=0.8)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strRef>
              <c:f>'Bent Search'!$AT$225:$AT$232</c:f>
              <c:strCache>
                <c:ptCount val="8"/>
                <c:pt idx="0">
                  <c:v>Punching Shear Ratio </c:v>
                </c:pt>
                <c:pt idx="1">
                  <c:v>Bearing Ratio </c:v>
                </c:pt>
                <c:pt idx="2">
                  <c:v>Bar M Development Length Ratio </c:v>
                </c:pt>
                <c:pt idx="3">
                  <c:v>Ledge Flexure Ratio </c:v>
                </c:pt>
                <c:pt idx="4">
                  <c:v>Shear Friction Ratio </c:v>
                </c:pt>
                <c:pt idx="5">
                  <c:v>Mid Corbel Bar Ratio </c:v>
                </c:pt>
                <c:pt idx="6">
                  <c:v>Hanger Strength Ratio </c:v>
                </c:pt>
                <c:pt idx="7">
                  <c:v>Hanger Service Ratio </c:v>
                </c:pt>
              </c:strCache>
            </c:strRef>
          </c:cat>
          <c:val>
            <c:numRef>
              <c:f>'Bent Search'!$AW$225:$AW$232</c:f>
              <c:numCache>
                <c:formatCode>General</c:formatCode>
                <c:ptCount val="8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61-4D1C-8F0E-3352E7FF7334}"/>
            </c:ext>
          </c:extLst>
        </c:ser>
        <c:ser>
          <c:idx val="4"/>
          <c:order val="3"/>
          <c:tx>
            <c:v>DC_ratio</c:v>
          </c:tx>
          <c:spPr>
            <a:noFill/>
            <a:ln w="38100">
              <a:solidFill>
                <a:schemeClr val="tx1"/>
              </a:solidFill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'Bent Search'!$AT$225:$AT$232</c:f>
              <c:strCache>
                <c:ptCount val="8"/>
                <c:pt idx="0">
                  <c:v>Punching Shear Ratio </c:v>
                </c:pt>
                <c:pt idx="1">
                  <c:v>Bearing Ratio </c:v>
                </c:pt>
                <c:pt idx="2">
                  <c:v>Bar M Development Length Ratio </c:v>
                </c:pt>
                <c:pt idx="3">
                  <c:v>Ledge Flexure Ratio </c:v>
                </c:pt>
                <c:pt idx="4">
                  <c:v>Shear Friction Ratio </c:v>
                </c:pt>
                <c:pt idx="5">
                  <c:v>Mid Corbel Bar Ratio </c:v>
                </c:pt>
                <c:pt idx="6">
                  <c:v>Hanger Strength Ratio </c:v>
                </c:pt>
                <c:pt idx="7">
                  <c:v>Hanger Service Ratio </c:v>
                </c:pt>
              </c:strCache>
            </c:strRef>
          </c:cat>
          <c:val>
            <c:numRef>
              <c:f>'Bent Search'!$W$105:$W$112</c:f>
              <c:numCache>
                <c:formatCode>0.00</c:formatCode>
                <c:ptCount val="8"/>
                <c:pt idx="0">
                  <c:v>0.41299832278654547</c:v>
                </c:pt>
                <c:pt idx="1">
                  <c:v>0.42909825985884587</c:v>
                </c:pt>
                <c:pt idx="2">
                  <c:v>1.701233047808568</c:v>
                </c:pt>
                <c:pt idx="3">
                  <c:v>0.18246591154140526</c:v>
                </c:pt>
                <c:pt idx="4">
                  <c:v>0.69942843549982014</c:v>
                </c:pt>
                <c:pt idx="5">
                  <c:v>2.7026585531238831</c:v>
                </c:pt>
                <c:pt idx="6">
                  <c:v>-3.3883048422302728</c:v>
                </c:pt>
                <c:pt idx="7">
                  <c:v>-3.0314430804503179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61-4D1C-8F0E-3352E7FF7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028768"/>
        <c:axId val="1807024608"/>
      </c:radarChart>
      <c:catAx>
        <c:axId val="1807028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7024608"/>
        <c:crosses val="autoZero"/>
        <c:auto val="1"/>
        <c:lblAlgn val="ctr"/>
        <c:lblOffset val="100"/>
        <c:noMultiLvlLbl val="0"/>
      </c:catAx>
      <c:valAx>
        <c:axId val="180702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7028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'Bent Search'!$O$128</c:f>
          <c:strCache>
            <c:ptCount val="1"/>
            <c:pt idx="0">
              <c:v>Bent 75R - Whole Section Capacity Ratios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'Bent Search'!$AK$237</c:f>
              <c:strCache>
                <c:ptCount val="1"/>
                <c:pt idx="0">
                  <c:v>Under Capacity (&gt;1.0)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  <a:effectLst/>
          </c:spPr>
          <c:cat>
            <c:strRef>
              <c:f>'Bent Search'!$AL$240:$AL$245</c:f>
              <c:strCache>
                <c:ptCount val="6"/>
                <c:pt idx="0">
                  <c:v>Web Shear Strength Ratio </c:v>
                </c:pt>
                <c:pt idx="1">
                  <c:v>Shear w Torsion Ratio </c:v>
                </c:pt>
                <c:pt idx="2">
                  <c:v>Torsion w Shear Ratio </c:v>
                </c:pt>
                <c:pt idx="3">
                  <c:v>Skin Reinforcement Ratio </c:v>
                </c:pt>
                <c:pt idx="4">
                  <c:v>Moment Strength Ratio </c:v>
                </c:pt>
                <c:pt idx="5">
                  <c:v>Moment Service Ratio </c:v>
                </c:pt>
              </c:strCache>
            </c:strRef>
          </c:cat>
          <c:val>
            <c:numRef>
              <c:f>'Bent Search'!$AM$240:$AM$245</c:f>
              <c:numCache>
                <c:formatCode>0.00</c:formatCode>
                <c:ptCount val="6"/>
                <c:pt idx="0">
                  <c:v>3.385957525806452</c:v>
                </c:pt>
                <c:pt idx="1">
                  <c:v>3.385957525806452</c:v>
                </c:pt>
                <c:pt idx="2">
                  <c:v>3.385957525806452</c:v>
                </c:pt>
                <c:pt idx="3">
                  <c:v>3.385957525806452</c:v>
                </c:pt>
                <c:pt idx="4">
                  <c:v>3.385957525806452</c:v>
                </c:pt>
                <c:pt idx="5">
                  <c:v>3.385957525806452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E0-4608-8D20-A77E0B271C84}"/>
            </c:ext>
          </c:extLst>
        </c:ser>
        <c:ser>
          <c:idx val="2"/>
          <c:order val="1"/>
          <c:tx>
            <c:strRef>
              <c:f>'Bent Search'!$AM$237</c:f>
              <c:strCache>
                <c:ptCount val="1"/>
                <c:pt idx="0">
                  <c:v>OK (&gt;0.8 &amp; &lt;=1.0)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strRef>
              <c:f>'Bent Search'!$AL$240:$AL$245</c:f>
              <c:strCache>
                <c:ptCount val="6"/>
                <c:pt idx="0">
                  <c:v>Web Shear Strength Ratio </c:v>
                </c:pt>
                <c:pt idx="1">
                  <c:v>Shear w Torsion Ratio </c:v>
                </c:pt>
                <c:pt idx="2">
                  <c:v>Torsion w Shear Ratio </c:v>
                </c:pt>
                <c:pt idx="3">
                  <c:v>Skin Reinforcement Ratio </c:v>
                </c:pt>
                <c:pt idx="4">
                  <c:v>Moment Strength Ratio </c:v>
                </c:pt>
                <c:pt idx="5">
                  <c:v>Moment Service Ratio </c:v>
                </c:pt>
              </c:strCache>
            </c:strRef>
          </c:cat>
          <c:val>
            <c:numRef>
              <c:f>'Bent Search'!$AN$240:$AN$245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E0-4608-8D20-A77E0B271C84}"/>
            </c:ext>
          </c:extLst>
        </c:ser>
        <c:ser>
          <c:idx val="3"/>
          <c:order val="2"/>
          <c:tx>
            <c:strRef>
              <c:f>'Bent Search'!$AO$237</c:f>
              <c:strCache>
                <c:ptCount val="1"/>
                <c:pt idx="0">
                  <c:v>Good (&lt;=0.8)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strRef>
              <c:f>'Bent Search'!$AL$240:$AL$245</c:f>
              <c:strCache>
                <c:ptCount val="6"/>
                <c:pt idx="0">
                  <c:v>Web Shear Strength Ratio </c:v>
                </c:pt>
                <c:pt idx="1">
                  <c:v>Shear w Torsion Ratio </c:v>
                </c:pt>
                <c:pt idx="2">
                  <c:v>Torsion w Shear Ratio </c:v>
                </c:pt>
                <c:pt idx="3">
                  <c:v>Skin Reinforcement Ratio </c:v>
                </c:pt>
                <c:pt idx="4">
                  <c:v>Moment Strength Ratio </c:v>
                </c:pt>
                <c:pt idx="5">
                  <c:v>Moment Service Ratio </c:v>
                </c:pt>
              </c:strCache>
            </c:strRef>
          </c:cat>
          <c:val>
            <c:numRef>
              <c:f>'Bent Search'!$AO$240:$AO$245</c:f>
              <c:numCache>
                <c:formatCode>General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E0-4608-8D20-A77E0B271C84}"/>
            </c:ext>
          </c:extLst>
        </c:ser>
        <c:ser>
          <c:idx val="4"/>
          <c:order val="3"/>
          <c:tx>
            <c:v>DC_ratio</c:v>
          </c:tx>
          <c:spPr>
            <a:noFill/>
            <a:ln w="38100">
              <a:solidFill>
                <a:schemeClr val="tx1"/>
              </a:solidFill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'Bent Search'!$AL$240:$AL$245</c:f>
              <c:strCache>
                <c:ptCount val="6"/>
                <c:pt idx="0">
                  <c:v>Web Shear Strength Ratio </c:v>
                </c:pt>
                <c:pt idx="1">
                  <c:v>Shear w Torsion Ratio </c:v>
                </c:pt>
                <c:pt idx="2">
                  <c:v>Torsion w Shear Ratio </c:v>
                </c:pt>
                <c:pt idx="3">
                  <c:v>Skin Reinforcement Ratio </c:v>
                </c:pt>
                <c:pt idx="4">
                  <c:v>Moment Strength Ratio </c:v>
                </c:pt>
                <c:pt idx="5">
                  <c:v>Moment Service Ratio </c:v>
                </c:pt>
              </c:strCache>
            </c:strRef>
          </c:cat>
          <c:val>
            <c:numRef>
              <c:f>'Bent Search'!$W$142:$W$147</c:f>
              <c:numCache>
                <c:formatCode>0.00</c:formatCode>
                <c:ptCount val="6"/>
                <c:pt idx="0">
                  <c:v>0.93824597990937109</c:v>
                </c:pt>
                <c:pt idx="1">
                  <c:v>1.2620632241608261</c:v>
                </c:pt>
                <c:pt idx="2">
                  <c:v>1.5146680878437018</c:v>
                </c:pt>
                <c:pt idx="3">
                  <c:v>2.5859575258064522</c:v>
                </c:pt>
                <c:pt idx="4">
                  <c:v>1.0644135359017084</c:v>
                </c:pt>
                <c:pt idx="5">
                  <c:v>1.192289651305916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E0-4608-8D20-A77E0B271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028768"/>
        <c:axId val="1807024608"/>
      </c:radarChart>
      <c:catAx>
        <c:axId val="1807028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7024608"/>
        <c:crosses val="autoZero"/>
        <c:auto val="1"/>
        <c:lblAlgn val="ctr"/>
        <c:lblOffset val="100"/>
        <c:noMultiLvlLbl val="0"/>
      </c:catAx>
      <c:valAx>
        <c:axId val="180702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7028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'Girder Geometries'!$G$25</c:f>
          <c:strCache>
            <c:ptCount val="1"/>
            <c:pt idx="0">
              <c:v>Tx34 Girder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'Girder Geometries'!$D$25</c:f>
              <c:strCache>
                <c:ptCount val="1"/>
                <c:pt idx="0">
                  <c:v>Tx_y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'Girder Geometries'!$C$26:$C$38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1.2083333333333333</c:v>
                </c:pt>
                <c:pt idx="3">
                  <c:v>1.2083333333333333</c:v>
                </c:pt>
                <c:pt idx="4">
                  <c:v>0.16666666666666674</c:v>
                </c:pt>
                <c:pt idx="5">
                  <c:v>0.16666666666666674</c:v>
                </c:pt>
                <c:pt idx="6" formatCode="0.00">
                  <c:v>2.833333333333333</c:v>
                </c:pt>
                <c:pt idx="7" formatCode="0.00">
                  <c:v>2.833333333333333</c:v>
                </c:pt>
                <c:pt idx="8">
                  <c:v>1.7916666666666667</c:v>
                </c:pt>
                <c:pt idx="9">
                  <c:v>1.7916666666666667</c:v>
                </c:pt>
                <c:pt idx="10" formatCode="0.00">
                  <c:v>3</c:v>
                </c:pt>
                <c:pt idx="11" formatCode="0.00">
                  <c:v>3</c:v>
                </c:pt>
                <c:pt idx="12">
                  <c:v>0</c:v>
                </c:pt>
              </c:numCache>
            </c:numRef>
          </c:xVal>
          <c:yVal>
            <c:numRef>
              <c:f>'Girder Geometries'!$D$26:$D$38</c:f>
              <c:numCache>
                <c:formatCode>0.00</c:formatCode>
                <c:ptCount val="13"/>
                <c:pt idx="0" formatCode="General">
                  <c:v>0</c:v>
                </c:pt>
                <c:pt idx="1">
                  <c:v>-0.29166666666666669</c:v>
                </c:pt>
                <c:pt idx="2">
                  <c:v>-0.625</c:v>
                </c:pt>
                <c:pt idx="3">
                  <c:v>-1.625</c:v>
                </c:pt>
                <c:pt idx="4">
                  <c:v>-2.2708333333333335</c:v>
                </c:pt>
                <c:pt idx="5">
                  <c:v>-2.8333333333333335</c:v>
                </c:pt>
                <c:pt idx="6">
                  <c:v>-2.8333333333333335</c:v>
                </c:pt>
                <c:pt idx="7">
                  <c:v>-2.2708333333333335</c:v>
                </c:pt>
                <c:pt idx="8">
                  <c:v>-1.625</c:v>
                </c:pt>
                <c:pt idx="9">
                  <c:v>-0.625</c:v>
                </c:pt>
                <c:pt idx="10">
                  <c:v>-0.29166666666666669</c:v>
                </c:pt>
                <c:pt idx="11" formatCode="General">
                  <c:v>0</c:v>
                </c:pt>
                <c:pt idx="12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C2-45F5-BF6F-81299A276F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8779248"/>
        <c:axId val="1438780080"/>
      </c:scatterChart>
      <c:valAx>
        <c:axId val="1438779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8780080"/>
        <c:crosses val="autoZero"/>
        <c:crossBetween val="midCat"/>
      </c:valAx>
      <c:valAx>
        <c:axId val="143878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8779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'Girder Geometries'!$G$55</c:f>
          <c:strCache>
            <c:ptCount val="1"/>
            <c:pt idx="0">
              <c:v>U-40 Girder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'Girder Geometries'!$D$55</c:f>
              <c:strCache>
                <c:ptCount val="1"/>
                <c:pt idx="0">
                  <c:v>U54_y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'Girder Geometries'!$C$56:$C$68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0.89583333333333326</c:v>
                </c:pt>
                <c:pt idx="3">
                  <c:v>1.4583333333333335</c:v>
                </c:pt>
                <c:pt idx="4">
                  <c:v>6.0416666666666661</c:v>
                </c:pt>
                <c:pt idx="5">
                  <c:v>6.604166666666667</c:v>
                </c:pt>
                <c:pt idx="6" formatCode="0.00">
                  <c:v>7.5</c:v>
                </c:pt>
                <c:pt idx="7" formatCode="0.00">
                  <c:v>7.5</c:v>
                </c:pt>
                <c:pt idx="8">
                  <c:v>6.1875</c:v>
                </c:pt>
                <c:pt idx="9">
                  <c:v>5.6249999999999991</c:v>
                </c:pt>
                <c:pt idx="10">
                  <c:v>1.8750000000000002</c:v>
                </c:pt>
                <c:pt idx="11" formatCode="0.00">
                  <c:v>1.3125</c:v>
                </c:pt>
                <c:pt idx="12">
                  <c:v>0</c:v>
                </c:pt>
              </c:numCache>
            </c:numRef>
          </c:xVal>
          <c:yVal>
            <c:numRef>
              <c:f>'Girder Geometries'!$D$56:$D$68</c:f>
              <c:numCache>
                <c:formatCode>0.00</c:formatCode>
                <c:ptCount val="13"/>
                <c:pt idx="0" formatCode="General">
                  <c:v>0</c:v>
                </c:pt>
                <c:pt idx="1">
                  <c:v>-0.48958333333333331</c:v>
                </c:pt>
                <c:pt idx="2">
                  <c:v>-0.5625</c:v>
                </c:pt>
                <c:pt idx="3">
                  <c:v>-3.3333333333333335</c:v>
                </c:pt>
                <c:pt idx="4">
                  <c:v>-3.3333333333333335</c:v>
                </c:pt>
                <c:pt idx="5">
                  <c:v>-0.5625</c:v>
                </c:pt>
                <c:pt idx="6">
                  <c:v>-0.48958333333333331</c:v>
                </c:pt>
                <c:pt idx="7">
                  <c:v>0</c:v>
                </c:pt>
                <c:pt idx="8">
                  <c:v>0</c:v>
                </c:pt>
                <c:pt idx="9">
                  <c:v>-2.6458333333333335</c:v>
                </c:pt>
                <c:pt idx="10">
                  <c:v>-2.6458333333333335</c:v>
                </c:pt>
                <c:pt idx="11" formatCode="General">
                  <c:v>0</c:v>
                </c:pt>
                <c:pt idx="12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4E-49C1-8D75-75F2C460E9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8779248"/>
        <c:axId val="1438780080"/>
      </c:scatterChart>
      <c:valAx>
        <c:axId val="1438779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8780080"/>
        <c:crosses val="autoZero"/>
        <c:crossBetween val="midCat"/>
      </c:valAx>
      <c:valAx>
        <c:axId val="143878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8779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'Girder Geometries'!$D$138</c:f>
          <c:strCache>
            <c:ptCount val="1"/>
            <c:pt idx="0">
              <c:v>Bent i IV Girder Spa.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'Girder Geometries'!$D$174:$D$186</c:f>
              <c:numCache>
                <c:formatCode>General</c:formatCode>
                <c:ptCount val="13"/>
                <c:pt idx="0">
                  <c:v>2.7812499999999964</c:v>
                </c:pt>
                <c:pt idx="1">
                  <c:v>2.7812499999999964</c:v>
                </c:pt>
                <c:pt idx="2">
                  <c:v>3.2812499999999964</c:v>
                </c:pt>
                <c:pt idx="3">
                  <c:v>3.2812499999999964</c:v>
                </c:pt>
                <c:pt idx="4">
                  <c:v>2.5312499999999964</c:v>
                </c:pt>
                <c:pt idx="5">
                  <c:v>2.5312499999999964</c:v>
                </c:pt>
                <c:pt idx="6">
                  <c:v>4.6979166666666625</c:v>
                </c:pt>
                <c:pt idx="7">
                  <c:v>4.6979166666666625</c:v>
                </c:pt>
                <c:pt idx="8">
                  <c:v>3.947916666666663</c:v>
                </c:pt>
                <c:pt idx="9">
                  <c:v>3.947916666666663</c:v>
                </c:pt>
                <c:pt idx="10">
                  <c:v>4.4479166666666625</c:v>
                </c:pt>
                <c:pt idx="11">
                  <c:v>4.4479166666666625</c:v>
                </c:pt>
                <c:pt idx="12">
                  <c:v>2.7812499999999964</c:v>
                </c:pt>
              </c:numCache>
            </c:numRef>
          </c:xVal>
          <c:yVal>
            <c:numRef>
              <c:f>'Girder Geometries'!$D$189:$D$201</c:f>
              <c:numCache>
                <c:formatCode>General</c:formatCode>
                <c:ptCount val="13"/>
                <c:pt idx="0">
                  <c:v>0</c:v>
                </c:pt>
                <c:pt idx="1">
                  <c:v>-0.66666666666666663</c:v>
                </c:pt>
                <c:pt idx="2">
                  <c:v>-1.1666666666666665</c:v>
                </c:pt>
                <c:pt idx="3">
                  <c:v>-3.0833333333333335</c:v>
                </c:pt>
                <c:pt idx="4">
                  <c:v>-3.8333333333333335</c:v>
                </c:pt>
                <c:pt idx="5">
                  <c:v>-4.5</c:v>
                </c:pt>
                <c:pt idx="6">
                  <c:v>-4.5</c:v>
                </c:pt>
                <c:pt idx="7">
                  <c:v>-3.8333333333333335</c:v>
                </c:pt>
                <c:pt idx="8">
                  <c:v>-3.0833333333333335</c:v>
                </c:pt>
                <c:pt idx="9">
                  <c:v>-1.1666666666666665</c:v>
                </c:pt>
                <c:pt idx="10">
                  <c:v>-0.66666666666666663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E3-45AF-A63C-7985138867F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'Girder Geometries'!$E$174:$E$186</c:f>
              <c:numCache>
                <c:formatCode>General</c:formatCode>
                <c:ptCount val="13"/>
                <c:pt idx="0">
                  <c:v>10.552083333333332</c:v>
                </c:pt>
                <c:pt idx="1">
                  <c:v>10.552083333333332</c:v>
                </c:pt>
                <c:pt idx="2">
                  <c:v>11.052083333333332</c:v>
                </c:pt>
                <c:pt idx="3">
                  <c:v>11.052083333333332</c:v>
                </c:pt>
                <c:pt idx="4">
                  <c:v>10.302083333333332</c:v>
                </c:pt>
                <c:pt idx="5">
                  <c:v>10.302083333333332</c:v>
                </c:pt>
                <c:pt idx="6">
                  <c:v>12.468749999999998</c:v>
                </c:pt>
                <c:pt idx="7">
                  <c:v>12.468749999999998</c:v>
                </c:pt>
                <c:pt idx="8">
                  <c:v>11.718749999999998</c:v>
                </c:pt>
                <c:pt idx="9">
                  <c:v>11.718749999999998</c:v>
                </c:pt>
                <c:pt idx="10">
                  <c:v>12.218749999999998</c:v>
                </c:pt>
                <c:pt idx="11">
                  <c:v>12.218749999999998</c:v>
                </c:pt>
                <c:pt idx="12">
                  <c:v>10.552083333333332</c:v>
                </c:pt>
              </c:numCache>
            </c:numRef>
          </c:xVal>
          <c:yVal>
            <c:numRef>
              <c:f>'Girder Geometries'!$E$189:$E$201</c:f>
              <c:numCache>
                <c:formatCode>General</c:formatCode>
                <c:ptCount val="13"/>
                <c:pt idx="0">
                  <c:v>0</c:v>
                </c:pt>
                <c:pt idx="1">
                  <c:v>-0.66666666666666663</c:v>
                </c:pt>
                <c:pt idx="2">
                  <c:v>-1.1666666666666665</c:v>
                </c:pt>
                <c:pt idx="3">
                  <c:v>-3.0833333333333335</c:v>
                </c:pt>
                <c:pt idx="4">
                  <c:v>-3.8333333333333335</c:v>
                </c:pt>
                <c:pt idx="5">
                  <c:v>-4.5</c:v>
                </c:pt>
                <c:pt idx="6">
                  <c:v>-4.5</c:v>
                </c:pt>
                <c:pt idx="7">
                  <c:v>-3.8333333333333335</c:v>
                </c:pt>
                <c:pt idx="8">
                  <c:v>-3.0833333333333335</c:v>
                </c:pt>
                <c:pt idx="9">
                  <c:v>-1.1666666666666665</c:v>
                </c:pt>
                <c:pt idx="10">
                  <c:v>-0.66666666666666663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E3-45AF-A63C-7985138867F3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'Girder Geometries'!$F$174:$F$186</c:f>
              <c:numCache>
                <c:formatCode>General</c:formatCode>
                <c:ptCount val="13"/>
                <c:pt idx="0">
                  <c:v>18.322916666666664</c:v>
                </c:pt>
                <c:pt idx="1">
                  <c:v>18.322916666666664</c:v>
                </c:pt>
                <c:pt idx="2">
                  <c:v>18.822916666666664</c:v>
                </c:pt>
                <c:pt idx="3">
                  <c:v>18.822916666666664</c:v>
                </c:pt>
                <c:pt idx="4">
                  <c:v>18.072916666666664</c:v>
                </c:pt>
                <c:pt idx="5">
                  <c:v>18.072916666666664</c:v>
                </c:pt>
                <c:pt idx="6">
                  <c:v>20.239583333333332</c:v>
                </c:pt>
                <c:pt idx="7">
                  <c:v>20.239583333333332</c:v>
                </c:pt>
                <c:pt idx="8">
                  <c:v>19.489583333333332</c:v>
                </c:pt>
                <c:pt idx="9">
                  <c:v>19.489583333333332</c:v>
                </c:pt>
                <c:pt idx="10">
                  <c:v>19.989583333333332</c:v>
                </c:pt>
                <c:pt idx="11">
                  <c:v>19.989583333333332</c:v>
                </c:pt>
                <c:pt idx="12">
                  <c:v>18.322916666666664</c:v>
                </c:pt>
              </c:numCache>
            </c:numRef>
          </c:xVal>
          <c:yVal>
            <c:numRef>
              <c:f>'Girder Geometries'!$F$189:$F$201</c:f>
              <c:numCache>
                <c:formatCode>General</c:formatCode>
                <c:ptCount val="13"/>
                <c:pt idx="0">
                  <c:v>0</c:v>
                </c:pt>
                <c:pt idx="1">
                  <c:v>-0.66666666666666663</c:v>
                </c:pt>
                <c:pt idx="2">
                  <c:v>-1.1666666666666665</c:v>
                </c:pt>
                <c:pt idx="3">
                  <c:v>-3.0833333333333335</c:v>
                </c:pt>
                <c:pt idx="4">
                  <c:v>-3.8333333333333335</c:v>
                </c:pt>
                <c:pt idx="5">
                  <c:v>-4.5</c:v>
                </c:pt>
                <c:pt idx="6">
                  <c:v>-4.5</c:v>
                </c:pt>
                <c:pt idx="7">
                  <c:v>-3.8333333333333335</c:v>
                </c:pt>
                <c:pt idx="8">
                  <c:v>-3.0833333333333335</c:v>
                </c:pt>
                <c:pt idx="9">
                  <c:v>-1.1666666666666665</c:v>
                </c:pt>
                <c:pt idx="10">
                  <c:v>-0.66666666666666663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E3-45AF-A63C-7985138867F3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'Girder Geometries'!$G$174:$G$186</c:f>
              <c:numCache>
                <c:formatCode>General</c:formatCode>
                <c:ptCount val="13"/>
                <c:pt idx="0">
                  <c:v>26.09375</c:v>
                </c:pt>
                <c:pt idx="1">
                  <c:v>26.09375</c:v>
                </c:pt>
                <c:pt idx="2">
                  <c:v>26.59375</c:v>
                </c:pt>
                <c:pt idx="3">
                  <c:v>26.59375</c:v>
                </c:pt>
                <c:pt idx="4">
                  <c:v>25.84375</c:v>
                </c:pt>
                <c:pt idx="5">
                  <c:v>25.84375</c:v>
                </c:pt>
                <c:pt idx="6">
                  <c:v>28.010416666666668</c:v>
                </c:pt>
                <c:pt idx="7">
                  <c:v>28.010416666666668</c:v>
                </c:pt>
                <c:pt idx="8">
                  <c:v>27.260416666666668</c:v>
                </c:pt>
                <c:pt idx="9">
                  <c:v>27.260416666666668</c:v>
                </c:pt>
                <c:pt idx="10">
                  <c:v>27.760416666666668</c:v>
                </c:pt>
                <c:pt idx="11">
                  <c:v>27.760416666666668</c:v>
                </c:pt>
                <c:pt idx="12">
                  <c:v>26.09375</c:v>
                </c:pt>
              </c:numCache>
            </c:numRef>
          </c:xVal>
          <c:yVal>
            <c:numRef>
              <c:f>'Girder Geometries'!$G$189:$G$201</c:f>
              <c:numCache>
                <c:formatCode>General</c:formatCode>
                <c:ptCount val="13"/>
                <c:pt idx="0">
                  <c:v>0</c:v>
                </c:pt>
                <c:pt idx="1">
                  <c:v>-0.66666666666666663</c:v>
                </c:pt>
                <c:pt idx="2">
                  <c:v>-1.1666666666666665</c:v>
                </c:pt>
                <c:pt idx="3">
                  <c:v>-3.0833333333333335</c:v>
                </c:pt>
                <c:pt idx="4">
                  <c:v>-3.8333333333333335</c:v>
                </c:pt>
                <c:pt idx="5">
                  <c:v>-4.5</c:v>
                </c:pt>
                <c:pt idx="6">
                  <c:v>-4.5</c:v>
                </c:pt>
                <c:pt idx="7">
                  <c:v>-3.8333333333333335</c:v>
                </c:pt>
                <c:pt idx="8">
                  <c:v>-3.0833333333333335</c:v>
                </c:pt>
                <c:pt idx="9">
                  <c:v>-1.1666666666666665</c:v>
                </c:pt>
                <c:pt idx="10">
                  <c:v>-0.66666666666666663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BE3-45AF-A63C-7985138867F3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'Girder Geometries'!$H$174:$H$186</c:f>
              <c:numCache>
                <c:formatCode>General</c:formatCode>
                <c:ptCount val="13"/>
                <c:pt idx="0">
                  <c:v>33.864583333333336</c:v>
                </c:pt>
                <c:pt idx="1">
                  <c:v>33.864583333333336</c:v>
                </c:pt>
                <c:pt idx="2">
                  <c:v>34.364583333333336</c:v>
                </c:pt>
                <c:pt idx="3">
                  <c:v>34.364583333333336</c:v>
                </c:pt>
                <c:pt idx="4">
                  <c:v>33.614583333333336</c:v>
                </c:pt>
                <c:pt idx="5">
                  <c:v>33.614583333333336</c:v>
                </c:pt>
                <c:pt idx="6">
                  <c:v>35.78125</c:v>
                </c:pt>
                <c:pt idx="7">
                  <c:v>35.78125</c:v>
                </c:pt>
                <c:pt idx="8">
                  <c:v>35.03125</c:v>
                </c:pt>
                <c:pt idx="9">
                  <c:v>35.03125</c:v>
                </c:pt>
                <c:pt idx="10">
                  <c:v>35.53125</c:v>
                </c:pt>
                <c:pt idx="11">
                  <c:v>35.53125</c:v>
                </c:pt>
                <c:pt idx="12">
                  <c:v>33.864583333333336</c:v>
                </c:pt>
              </c:numCache>
            </c:numRef>
          </c:xVal>
          <c:yVal>
            <c:numRef>
              <c:f>'Girder Geometries'!$H$189:$H$201</c:f>
              <c:numCache>
                <c:formatCode>General</c:formatCode>
                <c:ptCount val="13"/>
                <c:pt idx="0">
                  <c:v>0</c:v>
                </c:pt>
                <c:pt idx="1">
                  <c:v>-0.66666666666666663</c:v>
                </c:pt>
                <c:pt idx="2">
                  <c:v>-1.1666666666666665</c:v>
                </c:pt>
                <c:pt idx="3">
                  <c:v>-3.0833333333333335</c:v>
                </c:pt>
                <c:pt idx="4">
                  <c:v>-3.8333333333333335</c:v>
                </c:pt>
                <c:pt idx="5">
                  <c:v>-4.5</c:v>
                </c:pt>
                <c:pt idx="6">
                  <c:v>-4.5</c:v>
                </c:pt>
                <c:pt idx="7">
                  <c:v>-3.8333333333333335</c:v>
                </c:pt>
                <c:pt idx="8">
                  <c:v>-3.0833333333333335</c:v>
                </c:pt>
                <c:pt idx="9">
                  <c:v>-1.1666666666666665</c:v>
                </c:pt>
                <c:pt idx="10">
                  <c:v>-0.66666666666666663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BE3-45AF-A63C-7985138867F3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'Girder Geometries'!$I$174:$I$186</c:f>
              <c:numCache>
                <c:formatCode>General</c:formatCode>
                <c:ptCount val="13"/>
              </c:numCache>
            </c:numRef>
          </c:xVal>
          <c:yVal>
            <c:numRef>
              <c:f>'Girder Geometries'!$I$189:$I$201</c:f>
              <c:numCache>
                <c:formatCode>General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BE3-45AF-A63C-7985138867F3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'Girder Geometries'!$J$174:$J$186</c:f>
              <c:numCache>
                <c:formatCode>General</c:formatCode>
                <c:ptCount val="13"/>
              </c:numCache>
            </c:numRef>
          </c:xVal>
          <c:yVal>
            <c:numRef>
              <c:f>'Girder Geometries'!$J$189:$J$201</c:f>
              <c:numCache>
                <c:formatCode>General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BE3-45AF-A63C-7985138867F3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'Girder Geometries'!$K$174:$K$186</c:f>
              <c:numCache>
                <c:formatCode>General</c:formatCode>
                <c:ptCount val="13"/>
              </c:numCache>
            </c:numRef>
          </c:xVal>
          <c:yVal>
            <c:numRef>
              <c:f>'Girder Geometries'!$K$189:$K$201</c:f>
              <c:numCache>
                <c:formatCode>General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BE3-45AF-A63C-7985138867F3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'Girder Geometries'!$L$174:$L$186</c:f>
              <c:numCache>
                <c:formatCode>General</c:formatCode>
                <c:ptCount val="13"/>
              </c:numCache>
            </c:numRef>
          </c:xVal>
          <c:yVal>
            <c:numRef>
              <c:f>'Girder Geometries'!$L$189:$L$201</c:f>
              <c:numCache>
                <c:formatCode>General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BE3-45AF-A63C-7985138867F3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'Girder Geometries'!$M$174:$M$186</c:f>
              <c:numCache>
                <c:formatCode>General</c:formatCode>
                <c:ptCount val="13"/>
              </c:numCache>
            </c:numRef>
          </c:xVal>
          <c:yVal>
            <c:numRef>
              <c:f>'Girder Geometries'!$M$189:$M$201</c:f>
              <c:numCache>
                <c:formatCode>General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BE3-45AF-A63C-7985138867F3}"/>
            </c:ext>
          </c:extLst>
        </c:ser>
        <c:ser>
          <c:idx val="10"/>
          <c:order val="10"/>
          <c:tx>
            <c:v>Roadway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'Girder Geometries'!$D$206:$D$210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38.3125</c:v>
                </c:pt>
                <c:pt idx="3">
                  <c:v>38.3125</c:v>
                </c:pt>
                <c:pt idx="4">
                  <c:v>0</c:v>
                </c:pt>
              </c:numCache>
            </c:numRef>
          </c:xVal>
          <c:yVal>
            <c:numRef>
              <c:f>'Girder Geometries'!$E$206:$E$210</c:f>
              <c:numCache>
                <c:formatCode>General</c:formatCode>
                <c:ptCount val="5"/>
                <c:pt idx="0">
                  <c:v>0</c:v>
                </c:pt>
                <c:pt idx="1">
                  <c:v>0.625</c:v>
                </c:pt>
                <c:pt idx="2">
                  <c:v>0.625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BE3-45AF-A63C-798513886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091568"/>
        <c:axId val="1565111952"/>
      </c:scatterChart>
      <c:valAx>
        <c:axId val="1565091568"/>
        <c:scaling>
          <c:orientation val="minMax"/>
          <c:min val="-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5111952"/>
        <c:crosses val="autoZero"/>
        <c:crossBetween val="midCat"/>
      </c:valAx>
      <c:valAx>
        <c:axId val="156511195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65091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'Girder Geometries'!$G$82</c:f>
          <c:strCache>
            <c:ptCount val="1"/>
            <c:pt idx="0">
              <c:v>Type 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'Girder Geometries'!$D$25</c:f>
              <c:strCache>
                <c:ptCount val="1"/>
                <c:pt idx="0">
                  <c:v>Tx_y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'Girder Geometries'!$C$82:$C$94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0.25</c:v>
                </c:pt>
                <c:pt idx="3">
                  <c:v>0.25</c:v>
                </c:pt>
                <c:pt idx="4">
                  <c:v>-0.16666666666666663</c:v>
                </c:pt>
                <c:pt idx="5">
                  <c:v>-0.16666666666666663</c:v>
                </c:pt>
                <c:pt idx="6" formatCode="0.00">
                  <c:v>1.1666666666666665</c:v>
                </c:pt>
                <c:pt idx="7" formatCode="0.00">
                  <c:v>1.1666666666666665</c:v>
                </c:pt>
                <c:pt idx="8">
                  <c:v>0.75</c:v>
                </c:pt>
                <c:pt idx="9">
                  <c:v>0.75</c:v>
                </c:pt>
                <c:pt idx="10" formatCode="0.00">
                  <c:v>1</c:v>
                </c:pt>
                <c:pt idx="11" formatCode="0.00">
                  <c:v>1</c:v>
                </c:pt>
                <c:pt idx="12">
                  <c:v>0</c:v>
                </c:pt>
              </c:numCache>
            </c:numRef>
          </c:xVal>
          <c:yVal>
            <c:numRef>
              <c:f>'Girder Geometries'!$D$82:$D$94</c:f>
              <c:numCache>
                <c:formatCode>0.00</c:formatCode>
                <c:ptCount val="13"/>
                <c:pt idx="0" formatCode="General">
                  <c:v>0</c:v>
                </c:pt>
                <c:pt idx="1">
                  <c:v>-0.33333333333333331</c:v>
                </c:pt>
                <c:pt idx="2">
                  <c:v>-0.58333333333333326</c:v>
                </c:pt>
                <c:pt idx="3">
                  <c:v>-1.5</c:v>
                </c:pt>
                <c:pt idx="4">
                  <c:v>-1.9166666666666667</c:v>
                </c:pt>
                <c:pt idx="5">
                  <c:v>-2.3333333333333335</c:v>
                </c:pt>
                <c:pt idx="6">
                  <c:v>-2.3333333333333335</c:v>
                </c:pt>
                <c:pt idx="7">
                  <c:v>-1.9166666666666667</c:v>
                </c:pt>
                <c:pt idx="8">
                  <c:v>-1.5</c:v>
                </c:pt>
                <c:pt idx="9">
                  <c:v>-0.58333333333333326</c:v>
                </c:pt>
                <c:pt idx="10">
                  <c:v>-0.33333333333333331</c:v>
                </c:pt>
                <c:pt idx="11" formatCode="General">
                  <c:v>0</c:v>
                </c:pt>
                <c:pt idx="12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CD-486C-A4E0-EE602203C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8779248"/>
        <c:axId val="1438780080"/>
      </c:scatterChart>
      <c:valAx>
        <c:axId val="1438779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8780080"/>
        <c:crosses val="autoZero"/>
        <c:crossBetween val="midCat"/>
      </c:valAx>
      <c:valAx>
        <c:axId val="143878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8779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Label" fmlaTxbx="$O$11" lockText="1"/>
</file>

<file path=xl/ctrlProps/ctrlProp7.xml><?xml version="1.0" encoding="utf-8"?>
<formControlPr xmlns="http://schemas.microsoft.com/office/spreadsheetml/2009/9/main" objectType="Label" fmlaTxbx="$O$31" lockText="1"/>
</file>

<file path=xl/ctrlProps/ctrlProp8.xml><?xml version="1.0" encoding="utf-8"?>
<formControlPr xmlns="http://schemas.microsoft.com/office/spreadsheetml/2009/9/main" objectType="Label" fmlaTxbx="$O$16" lockText="1"/>
</file>

<file path=xl/ctrlProps/ctrlProp9.xml><?xml version="1.0" encoding="utf-8"?>
<formControlPr xmlns="http://schemas.microsoft.com/office/spreadsheetml/2009/9/main" objectType="Label" fmlaTxbx="$O$17" lockText="1"/>
</file>

<file path=xl/ctrlProps/ctrlProp10.xml><?xml version="1.0" encoding="utf-8"?>
<formControlPr xmlns="http://schemas.microsoft.com/office/spreadsheetml/2009/9/main" objectType="Label" fmlaTxbx="$O$16" lockText="1"/>
</file>

<file path=xl/ctrlProps/ctrlProp11.xml><?xml version="1.0" encoding="utf-8"?>
<formControlPr xmlns="http://schemas.microsoft.com/office/spreadsheetml/2009/9/main" objectType="Label" fmlaTxbx="$O$17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$S$3" lockText="1" noThreeD="1"/>
</file>

<file path=xl/ctrlProps/ctrlProp15.xml><?xml version="1.0" encoding="utf-8"?>
<formControlPr xmlns="http://schemas.microsoft.com/office/spreadsheetml/2009/9/main" objectType="CheckBox" checked="Checked" fmlaLink="$P$43" lockText="1" noThreeD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2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4</xdr:row>
          <xdr:rowOff>47625</xdr:rowOff>
        </xdr:from>
        <xdr:to>
          <xdr:col>2</xdr:col>
          <xdr:colOff>552450</xdr:colOff>
          <xdr:row>6</xdr:row>
          <xdr:rowOff>133350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 Mode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8</xdr:row>
          <xdr:rowOff>47625</xdr:rowOff>
        </xdr:from>
        <xdr:to>
          <xdr:col>2</xdr:col>
          <xdr:colOff>552450</xdr:colOff>
          <xdr:row>10</xdr:row>
          <xdr:rowOff>133350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Creator Mode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12</xdr:row>
          <xdr:rowOff>47625</xdr:rowOff>
        </xdr:from>
        <xdr:to>
          <xdr:col>2</xdr:col>
          <xdr:colOff>552450</xdr:colOff>
          <xdr:row>14</xdr:row>
          <xdr:rowOff>133350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16</xdr:row>
          <xdr:rowOff>47625</xdr:rowOff>
        </xdr:from>
        <xdr:to>
          <xdr:col>2</xdr:col>
          <xdr:colOff>552450</xdr:colOff>
          <xdr:row>18</xdr:row>
          <xdr:rowOff>133350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20</xdr:row>
          <xdr:rowOff>47625</xdr:rowOff>
        </xdr:from>
        <xdr:to>
          <xdr:col>2</xdr:col>
          <xdr:colOff>552450</xdr:colOff>
          <xdr:row>22</xdr:row>
          <xdr:rowOff>133350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314325</xdr:colOff>
      <xdr:row>42</xdr:row>
      <xdr:rowOff>180974</xdr:rowOff>
    </xdr:from>
    <xdr:to>
      <xdr:col>21</xdr:col>
      <xdr:colOff>81531</xdr:colOff>
      <xdr:row>57</xdr:row>
      <xdr:rowOff>67163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30875" y="7677149"/>
          <a:ext cx="3901056" cy="2809875"/>
        </a:xfrm>
        <a:prstGeom prst="rect">
          <a:avLst/>
        </a:prstGeom>
      </xdr:spPr>
    </xdr:pic>
    <xdr:clientData/>
  </xdr:twoCellAnchor>
  <xdr:twoCellAnchor>
    <xdr:from>
      <xdr:col>17</xdr:col>
      <xdr:colOff>485777</xdr:colOff>
      <xdr:row>57</xdr:row>
      <xdr:rowOff>57150</xdr:rowOff>
    </xdr:from>
    <xdr:to>
      <xdr:col>19</xdr:col>
      <xdr:colOff>430271</xdr:colOff>
      <xdr:row>62</xdr:row>
      <xdr:rowOff>85725</xdr:rowOff>
    </xdr:to>
    <xdr:grpSp>
      <xdr:nvGrpSpPr>
        <xdr:cNvPr id="3" name="Group 244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>
          <a:grpSpLocks/>
        </xdr:cNvGrpSpPr>
      </xdr:nvGrpSpPr>
      <xdr:grpSpPr bwMode="auto">
        <a:xfrm>
          <a:off x="17926380" y="11513426"/>
          <a:ext cx="2250201" cy="1027058"/>
          <a:chOff x="548" y="444"/>
          <a:chExt cx="236" cy="104"/>
        </a:xfrm>
      </xdr:grpSpPr>
      <xdr:sp macro="" textlink="">
        <xdr:nvSpPr>
          <xdr:cNvPr id="6" name="AutoShape 190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548" y="444"/>
            <a:ext cx="236" cy="10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sp>
      <xdr:sp macro="" textlink="">
        <xdr:nvSpPr>
          <xdr:cNvPr id="7" name="Line 190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553" y="496"/>
            <a:ext cx="212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" name="Line 190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53" y="451"/>
            <a:ext cx="0" cy="67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" name="Line 190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>
            <a:spLocks noChangeShapeType="1"/>
          </xdr:cNvSpPr>
        </xdr:nvSpPr>
        <xdr:spPr bwMode="auto">
          <a:xfrm>
            <a:off x="553" y="518"/>
            <a:ext cx="212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" name="Line 190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65" y="444"/>
            <a:ext cx="0" cy="34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19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65" y="478"/>
            <a:ext cx="7" cy="4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19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59" y="482"/>
            <a:ext cx="13" cy="5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19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59" y="487"/>
            <a:ext cx="6" cy="4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19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65" y="491"/>
            <a:ext cx="0" cy="32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" name="Line 19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661" y="452"/>
            <a:ext cx="6" cy="3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" name="Line 19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>
            <a:spLocks noChangeShapeType="1"/>
          </xdr:cNvSpPr>
        </xdr:nvSpPr>
        <xdr:spPr bwMode="auto">
          <a:xfrm rot="5400000" flipH="1">
            <a:off x="652" y="448"/>
            <a:ext cx="13" cy="6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" name="Line 19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650" y="446"/>
            <a:ext cx="7" cy="4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8" name="Line 19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548" y="451"/>
            <a:ext cx="104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9" name="Line 19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65" y="451"/>
            <a:ext cx="107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" name="Rectangle 1919" descr="Light upward diagonal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581" y="501"/>
            <a:ext cx="28" cy="12"/>
          </a:xfrm>
          <a:prstGeom prst="rect">
            <a:avLst/>
          </a:prstGeom>
          <a:pattFill prst="ltUpDiag">
            <a:fgClr>
              <a:srgbClr val="000000"/>
            </a:fgClr>
            <a:bgClr>
              <a:srgbClr val="FFFFFF"/>
            </a:bgClr>
          </a:pattFill>
          <a:ln w="6350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1" name="Rectangle 1920" descr="Light upward diagonal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714" y="501"/>
            <a:ext cx="28" cy="12"/>
          </a:xfrm>
          <a:prstGeom prst="rect">
            <a:avLst/>
          </a:prstGeom>
          <a:pattFill prst="ltUpDiag">
            <a:fgClr>
              <a:srgbClr val="000000"/>
            </a:fgClr>
            <a:bgClr>
              <a:srgbClr val="FFFFFF"/>
            </a:bgClr>
          </a:pattFill>
          <a:ln w="6350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2" name="Line 19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>
            <a:spLocks noChangeShapeType="1"/>
          </xdr:cNvSpPr>
        </xdr:nvSpPr>
        <xdr:spPr bwMode="auto">
          <a:xfrm>
            <a:off x="595" y="523"/>
            <a:ext cx="133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 type="triangle" w="sm" len="sm"/>
            <a:tailEnd type="triangle" w="sm" len="sm"/>
          </a:ln>
        </xdr:spPr>
      </xdr:sp>
      <xdr:sp macro="" textlink="">
        <xdr:nvSpPr>
          <xdr:cNvPr id="23" name="Line 19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>
            <a:spLocks noChangeShapeType="1"/>
          </xdr:cNvSpPr>
        </xdr:nvSpPr>
        <xdr:spPr bwMode="auto">
          <a:xfrm>
            <a:off x="553" y="520"/>
            <a:ext cx="0" cy="6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" name="Line 19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>
            <a:spLocks noChangeShapeType="1"/>
          </xdr:cNvSpPr>
        </xdr:nvSpPr>
        <xdr:spPr bwMode="auto">
          <a:xfrm>
            <a:off x="595" y="515"/>
            <a:ext cx="0" cy="11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" name="Line 19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>
            <a:spLocks noChangeShapeType="1"/>
          </xdr:cNvSpPr>
        </xdr:nvSpPr>
        <xdr:spPr bwMode="auto">
          <a:xfrm>
            <a:off x="728" y="515"/>
            <a:ext cx="0" cy="12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6" name="Line 19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SpPr>
            <a:spLocks noChangeShapeType="1"/>
          </xdr:cNvSpPr>
        </xdr:nvSpPr>
        <xdr:spPr bwMode="auto">
          <a:xfrm>
            <a:off x="553" y="523"/>
            <a:ext cx="42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 type="triangle" w="sm" len="sm"/>
            <a:tailEnd type="triangle" w="sm" len="sm"/>
          </a:ln>
        </xdr:spPr>
      </xdr:sp>
      <xdr:sp macro="" textlink="">
        <xdr:nvSpPr>
          <xdr:cNvPr id="27" name="Line 1926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05" y="501"/>
            <a:ext cx="6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" name="Line 1927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05" y="513"/>
            <a:ext cx="6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9" name="Line 1928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714" y="489"/>
            <a:ext cx="0" cy="1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0" name="Line 1929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742" y="489"/>
            <a:ext cx="0" cy="1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1" name="Line 1930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>
            <a:spLocks noChangeShapeType="1"/>
          </xdr:cNvSpPr>
        </xdr:nvSpPr>
        <xdr:spPr bwMode="auto">
          <a:xfrm>
            <a:off x="714" y="491"/>
            <a:ext cx="28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 type="triangle" w="sm" len="sm"/>
            <a:tailEnd type="triangle" w="sm" len="sm"/>
          </a:ln>
        </xdr:spPr>
      </xdr:sp>
      <xdr:sp macro="" textlink="">
        <xdr:nvSpPr>
          <xdr:cNvPr id="32" name="Line 1931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501"/>
            <a:ext cx="0" cy="12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 type="triangle" w="sm" len="sm"/>
            <a:tailEnd type="triangle" w="sm" len="sm"/>
          </a:ln>
        </xdr:spPr>
      </xdr:sp>
      <xdr:sp macro="" textlink="">
        <xdr:nvSpPr>
          <xdr:cNvPr id="33" name="Text Box 1935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50" y="518"/>
            <a:ext cx="48" cy="25"/>
          </a:xfrm>
          <a:prstGeom prst="rect">
            <a:avLst/>
          </a:prstGeom>
          <a:noFill/>
          <a:ln w="6350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000" b="0" i="0" strike="noStrike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 sz="600" b="0" i="0" strike="noStrike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 sz="600" b="0" i="0" strike="noStrike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">
        <xdr:nvSpPr>
          <xdr:cNvPr id="34" name="Text Box 1936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63" y="519"/>
            <a:ext cx="49" cy="25"/>
          </a:xfrm>
          <a:prstGeom prst="rect">
            <a:avLst/>
          </a:prstGeom>
          <a:noFill/>
          <a:ln w="6350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000" b="0" i="0" strike="noStrike">
                <a:solidFill>
                  <a:srgbClr val="000000"/>
                </a:solidFill>
                <a:latin typeface="Arial"/>
                <a:cs typeface="Arial"/>
              </a:rPr>
              <a:t>C</a:t>
            </a:r>
            <a:endParaRPr lang="en-US" sz="600" b="0" i="0" strike="noStrike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 sz="600" b="0" i="0" strike="noStrike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">
        <xdr:nvSpPr>
          <xdr:cNvPr id="35" name="Text Box 1938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14" y="473"/>
            <a:ext cx="48" cy="24"/>
          </a:xfrm>
          <a:prstGeom prst="rect">
            <a:avLst/>
          </a:prstGeom>
          <a:noFill/>
          <a:ln w="6350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000" b="0" i="0" strike="noStrike">
                <a:solidFill>
                  <a:srgbClr val="000000"/>
                </a:solidFill>
                <a:latin typeface="Arial"/>
                <a:cs typeface="Arial"/>
              </a:rPr>
              <a:t>W</a:t>
            </a:r>
            <a:endParaRPr lang="en-US" sz="600" b="0" i="0" strike="noStrike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 sz="600" b="0" i="0" strike="noStrike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">
        <xdr:nvSpPr>
          <xdr:cNvPr id="36" name="Text Box 1939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86" y="496"/>
            <a:ext cx="48" cy="25"/>
          </a:xfrm>
          <a:prstGeom prst="rect">
            <a:avLst/>
          </a:prstGeom>
          <a:noFill/>
          <a:ln w="6350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000" b="0" i="0" strike="noStrike">
                <a:solidFill>
                  <a:srgbClr val="000000"/>
                </a:solidFill>
                <a:latin typeface="Arial"/>
                <a:cs typeface="Arial"/>
              </a:rPr>
              <a:t>L</a:t>
            </a:r>
            <a:endParaRPr lang="en-US" sz="600" b="0" i="0" strike="noStrike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 sz="600" b="0" i="0" strike="noStrike">
              <a:solidFill>
                <a:srgbClr val="000000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12</xdr:col>
      <xdr:colOff>95249</xdr:colOff>
      <xdr:row>65</xdr:row>
      <xdr:rowOff>128585</xdr:rowOff>
    </xdr:from>
    <xdr:to>
      <xdr:col>19</xdr:col>
      <xdr:colOff>838200</xdr:colOff>
      <xdr:row>92</xdr:row>
      <xdr:rowOff>104774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182655</xdr:colOff>
      <xdr:row>45</xdr:row>
      <xdr:rowOff>6442</xdr:rowOff>
    </xdr:from>
    <xdr:to>
      <xdr:col>16</xdr:col>
      <xdr:colOff>725581</xdr:colOff>
      <xdr:row>61</xdr:row>
      <xdr:rowOff>158842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302470</xdr:colOff>
      <xdr:row>4</xdr:row>
      <xdr:rowOff>89878</xdr:rowOff>
    </xdr:from>
    <xdr:to>
      <xdr:col>19</xdr:col>
      <xdr:colOff>597463</xdr:colOff>
      <xdr:row>21</xdr:row>
      <xdr:rowOff>23203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pSpPr/>
      </xdr:nvGrpSpPr>
      <xdr:grpSpPr>
        <a:xfrm>
          <a:off x="12349953" y="1232878"/>
          <a:ext cx="7993820" cy="3250653"/>
          <a:chOff x="12937993" y="638176"/>
          <a:chExt cx="8001000" cy="3200400"/>
        </a:xfrm>
      </xdr:grpSpPr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GrpSpPr/>
        </xdr:nvGrpSpPr>
        <xdr:grpSpPr>
          <a:xfrm>
            <a:off x="12937993" y="638176"/>
            <a:ext cx="8001000" cy="3200400"/>
            <a:chOff x="5167533" y="1219760"/>
            <a:chExt cx="5920320" cy="3149634"/>
          </a:xfrm>
        </xdr:grpSpPr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5167533" y="1219760"/>
            <a:ext cx="5920320" cy="314963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5154" name="Label 34" hidden="1">
                  <a:extLst>
                    <a:ext uri="{63B3BB69-23CF-44E3-9099-C40C66FF867C}">
                      <a14:compatExt spid="_x0000_s5154"/>
                    </a:ext>
                    <a:ext uri="{FF2B5EF4-FFF2-40B4-BE49-F238E27FC236}">
                      <a16:creationId xmlns:a16="http://schemas.microsoft.com/office/drawing/2014/main" id="{00000000-0008-0000-0100-000022140000}"/>
                    </a:ext>
                  </a:extLst>
                </xdr:cNvPr>
                <xdr:cNvSpPr/>
              </xdr:nvSpPr>
              <xdr:spPr bwMode="auto">
                <a:xfrm>
                  <a:off x="9509160" y="4039716"/>
                  <a:ext cx="1474168" cy="203611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noFill/>
                    </a14:hiddenFill>
                  </a:ex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0" anchor="t" upright="1"/>
                <a:lstStyle/>
                <a:p>
                  <a:pPr algn="l" rtl="0">
                    <a:defRPr sz="1000"/>
                  </a:pPr>
                  <a:r>
                    <a:rPr lang="en-US" sz="1100" b="1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Nom. Girder Spacing: 6.25 ft</a:t>
                  </a:r>
                </a:p>
              </xdr:txBody>
            </xdr:sp>
          </mc:Choice>
          <mc:Fallback/>
        </mc:AlternateContent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200" name="Label 80" hidden="1">
                <a:extLst>
                  <a:ext uri="{63B3BB69-23CF-44E3-9099-C40C66FF867C}">
                    <a14:compatExt spid="_x0000_s5200"/>
                  </a:ext>
                  <a:ext uri="{FF2B5EF4-FFF2-40B4-BE49-F238E27FC236}">
                    <a16:creationId xmlns:a16="http://schemas.microsoft.com/office/drawing/2014/main" id="{00000000-0008-0000-0100-000050140000}"/>
                  </a:ext>
                </a:extLst>
              </xdr:cNvPr>
              <xdr:cNvSpPr/>
            </xdr:nvSpPr>
            <xdr:spPr bwMode="auto">
              <a:xfrm>
                <a:off x="13306101" y="3502255"/>
                <a:ext cx="200025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0" anchor="t" upright="1"/>
              <a:lstStyle/>
              <a:p>
                <a:pPr algn="l" rtl="0">
                  <a:defRPr sz="1000"/>
                </a:pPr>
                <a:r>
                  <a:rPr lang="en-US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Deck Width: 43.18 ft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201" name="Label 81" hidden="1">
                <a:extLst>
                  <a:ext uri="{63B3BB69-23CF-44E3-9099-C40C66FF867C}">
                    <a14:compatExt spid="_x0000_s5201"/>
                  </a:ext>
                  <a:ext uri="{FF2B5EF4-FFF2-40B4-BE49-F238E27FC236}">
                    <a16:creationId xmlns:a16="http://schemas.microsoft.com/office/drawing/2014/main" id="{00000000-0008-0000-0100-000051140000}"/>
                  </a:ext>
                </a:extLst>
              </xdr:cNvPr>
              <xdr:cNvSpPr/>
            </xdr:nvSpPr>
            <xdr:spPr bwMode="auto">
              <a:xfrm>
                <a:off x="16183830" y="3502255"/>
                <a:ext cx="200025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0" anchor="t" upright="1"/>
              <a:lstStyle/>
              <a:p>
                <a:pPr algn="l" rtl="0">
                  <a:defRPr sz="1000"/>
                </a:pPr>
                <a:r>
                  <a:rPr lang="en-US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Cap Length: 40.33 ft</a:t>
                </a:r>
              </a:p>
            </xdr:txBody>
          </xdr:sp>
        </mc:Choice>
        <mc:Fallback/>
      </mc:AlternateContent>
    </xdr:grpSp>
    <xdr:clientData/>
  </xdr:twoCellAnchor>
  <xdr:twoCellAnchor editAs="oneCell">
    <xdr:from>
      <xdr:col>12</xdr:col>
      <xdr:colOff>317368</xdr:colOff>
      <xdr:row>23</xdr:row>
      <xdr:rowOff>121140</xdr:rowOff>
    </xdr:from>
    <xdr:to>
      <xdr:col>19</xdr:col>
      <xdr:colOff>612361</xdr:colOff>
      <xdr:row>40</xdr:row>
      <xdr:rowOff>63990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pSpPr/>
      </xdr:nvGrpSpPr>
      <xdr:grpSpPr>
        <a:xfrm>
          <a:off x="12364851" y="4975606"/>
          <a:ext cx="7993820" cy="3233901"/>
          <a:chOff x="12918943" y="4124327"/>
          <a:chExt cx="8001000" cy="3200400"/>
        </a:xfrm>
      </xdr:grpSpPr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GrpSpPr/>
        </xdr:nvGrpSpPr>
        <xdr:grpSpPr>
          <a:xfrm>
            <a:off x="12918943" y="4124327"/>
            <a:ext cx="8001000" cy="3200400"/>
            <a:chOff x="5167533" y="1219761"/>
            <a:chExt cx="5920320" cy="3159363"/>
          </a:xfrm>
        </xdr:grpSpPr>
        <xdr:graphicFrame macro="">
          <xdr:nvGraphicFramePr>
            <xdr:cNvPr id="41" name="Chart 40">
              <a:extLst>
                <a:ext uri="{FF2B5EF4-FFF2-40B4-BE49-F238E27FC236}">
                  <a16:creationId xmlns:a16="http://schemas.microsoft.com/office/drawing/2014/main" id="{00000000-0008-0000-0100-000029000000}"/>
                </a:ext>
              </a:extLst>
            </xdr:cNvPr>
            <xdr:cNvGraphicFramePr>
              <a:graphicFrameLocks/>
            </xdr:cNvGraphicFramePr>
          </xdr:nvGraphicFramePr>
          <xdr:xfrm>
            <a:off x="5167533" y="1219761"/>
            <a:ext cx="5920320" cy="315936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5168" name="Label 48" hidden="1">
                  <a:extLst>
                    <a:ext uri="{63B3BB69-23CF-44E3-9099-C40C66FF867C}">
                      <a14:compatExt spid="_x0000_s5168"/>
                    </a:ext>
                    <a:ext uri="{FF2B5EF4-FFF2-40B4-BE49-F238E27FC236}">
                      <a16:creationId xmlns:a16="http://schemas.microsoft.com/office/drawing/2014/main" id="{00000000-0008-0000-0100-000030140000}"/>
                    </a:ext>
                  </a:extLst>
                </xdr:cNvPr>
                <xdr:cNvSpPr/>
              </xdr:nvSpPr>
              <xdr:spPr bwMode="auto">
                <a:xfrm>
                  <a:off x="9527208" y="4034014"/>
                  <a:ext cx="1474168" cy="203611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noFill/>
                    </a14:hiddenFill>
                  </a:ex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0" anchor="t" upright="1"/>
                <a:lstStyle/>
                <a:p>
                  <a:pPr algn="l" rtl="0">
                    <a:defRPr sz="1000"/>
                  </a:pPr>
                  <a:r>
                    <a:rPr lang="en-US" sz="1100" b="1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Nom. Girder Spacing: 7.50 ft</a:t>
                  </a:r>
                </a:p>
              </xdr:txBody>
            </xdr:sp>
          </mc:Choice>
          <mc:Fallback/>
        </mc:AlternateContent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202" name="Label 82" hidden="1">
                <a:extLst>
                  <a:ext uri="{63B3BB69-23CF-44E3-9099-C40C66FF867C}">
                    <a14:compatExt spid="_x0000_s5202"/>
                  </a:ext>
                  <a:ext uri="{FF2B5EF4-FFF2-40B4-BE49-F238E27FC236}">
                    <a16:creationId xmlns:a16="http://schemas.microsoft.com/office/drawing/2014/main" id="{00000000-0008-0000-0100-000052140000}"/>
                  </a:ext>
                </a:extLst>
              </xdr:cNvPr>
              <xdr:cNvSpPr/>
            </xdr:nvSpPr>
            <xdr:spPr bwMode="auto">
              <a:xfrm>
                <a:off x="13295012" y="6973488"/>
                <a:ext cx="200025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0" anchor="t" upright="1"/>
              <a:lstStyle/>
              <a:p>
                <a:pPr algn="l" rtl="0">
                  <a:defRPr sz="1000"/>
                </a:pPr>
                <a:r>
                  <a:rPr lang="en-US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Deck Width: 43.18 ft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203" name="Label 83" hidden="1">
                <a:extLst>
                  <a:ext uri="{63B3BB69-23CF-44E3-9099-C40C66FF867C}">
                    <a14:compatExt spid="_x0000_s5203"/>
                  </a:ext>
                  <a:ext uri="{FF2B5EF4-FFF2-40B4-BE49-F238E27FC236}">
                    <a16:creationId xmlns:a16="http://schemas.microsoft.com/office/drawing/2014/main" id="{00000000-0008-0000-0100-000053140000}"/>
                  </a:ext>
                </a:extLst>
              </xdr:cNvPr>
              <xdr:cNvSpPr/>
            </xdr:nvSpPr>
            <xdr:spPr bwMode="auto">
              <a:xfrm>
                <a:off x="16157871" y="6973488"/>
                <a:ext cx="200025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0" anchor="t" upright="1"/>
              <a:lstStyle/>
              <a:p>
                <a:pPr algn="l" rtl="0">
                  <a:defRPr sz="1000"/>
                </a:pPr>
                <a:r>
                  <a:rPr lang="en-US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Cap Length: 40.33 ft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30</xdr:row>
          <xdr:rowOff>47625</xdr:rowOff>
        </xdr:from>
        <xdr:to>
          <xdr:col>2</xdr:col>
          <xdr:colOff>552450</xdr:colOff>
          <xdr:row>32</xdr:row>
          <xdr:rowOff>133350</xdr:rowOff>
        </xdr:to>
        <xdr:sp macro="" textlink="">
          <xdr:nvSpPr>
            <xdr:cNvPr id="5204" name="Button 84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1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Transfer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84043</xdr:colOff>
      <xdr:row>95</xdr:row>
      <xdr:rowOff>94967</xdr:rowOff>
    </xdr:from>
    <xdr:to>
      <xdr:col>19</xdr:col>
      <xdr:colOff>826994</xdr:colOff>
      <xdr:row>122</xdr:row>
      <xdr:rowOff>71156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84043</xdr:colOff>
      <xdr:row>125</xdr:row>
      <xdr:rowOff>94967</xdr:rowOff>
    </xdr:from>
    <xdr:to>
      <xdr:col>19</xdr:col>
      <xdr:colOff>826994</xdr:colOff>
      <xdr:row>152</xdr:row>
      <xdr:rowOff>71156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34</xdr:row>
          <xdr:rowOff>47625</xdr:rowOff>
        </xdr:from>
        <xdr:to>
          <xdr:col>2</xdr:col>
          <xdr:colOff>552450</xdr:colOff>
          <xdr:row>36</xdr:row>
          <xdr:rowOff>133350</xdr:rowOff>
        </xdr:to>
        <xdr:sp macro="" textlink="">
          <xdr:nvSpPr>
            <xdr:cNvPr id="5207" name="Button 87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1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Transfer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2</xdr:row>
          <xdr:rowOff>9525</xdr:rowOff>
        </xdr:from>
        <xdr:to>
          <xdr:col>20</xdr:col>
          <xdr:colOff>9525</xdr:colOff>
          <xdr:row>3</xdr:row>
          <xdr:rowOff>114300</xdr:rowOff>
        </xdr:to>
        <xdr:sp macro="" textlink="">
          <xdr:nvSpPr>
            <xdr:cNvPr id="5215" name="Check Box 95" descr="Graph Proportional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1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4298B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Graph Proportional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1733550</xdr:colOff>
          <xdr:row>42</xdr:row>
          <xdr:rowOff>9525</xdr:rowOff>
        </xdr:from>
        <xdr:to>
          <xdr:col>16</xdr:col>
          <xdr:colOff>904875</xdr:colOff>
          <xdr:row>43</xdr:row>
          <xdr:rowOff>114300</xdr:rowOff>
        </xdr:to>
        <xdr:sp macro="" textlink="">
          <xdr:nvSpPr>
            <xdr:cNvPr id="5217" name="Check Box 97" descr="Graph Proportional" hidden="1">
              <a:extLst>
                <a:ext uri="{63B3BB69-23CF-44E3-9099-C40C66FF867C}">
                  <a14:compatExt spid="_x0000_s5217"/>
                </a:ext>
                <a:ext uri="{FF2B5EF4-FFF2-40B4-BE49-F238E27FC236}">
                  <a16:creationId xmlns:a16="http://schemas.microsoft.com/office/drawing/2014/main" id="{00000000-0008-0000-0100-00006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4298B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Graph Proportional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24</xdr:row>
          <xdr:rowOff>57150</xdr:rowOff>
        </xdr:from>
        <xdr:to>
          <xdr:col>2</xdr:col>
          <xdr:colOff>552450</xdr:colOff>
          <xdr:row>26</xdr:row>
          <xdr:rowOff>142875</xdr:rowOff>
        </xdr:to>
        <xdr:sp macro="" textlink="">
          <xdr:nvSpPr>
            <xdr:cNvPr id="5219" name="Button 99" hidden="1">
              <a:extLst>
                <a:ext uri="{63B3BB69-23CF-44E3-9099-C40C66FF867C}">
                  <a14:compatExt spid="_x0000_s5219"/>
                </a:ext>
                <a:ext uri="{FF2B5EF4-FFF2-40B4-BE49-F238E27FC236}">
                  <a16:creationId xmlns:a16="http://schemas.microsoft.com/office/drawing/2014/main" id="{00000000-0008-0000-0100-00006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All Bents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190500</xdr:colOff>
      <xdr:row>23</xdr:row>
      <xdr:rowOff>185737</xdr:rowOff>
    </xdr:from>
    <xdr:to>
      <xdr:col>8</xdr:col>
      <xdr:colOff>447675</xdr:colOff>
      <xdr:row>38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190500</xdr:colOff>
      <xdr:row>53</xdr:row>
      <xdr:rowOff>185737</xdr:rowOff>
    </xdr:from>
    <xdr:to>
      <xdr:col>8</xdr:col>
      <xdr:colOff>447675</xdr:colOff>
      <xdr:row>68</xdr:row>
      <xdr:rowOff>71437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280987</xdr:colOff>
      <xdr:row>119</xdr:row>
      <xdr:rowOff>138112</xdr:rowOff>
    </xdr:from>
    <xdr:to>
      <xdr:col>10</xdr:col>
      <xdr:colOff>609600</xdr:colOff>
      <xdr:row>131</xdr:row>
      <xdr:rowOff>23812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190500</xdr:colOff>
      <xdr:row>79</xdr:row>
      <xdr:rowOff>185737</xdr:rowOff>
    </xdr:from>
    <xdr:to>
      <xdr:col>8</xdr:col>
      <xdr:colOff>447675</xdr:colOff>
      <xdr:row>94</xdr:row>
      <xdr:rowOff>71437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MILLER/Documents/Trusted%20Location%20Artcraft/IH35-Upper%20Deck/Refined%20Test/Current%20PW%20Files/LRFD/I_LRFD_Cap_Dsnr_V8.0_mod_IH34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g.Doc."/>
      <sheetName val="Complex Geometry"/>
      <sheetName val="Cover Sheet"/>
      <sheetName val="Geometry"/>
      <sheetName val="Conc DL"/>
      <sheetName val="Dead Load Moment"/>
      <sheetName val="Live Load"/>
      <sheetName val="CAP18 Input"/>
      <sheetName val="CAP18 Out(1)"/>
      <sheetName val="CAP18 Out(2)"/>
      <sheetName val="Chart1"/>
      <sheetName val="Live Load on Cap"/>
      <sheetName val="Cap Analysis"/>
      <sheetName val="Bars A"/>
      <sheetName val="Bars B"/>
      <sheetName val="Inv Tee-SC"/>
      <sheetName val="Inv Tee"/>
      <sheetName val="Shear(M)"/>
      <sheetName val="Shear(S) "/>
      <sheetName val="Chart2"/>
      <sheetName val="Design Summary"/>
      <sheetName val="Live Load on Column"/>
      <sheetName val="CE &amp; BR"/>
      <sheetName val="Wind Loads"/>
      <sheetName val="Col Analysis-I"/>
      <sheetName val="Col Analysis-II"/>
      <sheetName val="D.S. Loads"/>
      <sheetName val="Reference"/>
      <sheetName val="PWstorage"/>
    </sheetNames>
    <sheetDataSet>
      <sheetData sheetId="0" refreshError="1"/>
      <sheetData sheetId="1" refreshError="1"/>
      <sheetData sheetId="2" refreshError="1"/>
      <sheetData sheetId="3">
        <row r="62">
          <cell r="G62">
            <v>3.6</v>
          </cell>
        </row>
        <row r="63">
          <cell r="G63">
            <v>60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B7C934-B518-4AA1-AF32-2777FFB35787}" name="BentDataTable" displayName="BentDataTable" ref="G3:AM301" totalsRowShown="0" headerRowDxfId="90" dataDxfId="88" headerRowBorderDxfId="89" tableBorderDxfId="87" totalsRowBorderDxfId="86">
  <autoFilter ref="G3:AM301" xr:uid="{70B7C934-B518-4AA1-AF32-2777FFB35787}"/>
  <tableColumns count="33">
    <tableColumn id="1" xr3:uid="{2E85F26E-FEEC-4249-B28A-8DE140243272}" name="Bent 6" dataDxfId="85"/>
    <tableColumn id="2" xr3:uid="{4E89A1EE-5FC6-4980-8AA7-4965920AA8FB}" name="Bent 6 - double" dataDxfId="84"/>
    <tableColumn id="3" xr3:uid="{3C24ED2D-B336-48EE-9CE3-5E0E99E654BA}" name="Bent 6 - double center" dataDxfId="83"/>
    <tableColumn id="4" xr3:uid="{A4F3A683-3C5B-4F2C-AF98-E1C15AA919FE}" name="Substr - Single Col Bents (Group F)" dataDxfId="82"/>
    <tableColumn id="6" xr3:uid="{8A04507B-735B-4086-B9F7-212E20C44A0E}" name="Bent 6 - 2 column" dataDxfId="81"/>
    <tableColumn id="5" xr3:uid="{A21994C1-76AA-41CA-BAA4-1E8EC3FA3E9E}" name="Bent 6 - 2 column - 7 bms" dataDxfId="80"/>
    <tableColumn id="7" xr3:uid="{1ABAF083-9A43-49C9-8A3E-8889A020F5AC}" name="Bent 6 - Rectangular - 7 bms" dataDxfId="79"/>
    <tableColumn id="8" xr3:uid="{D80D4B81-2073-4D36-A15B-FC529DA62D5C}" name="Bent 6 - 3 column" dataDxfId="78"/>
    <tableColumn id="9" xr3:uid="{E9788EBF-A454-4AD1-88CB-2E06E5851D69}" name="Bent 19R" dataDxfId="77" dataCellStyle="Output"/>
    <tableColumn id="10" xr3:uid="{835036A2-C7FA-4E4E-BDAC-C15C7A406974}" name="Bent 20R, 21R" dataDxfId="76" dataCellStyle="Output"/>
    <tableColumn id="11" xr3:uid="{03EA547B-3A20-46CF-89A8-8E54B540A5BC}" name="Bent 22R" dataDxfId="75" dataCellStyle="Output"/>
    <tableColumn id="12" xr3:uid="{036E4C5B-C1DE-479E-A473-A6E648852A33}" name="Bent 27R, 65R" dataDxfId="74" dataCellStyle="Output"/>
    <tableColumn id="13" xr3:uid="{73EA69CE-6DE0-4798-B16C-1C9174C357EB}" name="Bent 28R-30R, 41R, 64R, 68R-73R" dataDxfId="73" dataCellStyle="Output"/>
    <tableColumn id="14" xr3:uid="{874C04D6-D6C4-41A2-93BF-DF2717892CD3}" name="Bent 40R" dataDxfId="72" dataCellStyle="Output"/>
    <tableColumn id="15" xr3:uid="{1CB9B5C6-9D80-4281-B146-FEEFCD825632}" name="Bent 46R" dataDxfId="71" dataCellStyle="Output"/>
    <tableColumn id="16" xr3:uid="{972DAB5E-11D3-4AD0-BB3D-269F35DFD9FB}" name="Bent 47R" dataDxfId="70" dataCellStyle="Output"/>
    <tableColumn id="17" xr3:uid="{73D86CA1-9D5B-4FEA-889A-9A2E13E02BCC}" name="Bent 24R, 44R, 59R" dataDxfId="69" dataCellStyle="Output"/>
    <tableColumn id="18" xr3:uid="{F0DD2A77-BD74-4D2E-BF1E-73CC6D9C2DF5}" name="Bent 45R, 60R, 61R" dataDxfId="68" dataCellStyle="Output"/>
    <tableColumn id="19" xr3:uid="{868FE672-D035-42CF-AA17-8BDFE9B547B4}" name="Bent 33R-36R, 49R-55R" dataDxfId="67" dataCellStyle="Output"/>
    <tableColumn id="20" xr3:uid="{D0F42816-2EEC-443F-A9E3-EBA30BC5F47A}" name="Bent 37R" dataDxfId="66" dataCellStyle="Output"/>
    <tableColumn id="21" xr3:uid="{1CA917D7-290F-47F9-9C1F-BCC87580F0BD}" name="Bent 48R" dataDxfId="65" dataCellStyle="Output"/>
    <tableColumn id="22" xr3:uid="{40523974-080A-426F-8272-1A8F43E5CE7C}" name="Bent 56R" dataDxfId="64" dataCellStyle="Output"/>
    <tableColumn id="23" xr3:uid="{D43894C7-08A9-4424-BF9D-8D67E5882A73}" name="Bent 25R-26R, 57R, 66R" dataDxfId="63" dataCellStyle="Output"/>
    <tableColumn id="24" xr3:uid="{79A36886-10AF-4FC4-B242-7D6408595E3D}" name="Bent 31R, 63R" dataDxfId="62" dataCellStyle="Output"/>
    <tableColumn id="25" xr3:uid="{520AF0D5-A2B3-4AEC-BCBD-CCD2E5F1A3A1}" name="Bent 38R, 42R, 67R" dataDxfId="61" dataCellStyle="Output"/>
    <tableColumn id="26" xr3:uid="{20503B79-11D9-4B78-A0B1-C4214228E474}" name="Bent 39R" dataDxfId="60" dataCellStyle="Output"/>
    <tableColumn id="27" xr3:uid="{2CE86297-C7EA-4779-BA9D-4D3EF395CF1E}" name="Bent 62R" dataDxfId="59" dataCellStyle="Output"/>
    <tableColumn id="28" xr3:uid="{6C9BB1DC-A298-42B8-A8DF-ACB621D22472}" name="Bent 32R" dataDxfId="58" dataCellStyle="Output"/>
    <tableColumn id="29" xr3:uid="{F44A5042-F812-45E3-AD9F-531148BCE8D2}" name="Bent 74R" dataDxfId="57" dataCellStyle="Output"/>
    <tableColumn id="30" xr3:uid="{45B4098D-CFB4-424A-80A7-451C417FA971}" name="Bent 80R-81R" dataDxfId="56" dataCellStyle="Output"/>
    <tableColumn id="31" xr3:uid="{9EBA6734-7C23-43ED-A3E2-918499B126DA}" name="Bent 75R" dataDxfId="55" dataCellStyle="Output"/>
    <tableColumn id="32" xr3:uid="{8C0B0D01-3E8F-4C32-B28E-0D9CB9FCFDAB}" name="Bent 76R" dataDxfId="54" dataCellStyle="Output"/>
    <tableColumn id="33" xr3:uid="{7E24FD6D-82D8-400A-BFB7-693B1AFB1154}" name="Bent 77R" dataDxfId="53" dataCellStyle="Outpu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D622D4A-8E1F-4D7D-B3F2-E5584D71AD06}" name="Table13" displayName="Table13" ref="B4:K18" totalsRowShown="0" headerRowDxfId="29">
  <autoFilter ref="B4:K18" xr:uid="{AA7130C7-2705-43FC-B333-C514A42B2D37}"/>
  <tableColumns count="10">
    <tableColumn id="1" xr3:uid="{36D65D2A-5799-4CF3-8504-75654B283C2A}" name="Girder Type"/>
    <tableColumn id="2" xr3:uid="{5B00525E-41B1-4B5F-AA58-55E8AE761325}" name="Width (ft)" dataDxfId="28"/>
    <tableColumn id="3" xr3:uid="{29A68D5A-D4A3-4938-B1A2-379379F86C00}" name="Depth (ft)" dataDxfId="27">
      <calculatedColumnFormula>54/12</calculatedColumnFormula>
    </tableColumn>
    <tableColumn id="4" xr3:uid="{636D4147-FC7F-4915-ABFF-4DB163FBA591}" name="Total Top Flange Width (ft)" dataDxfId="26"/>
    <tableColumn id="5" xr3:uid="{A5412DCA-2739-4565-B32F-8FE1B488AEDB}" name="Top Flange Thickness (ft)" dataDxfId="25"/>
    <tableColumn id="6" xr3:uid="{B9F25079-B2CB-47C9-A8D7-E10F1764DE56}" name="Web Thickness (ft)" dataDxfId="24"/>
    <tableColumn id="7" xr3:uid="{708FD27F-D8F2-47D8-A8BB-354B058C1B88}" name="Total Bottom Flange Width (ft)" dataDxfId="23"/>
    <tableColumn id="8" xr3:uid="{85A03C66-8D97-4C1D-8DB2-39BA9EA86500}" name="Bottom Flange Thickness (ft)" dataDxfId="22">
      <calculatedColumnFormula>6.75/12</calculatedColumnFormula>
    </tableColumn>
    <tableColumn id="9" xr3:uid="{336AACFB-5FFF-435D-B91F-022E414A2349}" name="Top Taper Depth" dataDxfId="21"/>
    <tableColumn id="10" xr3:uid="{67D2D78E-AB9D-4712-A77A-218C4595C187}" name="Bottom Taper Depth" dataDxfId="20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7777499-6B8F-4F24-B08D-4E9A539629CD}" name="Tx_Points" displayName="Tx_Points" ref="C25:D38" totalsRowShown="0">
  <autoFilter ref="C25:D38" xr:uid="{FDB19EB7-EEA2-4B05-91DD-2F81FE1467FE}"/>
  <tableColumns count="2">
    <tableColumn id="1" xr3:uid="{E317FA40-F5A7-4C13-9AE3-F6084983CAC0}" name="Tx_x"/>
    <tableColumn id="2" xr3:uid="{60A1DFDE-DA1F-4ABD-BC9F-C95E9C857F5E}" name="Tx_y" dataDxfId="19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6DE15DE-EC51-4A1B-B758-2A51A9C0FE89}" name="U_Points" displayName="U_Points" ref="C55:D68" totalsRowShown="0">
  <autoFilter ref="C55:D68" xr:uid="{D9DBF72D-01E6-472C-B238-638773AA4694}"/>
  <tableColumns count="2">
    <tableColumn id="1" xr3:uid="{C7C7B992-478B-4615-A4E5-DFD907C192C4}" name="U54_x"/>
    <tableColumn id="2" xr3:uid="{F027F289-0A95-4628-95E3-1D08102AC8CC}" name="U54_y" dataDxfId="1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A296266-F4E2-4487-AB49-8C0B67C3A007}" name="Old_Type_Points" displayName="Old_Type_Points" ref="C81:D94" totalsRowShown="0">
  <autoFilter ref="C81:D94" xr:uid="{0A296266-F4E2-4487-AB49-8C0B67C3A007}"/>
  <tableColumns count="2">
    <tableColumn id="1" xr3:uid="{3DD4598C-B634-4C99-83A5-624F1702ADB1}" name="Old_Type_x"/>
    <tableColumn id="2" xr3:uid="{8A2BC0CE-0CC9-41FA-9C81-906E6396F2E6}" name="Old_Type_y" dataDxfId="1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50491C3-6E0A-4E35-9250-17DA5F3002F3}" name="Tx54_Points9" displayName="Tx54_Points9" ref="M25:N38" totalsRowShown="0">
  <autoFilter ref="M25:N38" xr:uid="{550491C3-6E0A-4E35-9250-17DA5F3002F3}"/>
  <tableColumns count="2">
    <tableColumn id="1" xr3:uid="{4ADEF1FC-509F-4580-8526-7955E561E160}" name="Tx28_x"/>
    <tableColumn id="2" xr3:uid="{1AE43BEC-E479-4AFB-993B-98BB49540252}" name="Tx28_y" dataDxfId="16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1CCDB9A-D1D5-49BA-9A6E-F19A333C9AC0}" name="Tx34_Points" displayName="Tx34_Points" ref="P25:Q38" totalsRowShown="0">
  <autoFilter ref="P25:Q38" xr:uid="{A1CCDB9A-D1D5-49BA-9A6E-F19A333C9AC0}"/>
  <tableColumns count="2">
    <tableColumn id="1" xr3:uid="{2453155F-90F0-4536-911E-01E1B57ECB60}" name="Tx34_x"/>
    <tableColumn id="2" xr3:uid="{9EA904FF-8FCD-4CEC-9351-A65A4B33AE41}" name="Tx34_y" dataDxfId="15"/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F0EAF87-B30A-4454-91C4-C1CD424FC812}" name="Tx40_Points" displayName="Tx40_Points" ref="S25:T38" totalsRowShown="0">
  <autoFilter ref="S25:T38" xr:uid="{CF0EAF87-B30A-4454-91C4-C1CD424FC812}"/>
  <tableColumns count="2">
    <tableColumn id="1" xr3:uid="{83AA2F9E-E313-4F6C-B553-C379677BA05C}" name="Tx40_x"/>
    <tableColumn id="2" xr3:uid="{CFE15119-6FDC-4823-B2E6-A4D7AD63D507}" name="Tx40_y" dataDxfId="14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95427F3-DCC1-4601-B96D-30FF3E3D4C4B}" name="Tx46_Points" displayName="Tx46_Points" ref="V25:W38" totalsRowShown="0">
  <autoFilter ref="V25:W38" xr:uid="{A95427F3-DCC1-4601-B96D-30FF3E3D4C4B}"/>
  <tableColumns count="2">
    <tableColumn id="1" xr3:uid="{B6E21486-238F-4165-A32A-51332BEE5337}" name="Tx46_x"/>
    <tableColumn id="2" xr3:uid="{5F960E63-D6A1-4389-9772-E9978FF28854}" name="Tx46_y" dataDxfId="13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DB14E6A-93CC-4110-8687-9374290E3B22}" name="Tx54_Points" displayName="Tx54_Points" ref="Y25:Z38" totalsRowShown="0">
  <autoFilter ref="Y25:Z38" xr:uid="{6DB14E6A-93CC-4110-8687-9374290E3B22}"/>
  <tableColumns count="2">
    <tableColumn id="1" xr3:uid="{E6FDF686-0FE0-4231-8EDB-EB57F2E33042}" name="Tx54_x"/>
    <tableColumn id="2" xr3:uid="{7D20360E-E952-4823-B482-0A0E46A6236F}" name="Tx54_y" dataDxfId="12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6014538-E14D-401D-B9FB-7F62A7D220F3}" name="Tx62_Points" displayName="Tx62_Points" ref="AB25:AC38" totalsRowShown="0">
  <autoFilter ref="AB25:AC38" xr:uid="{C6014538-E14D-401D-B9FB-7F62A7D220F3}"/>
  <tableColumns count="2">
    <tableColumn id="1" xr3:uid="{C71E5380-1AD1-4A53-8C16-DF8CA18B881A}" name="Tx62_x"/>
    <tableColumn id="2" xr3:uid="{F9942E61-EED6-4300-8B5C-D78ACA7E9B47}" name="Tx62_y" dataDxfId="11"/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C53605B-BA46-48A1-B24E-A6F4BB61F52F}" name="Tx70_Points" displayName="Tx70_Points" ref="AE25:AF38" totalsRowShown="0">
  <autoFilter ref="AE25:AF38" xr:uid="{3C53605B-BA46-48A1-B24E-A6F4BB61F52F}"/>
  <tableColumns count="2">
    <tableColumn id="1" xr3:uid="{09BEE416-195C-48AC-B3FA-F81D5A44F466}" name="Tx70_x"/>
    <tableColumn id="2" xr3:uid="{8256FE44-F181-48B3-A688-6EC9C4EAB8C7}" name="Tx70_y" dataDxfId="10"/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375EB0A-2EF6-4DE5-8476-00A39D6EA878}" name="U40_Points" displayName="U40_Points" ref="M55:N68" totalsRowShown="0">
  <autoFilter ref="M55:N68" xr:uid="{3375EB0A-2EF6-4DE5-8476-00A39D6EA878}"/>
  <tableColumns count="2">
    <tableColumn id="1" xr3:uid="{540A2C1E-4BCE-477A-9F77-9DA42A2A9974}" name="U-40_x"/>
    <tableColumn id="2" xr3:uid="{8124E2A9-EDA0-4614-A464-BE48B9CB734F}" name="U-40_y" dataDxfId="9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539A359-9578-4CBE-916E-7E20F70B8DF4}" name="U54_Points" displayName="U54_Points" ref="P55:Q68" totalsRowShown="0">
  <autoFilter ref="P55:Q68" xr:uid="{6539A359-9578-4CBE-916E-7E20F70B8DF4}"/>
  <tableColumns count="2">
    <tableColumn id="1" xr3:uid="{B609F41C-C2C6-4A7E-A24B-8C32936606F8}" name="U-54_x"/>
    <tableColumn id="2" xr3:uid="{036E0C24-C8E7-4EF7-ACEE-6D1C0850D0DF}" name="U-54_y" dataDxfId="8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78D278A-0A20-49A9-B0E9-DF45BE611749}" name="IV_Points" displayName="IV_Points" ref="M81:N94" totalsRowShown="0">
  <autoFilter ref="M81:N94" xr:uid="{278D278A-0A20-49A9-B0E9-DF45BE611749}"/>
  <tableColumns count="2">
    <tableColumn id="1" xr3:uid="{E24C1522-F39F-419A-81DB-CEA7FBBE0738}" name="IV_x"/>
    <tableColumn id="2" xr3:uid="{ACBB5F74-48BF-4362-9B99-BC21BFC94DB0}" name="IV_y" dataDxfId="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36479E8-902E-4AF9-9A95-DCDDAABE0F67}" name="A_Points" displayName="A_Points" ref="P81:Q94" totalsRowShown="0">
  <autoFilter ref="P81:Q94" xr:uid="{336479E8-902E-4AF9-9A95-DCDDAABE0F67}"/>
  <tableColumns count="2">
    <tableColumn id="1" xr3:uid="{AD1708A1-E010-4C79-A591-8996A071A890}" name="A_x"/>
    <tableColumn id="2" xr3:uid="{AA16BDD5-5DDC-4CA1-9158-F7AFA4F64C9F}" name="A_y" dataDxfId="6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AD6EA89-5271-4EDE-BB09-EFFF03318583}" name="B_Points" displayName="B_Points" ref="S81:T94" totalsRowShown="0">
  <autoFilter ref="S81:T94" xr:uid="{CAD6EA89-5271-4EDE-BB09-EFFF03318583}"/>
  <tableColumns count="2">
    <tableColumn id="1" xr3:uid="{DBCE2CBE-B8B2-48D7-8BF2-1E5F6D80B6DB}" name="B_x"/>
    <tableColumn id="2" xr3:uid="{EF9D7D9C-91BE-4CBE-899C-12453F28BA4F}" name="B_y" dataDxfId="5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CE6040F8-7D71-431D-A464-A8B0C9D13124}" name="C_Points" displayName="C_Points" ref="V81:W94" totalsRowShown="0">
  <autoFilter ref="V81:W94" xr:uid="{CE6040F8-7D71-431D-A464-A8B0C9D13124}"/>
  <tableColumns count="2">
    <tableColumn id="1" xr3:uid="{3B1D74AD-70CD-4A4F-9F97-512FFA95030A}" name="C_x"/>
    <tableColumn id="2" xr3:uid="{F9D0CE80-A324-42BC-AA78-E7C88F48B175}" name="C_y" dataDxfId="4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05BFF5A-607F-46F6-8A8E-AC7A19D539A1}" name="Table5" displayName="Table5" ref="Y81:Z94" totalsRowShown="0" tableBorderDxfId="3">
  <autoFilter ref="Y81:Z94" xr:uid="{905BFF5A-607F-46F6-8A8E-AC7A19D539A1}"/>
  <tableColumns count="2">
    <tableColumn id="1" xr3:uid="{5B12F1C8-D73A-459A-B7D2-3BB01E94A10C}" name="Type_54_x"/>
    <tableColumn id="2" xr3:uid="{5778E7BE-D403-4692-9D4F-4A01CFB07A4D}" name="Type_54_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omments" Target="../comments2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1" Type="http://schemas.openxmlformats.org/officeDocument/2006/relationships/drawing" Target="../drawings/drawing2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539CF-0876-4230-958C-A17904B8B0E4}">
  <sheetPr codeName="wsBentData">
    <tabColor rgb="FF800000"/>
    <pageSetUpPr fitToPage="1"/>
  </sheetPr>
  <dimension ref="D2:AM301"/>
  <sheetViews>
    <sheetView topLeftCell="A122" workbookViewId="0">
      <selection activeCell="N252" sqref="N252"/>
    </sheetView>
  </sheetViews>
  <sheetFormatPr defaultRowHeight="15" x14ac:dyDescent="0.25"/>
  <cols>
    <col min="5" max="5" width="18.85546875" style="7" customWidth="1"/>
    <col min="6" max="6" width="59" style="2" bestFit="1" customWidth="1"/>
    <col min="7" max="126" width="13.7109375" customWidth="1"/>
  </cols>
  <sheetData>
    <row r="2" spans="4:39" ht="15.75" thickBot="1" x14ac:dyDescent="0.3"/>
    <row r="3" spans="4:39" ht="30" customHeight="1" thickBot="1" x14ac:dyDescent="0.3">
      <c r="D3" s="9"/>
      <c r="E3" s="82" t="s">
        <v>182</v>
      </c>
      <c r="F3" s="99" t="s">
        <v>25</v>
      </c>
      <c r="G3" s="189" t="s">
        <v>926</v>
      </c>
      <c r="H3" s="189" t="s">
        <v>1153</v>
      </c>
      <c r="I3" s="189" t="s">
        <v>1953</v>
      </c>
      <c r="J3" s="189" t="s">
        <v>1954</v>
      </c>
      <c r="K3" s="189" t="s">
        <v>1959</v>
      </c>
      <c r="L3" s="189" t="s">
        <v>2038</v>
      </c>
      <c r="M3" s="189" t="s">
        <v>2039</v>
      </c>
      <c r="N3" s="189" t="s">
        <v>2052</v>
      </c>
      <c r="O3" s="189" t="s">
        <v>2053</v>
      </c>
      <c r="P3" s="189" t="s">
        <v>2054</v>
      </c>
      <c r="Q3" s="189" t="s">
        <v>2055</v>
      </c>
      <c r="R3" s="189" t="s">
        <v>2056</v>
      </c>
      <c r="S3" s="189" t="s">
        <v>2057</v>
      </c>
      <c r="T3" s="189" t="s">
        <v>2058</v>
      </c>
      <c r="U3" s="189" t="s">
        <v>2059</v>
      </c>
      <c r="V3" s="189" t="s">
        <v>2060</v>
      </c>
      <c r="W3" s="189" t="s">
        <v>2061</v>
      </c>
      <c r="X3" s="189" t="s">
        <v>2062</v>
      </c>
      <c r="Y3" s="189" t="s">
        <v>2063</v>
      </c>
      <c r="Z3" s="189" t="s">
        <v>2064</v>
      </c>
      <c r="AA3" s="189" t="s">
        <v>2065</v>
      </c>
      <c r="AB3" s="189" t="s">
        <v>2066</v>
      </c>
      <c r="AC3" s="189" t="s">
        <v>2067</v>
      </c>
      <c r="AD3" s="189" t="s">
        <v>2068</v>
      </c>
      <c r="AE3" s="189" t="s">
        <v>2069</v>
      </c>
      <c r="AF3" s="189" t="s">
        <v>2070</v>
      </c>
      <c r="AG3" s="189" t="s">
        <v>2071</v>
      </c>
      <c r="AH3" s="189" t="s">
        <v>2072</v>
      </c>
      <c r="AI3" s="189" t="s">
        <v>2073</v>
      </c>
      <c r="AJ3" s="189" t="s">
        <v>2074</v>
      </c>
      <c r="AK3" s="189" t="s">
        <v>2075</v>
      </c>
      <c r="AL3" s="189" t="s">
        <v>2076</v>
      </c>
      <c r="AM3" s="189" t="s">
        <v>2077</v>
      </c>
    </row>
    <row r="4" spans="4:39" x14ac:dyDescent="0.25">
      <c r="E4" s="334" t="s">
        <v>26</v>
      </c>
      <c r="F4" s="100" t="s">
        <v>27</v>
      </c>
      <c r="G4" s="143" t="b">
        <v>1</v>
      </c>
      <c r="H4" s="143" t="b" cm="1">
        <v>1</v>
      </c>
      <c r="I4" s="143" t="b" cm="1">
        <v>1</v>
      </c>
      <c r="J4" s="143" t="b">
        <v>0</v>
      </c>
      <c r="K4" s="143" t="b">
        <v>1</v>
      </c>
      <c r="L4" s="143" t="b" cm="1">
        <v>1</v>
      </c>
      <c r="M4" s="143" t="b" cm="1">
        <v>1</v>
      </c>
      <c r="N4" s="143" t="b" cm="1">
        <v>1</v>
      </c>
      <c r="O4" s="143" t="b" cm="1">
        <v>1</v>
      </c>
      <c r="P4" s="143" t="b" cm="1">
        <v>0</v>
      </c>
      <c r="Q4" s="143" t="b" cm="1">
        <v>0</v>
      </c>
      <c r="R4" s="143" t="b" cm="1">
        <v>0</v>
      </c>
      <c r="S4" s="143" t="b" cm="1">
        <v>0</v>
      </c>
      <c r="T4" s="143" t="b" cm="1">
        <v>0</v>
      </c>
      <c r="U4" s="143" t="b" cm="1">
        <v>0</v>
      </c>
      <c r="V4" s="143" t="b" cm="1">
        <v>0</v>
      </c>
      <c r="W4" s="143" t="b" cm="1">
        <v>0</v>
      </c>
      <c r="X4" s="143" t="b" cm="1">
        <v>0</v>
      </c>
      <c r="Y4" s="143" t="b" cm="1">
        <v>0</v>
      </c>
      <c r="Z4" s="143" t="b" cm="1">
        <v>0</v>
      </c>
      <c r="AA4" s="143" t="b" cm="1">
        <v>0</v>
      </c>
      <c r="AB4" s="143" t="b" cm="1">
        <v>0</v>
      </c>
      <c r="AC4" s="143" t="b" cm="1">
        <v>0</v>
      </c>
      <c r="AD4" s="143" t="b" cm="1">
        <v>0</v>
      </c>
      <c r="AE4" s="143" t="b" cm="1">
        <v>0</v>
      </c>
      <c r="AF4" s="143" t="b" cm="1">
        <v>0</v>
      </c>
      <c r="AG4" s="143" t="b" cm="1">
        <v>0</v>
      </c>
      <c r="AH4" s="143" t="b" cm="1">
        <v>0</v>
      </c>
      <c r="AI4" s="143" t="b" cm="1">
        <v>0</v>
      </c>
      <c r="AJ4" s="143" t="b" cm="1">
        <v>0</v>
      </c>
      <c r="AK4" s="143" t="b" cm="1">
        <v>1</v>
      </c>
      <c r="AL4" s="143" t="b" cm="1">
        <v>1</v>
      </c>
      <c r="AM4" s="143" t="b" cm="1">
        <v>1</v>
      </c>
    </row>
    <row r="5" spans="4:39" x14ac:dyDescent="0.25">
      <c r="E5" s="335"/>
      <c r="F5" s="101" t="s">
        <v>212</v>
      </c>
      <c r="G5" s="70">
        <v>39</v>
      </c>
      <c r="H5" s="70">
        <v>39</v>
      </c>
      <c r="I5" s="70">
        <v>39</v>
      </c>
      <c r="J5" s="70">
        <v>40</v>
      </c>
      <c r="K5" s="70">
        <v>39</v>
      </c>
      <c r="L5" s="70">
        <v>39</v>
      </c>
      <c r="M5" s="70">
        <v>39</v>
      </c>
      <c r="N5" s="70">
        <v>39</v>
      </c>
      <c r="O5" s="70">
        <v>41.666666666666664</v>
      </c>
      <c r="P5" s="70">
        <v>41.6666666666667</v>
      </c>
      <c r="Q5" s="70">
        <v>41.6666666666667</v>
      </c>
      <c r="R5" s="70">
        <v>41.6666666666667</v>
      </c>
      <c r="S5" s="70">
        <v>41.6666666666667</v>
      </c>
      <c r="T5" s="70">
        <v>41.6666666666667</v>
      </c>
      <c r="U5" s="70">
        <v>41.6666666666667</v>
      </c>
      <c r="V5" s="70">
        <v>41.6666666666667</v>
      </c>
      <c r="W5" s="70">
        <v>41.6666666666667</v>
      </c>
      <c r="X5" s="70">
        <v>41.6666666666667</v>
      </c>
      <c r="Y5" s="70">
        <v>41.6666666666667</v>
      </c>
      <c r="Z5" s="70">
        <v>41.6666666666667</v>
      </c>
      <c r="AA5" s="70">
        <v>41.6666666666667</v>
      </c>
      <c r="AB5" s="70">
        <v>41.6666666666667</v>
      </c>
      <c r="AC5" s="70">
        <v>41.6666666666667</v>
      </c>
      <c r="AD5" s="70">
        <v>41.6666666666667</v>
      </c>
      <c r="AE5" s="70">
        <v>41.6666666666667</v>
      </c>
      <c r="AF5" s="70">
        <v>41.6666666666667</v>
      </c>
      <c r="AG5" s="70">
        <v>41.6666666666667</v>
      </c>
      <c r="AH5" s="70">
        <v>41.6666666666667</v>
      </c>
      <c r="AI5" s="70">
        <v>41.6666666666667</v>
      </c>
      <c r="AJ5" s="70">
        <v>41.6666666666667</v>
      </c>
      <c r="AK5" s="70">
        <v>43.182291666666664</v>
      </c>
      <c r="AL5" s="70">
        <v>48.106749999999998</v>
      </c>
      <c r="AM5" s="70">
        <v>55.380208333333336</v>
      </c>
    </row>
    <row r="6" spans="4:39" x14ac:dyDescent="0.25">
      <c r="E6" s="335"/>
      <c r="F6" s="101" t="s">
        <v>6</v>
      </c>
      <c r="G6" s="70">
        <v>0.02</v>
      </c>
      <c r="H6" s="70">
        <v>0.02</v>
      </c>
      <c r="I6" s="70">
        <v>0.02</v>
      </c>
      <c r="J6" s="70">
        <v>0.02</v>
      </c>
      <c r="K6" s="70">
        <v>0.02</v>
      </c>
      <c r="L6" s="70">
        <v>0.02</v>
      </c>
      <c r="M6" s="70">
        <v>0.02</v>
      </c>
      <c r="N6" s="70">
        <v>0.02</v>
      </c>
      <c r="O6" s="70">
        <v>0.02</v>
      </c>
      <c r="P6" s="70">
        <v>0.02</v>
      </c>
      <c r="Q6" s="70">
        <v>0.02</v>
      </c>
      <c r="R6" s="70">
        <v>0.02</v>
      </c>
      <c r="S6" s="70">
        <v>0.02</v>
      </c>
      <c r="T6" s="70">
        <v>0.02</v>
      </c>
      <c r="U6" s="70">
        <v>0.02</v>
      </c>
      <c r="V6" s="70">
        <v>0.02</v>
      </c>
      <c r="W6" s="70">
        <v>0.02</v>
      </c>
      <c r="X6" s="70">
        <v>0.02</v>
      </c>
      <c r="Y6" s="70">
        <v>0.02</v>
      </c>
      <c r="Z6" s="70">
        <v>0.02</v>
      </c>
      <c r="AA6" s="70">
        <v>0.02</v>
      </c>
      <c r="AB6" s="70">
        <v>0.02</v>
      </c>
      <c r="AC6" s="70">
        <v>0.02</v>
      </c>
      <c r="AD6" s="70">
        <v>0.02</v>
      </c>
      <c r="AE6" s="70">
        <v>0.02</v>
      </c>
      <c r="AF6" s="70">
        <v>0.02</v>
      </c>
      <c r="AG6" s="70">
        <v>0.02</v>
      </c>
      <c r="AH6" s="70">
        <v>0.02</v>
      </c>
      <c r="AI6" s="70">
        <v>0.02</v>
      </c>
      <c r="AJ6" s="70">
        <v>0.02</v>
      </c>
      <c r="AK6" s="70">
        <v>0.02</v>
      </c>
      <c r="AL6" s="70">
        <v>0.02</v>
      </c>
      <c r="AM6" s="70">
        <v>0.02</v>
      </c>
    </row>
    <row r="7" spans="4:39" x14ac:dyDescent="0.25">
      <c r="E7" s="335"/>
      <c r="F7" s="101" t="s">
        <v>934</v>
      </c>
      <c r="G7" s="70">
        <v>8.5</v>
      </c>
      <c r="H7" s="70">
        <v>8.5</v>
      </c>
      <c r="I7" s="70">
        <v>8.5</v>
      </c>
      <c r="J7" s="70">
        <v>8.5</v>
      </c>
      <c r="K7" s="70">
        <v>8.5</v>
      </c>
      <c r="L7" s="70">
        <v>8.5</v>
      </c>
      <c r="M7" s="70">
        <v>8.5</v>
      </c>
      <c r="N7" s="70">
        <v>8.5</v>
      </c>
      <c r="O7" s="70">
        <v>7.25</v>
      </c>
      <c r="P7" s="70">
        <v>7.25</v>
      </c>
      <c r="Q7" s="70">
        <v>7.25</v>
      </c>
      <c r="R7" s="70">
        <v>8</v>
      </c>
      <c r="S7" s="70">
        <v>8</v>
      </c>
      <c r="T7" s="70">
        <v>8</v>
      </c>
      <c r="U7" s="70">
        <v>8</v>
      </c>
      <c r="V7" s="70">
        <v>8</v>
      </c>
      <c r="W7" s="70">
        <v>8</v>
      </c>
      <c r="X7" s="70">
        <v>8</v>
      </c>
      <c r="Y7" s="70">
        <v>7.25</v>
      </c>
      <c r="Z7" s="70">
        <v>7.25</v>
      </c>
      <c r="AA7" s="70">
        <v>7.25</v>
      </c>
      <c r="AB7" s="70">
        <v>7.25</v>
      </c>
      <c r="AC7" s="70">
        <v>6.75</v>
      </c>
      <c r="AD7" s="70">
        <v>6.75</v>
      </c>
      <c r="AE7" s="70">
        <v>6.75</v>
      </c>
      <c r="AF7" s="70">
        <v>6.75</v>
      </c>
      <c r="AG7" s="70">
        <v>6.75</v>
      </c>
      <c r="AH7" s="70">
        <v>6.75</v>
      </c>
      <c r="AI7" s="70">
        <v>7</v>
      </c>
      <c r="AJ7" s="70">
        <v>8</v>
      </c>
      <c r="AK7" s="70">
        <v>7</v>
      </c>
      <c r="AL7" s="70">
        <v>7.75</v>
      </c>
      <c r="AM7" s="70">
        <v>7.75</v>
      </c>
    </row>
    <row r="8" spans="4:39" x14ac:dyDescent="0.25">
      <c r="E8" s="335"/>
      <c r="F8" s="101" t="s">
        <v>28</v>
      </c>
      <c r="G8" s="70">
        <v>0</v>
      </c>
      <c r="H8" s="70">
        <v>0</v>
      </c>
      <c r="I8" s="70">
        <v>0</v>
      </c>
      <c r="J8" s="70">
        <v>0</v>
      </c>
      <c r="K8" s="70">
        <v>0</v>
      </c>
      <c r="L8" s="70">
        <v>0</v>
      </c>
      <c r="M8" s="70">
        <v>0</v>
      </c>
      <c r="N8" s="70">
        <v>0</v>
      </c>
      <c r="O8" s="70">
        <v>0</v>
      </c>
      <c r="P8" s="70">
        <v>0</v>
      </c>
      <c r="Q8" s="70">
        <v>0</v>
      </c>
      <c r="R8" s="70">
        <v>0</v>
      </c>
      <c r="S8" s="70">
        <v>0</v>
      </c>
      <c r="T8" s="70">
        <v>0</v>
      </c>
      <c r="U8" s="70">
        <v>0</v>
      </c>
      <c r="V8" s="70">
        <v>0</v>
      </c>
      <c r="W8" s="70">
        <v>0</v>
      </c>
      <c r="X8" s="70">
        <v>0</v>
      </c>
      <c r="Y8" s="70">
        <v>0</v>
      </c>
      <c r="Z8" s="70">
        <v>0</v>
      </c>
      <c r="AA8" s="70">
        <v>0</v>
      </c>
      <c r="AB8" s="70">
        <v>0</v>
      </c>
      <c r="AC8" s="70">
        <v>0</v>
      </c>
      <c r="AD8" s="70">
        <v>0</v>
      </c>
      <c r="AE8" s="70">
        <v>0</v>
      </c>
      <c r="AF8" s="70">
        <v>0</v>
      </c>
      <c r="AG8" s="70">
        <v>0</v>
      </c>
      <c r="AH8" s="70">
        <v>0</v>
      </c>
      <c r="AI8" s="70">
        <v>0</v>
      </c>
      <c r="AJ8" s="70">
        <v>0</v>
      </c>
      <c r="AK8" s="70">
        <v>0</v>
      </c>
      <c r="AL8" s="70">
        <v>0</v>
      </c>
      <c r="AM8" s="70">
        <v>0</v>
      </c>
    </row>
    <row r="9" spans="4:39" x14ac:dyDescent="0.25">
      <c r="E9" s="335"/>
      <c r="F9" s="101" t="s">
        <v>29</v>
      </c>
      <c r="G9" s="70">
        <v>0.14000000000000001</v>
      </c>
      <c r="H9" s="70">
        <v>0.14000000000000001</v>
      </c>
      <c r="I9" s="70">
        <v>0.14000000000000001</v>
      </c>
      <c r="J9" s="70">
        <v>0.14000000000000001</v>
      </c>
      <c r="K9" s="70">
        <v>0.14000000000000001</v>
      </c>
      <c r="L9" s="70">
        <v>0.14000000000000001</v>
      </c>
      <c r="M9" s="70">
        <v>0.14000000000000001</v>
      </c>
      <c r="N9" s="70">
        <v>0.14000000000000001</v>
      </c>
      <c r="O9" s="70">
        <v>0.14000000000000001</v>
      </c>
      <c r="P9" s="70">
        <v>0.14000000000000001</v>
      </c>
      <c r="Q9" s="70">
        <v>0.14000000000000001</v>
      </c>
      <c r="R9" s="70">
        <v>0.14000000000000001</v>
      </c>
      <c r="S9" s="70">
        <v>0.14000000000000001</v>
      </c>
      <c r="T9" s="70">
        <v>0.14000000000000001</v>
      </c>
      <c r="U9" s="70">
        <v>0.14000000000000001</v>
      </c>
      <c r="V9" s="70">
        <v>0.14000000000000001</v>
      </c>
      <c r="W9" s="70">
        <v>0.14000000000000001</v>
      </c>
      <c r="X9" s="70">
        <v>0.14000000000000001</v>
      </c>
      <c r="Y9" s="70">
        <v>0.14000000000000001</v>
      </c>
      <c r="Z9" s="70">
        <v>0.14000000000000001</v>
      </c>
      <c r="AA9" s="70">
        <v>0.14000000000000001</v>
      </c>
      <c r="AB9" s="70">
        <v>0.14000000000000001</v>
      </c>
      <c r="AC9" s="70">
        <v>0.14000000000000001</v>
      </c>
      <c r="AD9" s="70">
        <v>0.14000000000000001</v>
      </c>
      <c r="AE9" s="70">
        <v>0.14000000000000001</v>
      </c>
      <c r="AF9" s="70">
        <v>0.14000000000000001</v>
      </c>
      <c r="AG9" s="70">
        <v>0.14000000000000001</v>
      </c>
      <c r="AH9" s="70">
        <v>0.14000000000000001</v>
      </c>
      <c r="AI9" s="70">
        <v>0.14000000000000001</v>
      </c>
      <c r="AJ9" s="70">
        <v>0.14000000000000001</v>
      </c>
      <c r="AK9" s="70">
        <v>0.14000000000000001</v>
      </c>
      <c r="AL9" s="70">
        <v>0.14000000000000001</v>
      </c>
      <c r="AM9" s="70">
        <v>0.14000000000000001</v>
      </c>
    </row>
    <row r="10" spans="4:39" ht="15.75" thickBot="1" x14ac:dyDescent="0.3">
      <c r="E10" s="336"/>
      <c r="F10" s="102" t="s">
        <v>30</v>
      </c>
      <c r="G10" s="70">
        <v>0</v>
      </c>
      <c r="H10" s="70">
        <v>0</v>
      </c>
      <c r="I10" s="70">
        <v>0</v>
      </c>
      <c r="J10" s="70">
        <v>0</v>
      </c>
      <c r="K10" s="70">
        <v>0</v>
      </c>
      <c r="L10" s="70">
        <v>0</v>
      </c>
      <c r="M10" s="70">
        <v>0</v>
      </c>
      <c r="N10" s="70">
        <v>0</v>
      </c>
      <c r="O10" s="70">
        <v>0</v>
      </c>
      <c r="P10" s="70">
        <v>0</v>
      </c>
      <c r="Q10" s="70">
        <v>0</v>
      </c>
      <c r="R10" s="70">
        <v>0</v>
      </c>
      <c r="S10" s="70">
        <v>0</v>
      </c>
      <c r="T10" s="70">
        <v>0</v>
      </c>
      <c r="U10" s="70">
        <v>0</v>
      </c>
      <c r="V10" s="70">
        <v>0</v>
      </c>
      <c r="W10" s="70">
        <v>0</v>
      </c>
      <c r="X10" s="70">
        <v>0</v>
      </c>
      <c r="Y10" s="70">
        <v>0</v>
      </c>
      <c r="Z10" s="70">
        <v>0</v>
      </c>
      <c r="AA10" s="70">
        <v>0</v>
      </c>
      <c r="AB10" s="70">
        <v>0</v>
      </c>
      <c r="AC10" s="70">
        <v>0</v>
      </c>
      <c r="AD10" s="70">
        <v>0</v>
      </c>
      <c r="AE10" s="70">
        <v>0</v>
      </c>
      <c r="AF10" s="70">
        <v>0</v>
      </c>
      <c r="AG10" s="70">
        <v>0</v>
      </c>
      <c r="AH10" s="70">
        <v>0</v>
      </c>
      <c r="AI10" s="70">
        <v>0</v>
      </c>
      <c r="AJ10" s="70">
        <v>0</v>
      </c>
      <c r="AK10" s="70">
        <v>0</v>
      </c>
      <c r="AL10" s="70">
        <v>0</v>
      </c>
      <c r="AM10" s="70">
        <v>0</v>
      </c>
    </row>
    <row r="11" spans="4:39" x14ac:dyDescent="0.25">
      <c r="E11" s="334" t="s">
        <v>34</v>
      </c>
      <c r="F11" s="100" t="s">
        <v>0</v>
      </c>
      <c r="G11" s="70" t="s">
        <v>85</v>
      </c>
      <c r="H11" s="70" t="s">
        <v>85</v>
      </c>
      <c r="I11" s="70" t="s">
        <v>85</v>
      </c>
      <c r="J11" s="70" t="s">
        <v>86</v>
      </c>
      <c r="K11" s="70" t="s">
        <v>85</v>
      </c>
      <c r="L11" s="70" t="s">
        <v>85</v>
      </c>
      <c r="M11" s="70" t="s">
        <v>85</v>
      </c>
      <c r="N11" s="70" t="s">
        <v>85</v>
      </c>
      <c r="O11" s="70" t="s">
        <v>930</v>
      </c>
      <c r="P11" s="70" t="s">
        <v>930</v>
      </c>
      <c r="Q11" s="70" t="s">
        <v>930</v>
      </c>
      <c r="R11" s="70" t="s">
        <v>1</v>
      </c>
      <c r="S11" s="70" t="s">
        <v>1</v>
      </c>
      <c r="T11" s="70" t="s">
        <v>1</v>
      </c>
      <c r="U11" s="70" t="s">
        <v>1</v>
      </c>
      <c r="V11" s="70" t="s">
        <v>1</v>
      </c>
      <c r="W11" s="70" t="s">
        <v>1</v>
      </c>
      <c r="X11" s="70" t="s">
        <v>1</v>
      </c>
      <c r="Y11" s="70" t="s">
        <v>1</v>
      </c>
      <c r="Z11" s="70" t="s">
        <v>1</v>
      </c>
      <c r="AA11" s="70" t="s">
        <v>1</v>
      </c>
      <c r="AB11" s="70" t="s">
        <v>1</v>
      </c>
      <c r="AC11" s="70" t="s">
        <v>1</v>
      </c>
      <c r="AD11" s="70" t="s">
        <v>1</v>
      </c>
      <c r="AE11" s="70" t="s">
        <v>1</v>
      </c>
      <c r="AF11" s="70" t="s">
        <v>1</v>
      </c>
      <c r="AG11" s="70" t="s">
        <v>1</v>
      </c>
      <c r="AH11" s="70" t="s">
        <v>1</v>
      </c>
      <c r="AI11" s="70" t="s">
        <v>1</v>
      </c>
      <c r="AJ11" s="70" t="s">
        <v>1</v>
      </c>
      <c r="AK11" s="70" t="s">
        <v>1</v>
      </c>
      <c r="AL11" s="70" t="s">
        <v>1</v>
      </c>
      <c r="AM11" s="70" t="s">
        <v>1</v>
      </c>
    </row>
    <row r="12" spans="4:39" x14ac:dyDescent="0.25">
      <c r="E12" s="335"/>
      <c r="F12" s="101" t="s">
        <v>5</v>
      </c>
      <c r="G12" s="70">
        <v>3.5</v>
      </c>
      <c r="H12" s="70">
        <v>3.5</v>
      </c>
      <c r="I12" s="70">
        <v>3.5</v>
      </c>
      <c r="J12" s="70">
        <v>3.5</v>
      </c>
      <c r="K12" s="70">
        <v>3.5</v>
      </c>
      <c r="L12" s="70">
        <v>3.5</v>
      </c>
      <c r="M12" s="70">
        <v>3.5</v>
      </c>
      <c r="N12" s="70">
        <v>3.5</v>
      </c>
      <c r="O12" s="70">
        <v>0.75</v>
      </c>
      <c r="P12" s="70">
        <v>0.75</v>
      </c>
      <c r="Q12" s="70">
        <v>0.75</v>
      </c>
      <c r="R12" s="70">
        <v>0.75</v>
      </c>
      <c r="S12" s="70">
        <v>0.75</v>
      </c>
      <c r="T12" s="70">
        <v>0.75</v>
      </c>
      <c r="U12" s="70">
        <v>0.75</v>
      </c>
      <c r="V12" s="70">
        <v>0.75</v>
      </c>
      <c r="W12" s="70">
        <v>0.75</v>
      </c>
      <c r="X12" s="70">
        <v>0.75</v>
      </c>
      <c r="Y12" s="70">
        <v>1.5</v>
      </c>
      <c r="Z12" s="70">
        <v>1.5</v>
      </c>
      <c r="AA12" s="70">
        <v>1.5</v>
      </c>
      <c r="AB12" s="70">
        <v>1.5</v>
      </c>
      <c r="AC12" s="70">
        <v>2</v>
      </c>
      <c r="AD12" s="70">
        <v>2</v>
      </c>
      <c r="AE12" s="70">
        <v>2</v>
      </c>
      <c r="AF12" s="70">
        <v>2</v>
      </c>
      <c r="AG12" s="70">
        <v>2</v>
      </c>
      <c r="AH12" s="70">
        <v>2</v>
      </c>
      <c r="AI12" s="70">
        <v>1.75</v>
      </c>
      <c r="AJ12" s="70">
        <v>0.75</v>
      </c>
      <c r="AK12" s="70">
        <v>1.75</v>
      </c>
      <c r="AL12" s="70">
        <v>1</v>
      </c>
      <c r="AM12" s="70">
        <v>1</v>
      </c>
    </row>
    <row r="13" spans="4:39" x14ac:dyDescent="0.25">
      <c r="E13" s="335"/>
      <c r="F13" s="101" t="s">
        <v>31</v>
      </c>
      <c r="G13" s="70">
        <v>2.75</v>
      </c>
      <c r="H13" s="70">
        <v>2.75</v>
      </c>
      <c r="I13" s="70">
        <v>2.75</v>
      </c>
      <c r="J13" s="70">
        <v>2.75</v>
      </c>
      <c r="K13" s="70">
        <v>2.75</v>
      </c>
      <c r="L13" s="70">
        <v>2.75</v>
      </c>
      <c r="M13" s="70">
        <v>2.75</v>
      </c>
      <c r="N13" s="70">
        <v>2.75</v>
      </c>
      <c r="O13" s="70">
        <v>1.75</v>
      </c>
      <c r="P13" s="70">
        <v>1.75</v>
      </c>
      <c r="Q13" s="70">
        <v>1.75</v>
      </c>
      <c r="R13" s="70">
        <v>1.75</v>
      </c>
      <c r="S13" s="70">
        <v>1.75</v>
      </c>
      <c r="T13" s="70">
        <v>1.75</v>
      </c>
      <c r="U13" s="70">
        <v>1.75</v>
      </c>
      <c r="V13" s="70">
        <v>1.75</v>
      </c>
      <c r="W13" s="70">
        <v>1.75</v>
      </c>
      <c r="X13" s="70">
        <v>1.75</v>
      </c>
      <c r="Y13" s="70">
        <v>1.75</v>
      </c>
      <c r="Z13" s="70">
        <v>1.75</v>
      </c>
      <c r="AA13" s="70">
        <v>1.75</v>
      </c>
      <c r="AB13" s="70">
        <v>1.75</v>
      </c>
      <c r="AC13" s="70">
        <v>1.75</v>
      </c>
      <c r="AD13" s="70">
        <v>1.75</v>
      </c>
      <c r="AE13" s="70">
        <v>1.75</v>
      </c>
      <c r="AF13" s="70">
        <v>1.75</v>
      </c>
      <c r="AG13" s="70">
        <v>1.75</v>
      </c>
      <c r="AH13" s="70">
        <v>1.75</v>
      </c>
      <c r="AI13" s="70">
        <v>1.75</v>
      </c>
      <c r="AJ13" s="70">
        <v>1.75</v>
      </c>
      <c r="AK13" s="70">
        <v>1.75</v>
      </c>
      <c r="AL13" s="70">
        <v>1.75</v>
      </c>
      <c r="AM13" s="70">
        <v>1.75</v>
      </c>
    </row>
    <row r="14" spans="4:39" ht="15.75" thickBot="1" x14ac:dyDescent="0.3">
      <c r="E14" s="336"/>
      <c r="F14" s="102" t="s">
        <v>32</v>
      </c>
      <c r="G14" s="70">
        <v>5.25</v>
      </c>
      <c r="H14" s="70">
        <v>5.25</v>
      </c>
      <c r="I14" s="70">
        <v>5.25</v>
      </c>
      <c r="J14" s="70">
        <v>1.5</v>
      </c>
      <c r="K14" s="70">
        <v>5.25</v>
      </c>
      <c r="L14" s="70">
        <v>5.25</v>
      </c>
      <c r="M14" s="70">
        <v>5.25</v>
      </c>
      <c r="N14" s="70">
        <v>5.25</v>
      </c>
      <c r="O14" s="70">
        <v>1</v>
      </c>
      <c r="P14" s="70">
        <v>1</v>
      </c>
      <c r="Q14" s="70">
        <v>1</v>
      </c>
      <c r="R14" s="70">
        <v>1</v>
      </c>
      <c r="S14" s="70">
        <v>1</v>
      </c>
      <c r="T14" s="70">
        <v>1</v>
      </c>
      <c r="U14" s="70">
        <v>1</v>
      </c>
      <c r="V14" s="70">
        <v>1</v>
      </c>
      <c r="W14" s="70">
        <v>1</v>
      </c>
      <c r="X14" s="70">
        <v>1</v>
      </c>
      <c r="Y14" s="70">
        <v>1</v>
      </c>
      <c r="Z14" s="70">
        <v>1</v>
      </c>
      <c r="AA14" s="70">
        <v>1</v>
      </c>
      <c r="AB14" s="70">
        <v>1</v>
      </c>
      <c r="AC14" s="70">
        <v>1</v>
      </c>
      <c r="AD14" s="70">
        <v>1</v>
      </c>
      <c r="AE14" s="70">
        <v>1</v>
      </c>
      <c r="AF14" s="70">
        <v>1</v>
      </c>
      <c r="AG14" s="70">
        <v>1</v>
      </c>
      <c r="AH14" s="70">
        <v>1</v>
      </c>
      <c r="AI14" s="70">
        <v>1</v>
      </c>
      <c r="AJ14" s="70">
        <v>1</v>
      </c>
      <c r="AK14" s="70">
        <v>1</v>
      </c>
      <c r="AL14" s="70">
        <v>1</v>
      </c>
      <c r="AM14" s="70">
        <v>1</v>
      </c>
    </row>
    <row r="15" spans="4:39" x14ac:dyDescent="0.25">
      <c r="E15" s="334" t="s">
        <v>35</v>
      </c>
      <c r="F15" s="103" t="s">
        <v>0</v>
      </c>
      <c r="G15" s="70" t="s">
        <v>85</v>
      </c>
      <c r="H15" s="70" t="s">
        <v>85</v>
      </c>
      <c r="I15" s="70" t="s">
        <v>85</v>
      </c>
      <c r="J15" s="70" t="s">
        <v>86</v>
      </c>
      <c r="K15" s="70" t="s">
        <v>85</v>
      </c>
      <c r="L15" s="70" t="s">
        <v>85</v>
      </c>
      <c r="M15" s="70" t="s">
        <v>85</v>
      </c>
      <c r="N15" s="70" t="s">
        <v>85</v>
      </c>
      <c r="O15" s="70" t="s">
        <v>930</v>
      </c>
      <c r="P15" s="70" t="s">
        <v>930</v>
      </c>
      <c r="Q15" s="70" t="s">
        <v>1</v>
      </c>
      <c r="R15" s="70" t="s">
        <v>1</v>
      </c>
      <c r="S15" s="70" t="s">
        <v>1</v>
      </c>
      <c r="T15" s="70" t="s">
        <v>1</v>
      </c>
      <c r="U15" s="70" t="s">
        <v>1</v>
      </c>
      <c r="V15" s="70" t="s">
        <v>1</v>
      </c>
      <c r="W15" s="70" t="s">
        <v>1</v>
      </c>
      <c r="X15" s="70" t="s">
        <v>1</v>
      </c>
      <c r="Y15" s="70" t="s">
        <v>1</v>
      </c>
      <c r="Z15" s="70" t="s">
        <v>1</v>
      </c>
      <c r="AA15" s="70" t="s">
        <v>1</v>
      </c>
      <c r="AB15" s="70" t="s">
        <v>1</v>
      </c>
      <c r="AC15" s="70" t="s">
        <v>1</v>
      </c>
      <c r="AD15" s="70" t="s">
        <v>1</v>
      </c>
      <c r="AE15" s="70" t="s">
        <v>1</v>
      </c>
      <c r="AF15" s="70" t="s">
        <v>1</v>
      </c>
      <c r="AG15" s="70" t="s">
        <v>1</v>
      </c>
      <c r="AH15" s="70" t="s">
        <v>1</v>
      </c>
      <c r="AI15" s="70" t="s">
        <v>1</v>
      </c>
      <c r="AJ15" s="70" t="s">
        <v>1</v>
      </c>
      <c r="AK15" s="70" t="s">
        <v>1</v>
      </c>
      <c r="AL15" s="70" t="s">
        <v>1</v>
      </c>
      <c r="AM15" s="70" t="s">
        <v>1</v>
      </c>
    </row>
    <row r="16" spans="4:39" x14ac:dyDescent="0.25">
      <c r="E16" s="335"/>
      <c r="F16" s="101" t="s">
        <v>5</v>
      </c>
      <c r="G16" s="70">
        <v>3.5</v>
      </c>
      <c r="H16" s="70">
        <v>3.5</v>
      </c>
      <c r="I16" s="70">
        <v>3.5</v>
      </c>
      <c r="J16" s="70">
        <v>3.5</v>
      </c>
      <c r="K16" s="70">
        <v>3.5</v>
      </c>
      <c r="L16" s="70">
        <v>3.5</v>
      </c>
      <c r="M16" s="70">
        <v>3.5</v>
      </c>
      <c r="N16" s="70">
        <v>3.5</v>
      </c>
      <c r="O16" s="70">
        <v>0.75</v>
      </c>
      <c r="P16" s="70">
        <v>0.75</v>
      </c>
      <c r="Q16" s="70">
        <v>1.25</v>
      </c>
      <c r="R16" s="70">
        <v>0.75</v>
      </c>
      <c r="S16" s="70">
        <v>0.75</v>
      </c>
      <c r="T16" s="70">
        <v>0.75</v>
      </c>
      <c r="U16" s="70">
        <v>0.75</v>
      </c>
      <c r="V16" s="70">
        <v>0.75</v>
      </c>
      <c r="W16" s="70">
        <v>0.75</v>
      </c>
      <c r="X16" s="70">
        <v>0.75</v>
      </c>
      <c r="Y16" s="70">
        <v>1.5</v>
      </c>
      <c r="Z16" s="70">
        <v>0.75</v>
      </c>
      <c r="AA16" s="70">
        <v>0.75</v>
      </c>
      <c r="AB16" s="70">
        <v>0.75</v>
      </c>
      <c r="AC16" s="70">
        <v>0.75</v>
      </c>
      <c r="AD16" s="70">
        <v>0.75</v>
      </c>
      <c r="AE16" s="70">
        <v>0.75</v>
      </c>
      <c r="AF16" s="70">
        <v>0.75</v>
      </c>
      <c r="AG16" s="70">
        <v>0.75</v>
      </c>
      <c r="AH16" s="70">
        <v>1.5</v>
      </c>
      <c r="AI16" s="70">
        <v>1.5</v>
      </c>
      <c r="AJ16" s="70">
        <v>0.75</v>
      </c>
      <c r="AK16" s="70">
        <v>1</v>
      </c>
      <c r="AL16" s="70">
        <v>1</v>
      </c>
      <c r="AM16" s="70">
        <v>1</v>
      </c>
    </row>
    <row r="17" spans="5:39" ht="15.75" thickBot="1" x14ac:dyDescent="0.3">
      <c r="E17" s="336"/>
      <c r="F17" s="102" t="s">
        <v>31</v>
      </c>
      <c r="G17" s="70">
        <v>2.75</v>
      </c>
      <c r="H17" s="70">
        <v>2.75</v>
      </c>
      <c r="I17" s="70">
        <v>2.75</v>
      </c>
      <c r="J17" s="70">
        <v>2.75</v>
      </c>
      <c r="K17" s="70">
        <v>2.75</v>
      </c>
      <c r="L17" s="70">
        <v>2.75</v>
      </c>
      <c r="M17" s="70">
        <v>2.75</v>
      </c>
      <c r="N17" s="70">
        <v>2.75</v>
      </c>
      <c r="O17" s="70">
        <v>1.75</v>
      </c>
      <c r="P17" s="70">
        <v>1.75</v>
      </c>
      <c r="Q17" s="70">
        <v>1.75</v>
      </c>
      <c r="R17" s="70">
        <v>1.75</v>
      </c>
      <c r="S17" s="70">
        <v>1.75</v>
      </c>
      <c r="T17" s="70">
        <v>1.75</v>
      </c>
      <c r="U17" s="70">
        <v>1.75</v>
      </c>
      <c r="V17" s="70">
        <v>1.75</v>
      </c>
      <c r="W17" s="70">
        <v>1.75</v>
      </c>
      <c r="X17" s="70">
        <v>1.75</v>
      </c>
      <c r="Y17" s="70">
        <v>1.75</v>
      </c>
      <c r="Z17" s="70">
        <v>1.75</v>
      </c>
      <c r="AA17" s="70">
        <v>1.75</v>
      </c>
      <c r="AB17" s="70">
        <v>1.75</v>
      </c>
      <c r="AC17" s="70">
        <v>1.75</v>
      </c>
      <c r="AD17" s="70">
        <v>1.75</v>
      </c>
      <c r="AE17" s="70">
        <v>1.75</v>
      </c>
      <c r="AF17" s="70">
        <v>1.75</v>
      </c>
      <c r="AG17" s="70">
        <v>1.75</v>
      </c>
      <c r="AH17" s="70">
        <v>1.75</v>
      </c>
      <c r="AI17" s="70">
        <v>1.75</v>
      </c>
      <c r="AJ17" s="70">
        <v>1.75</v>
      </c>
      <c r="AK17" s="70">
        <v>1.75</v>
      </c>
      <c r="AL17" s="70">
        <v>1.75</v>
      </c>
      <c r="AM17" s="70">
        <v>1.75</v>
      </c>
    </row>
    <row r="18" spans="5:39" x14ac:dyDescent="0.25">
      <c r="E18" s="334" t="s">
        <v>36</v>
      </c>
      <c r="F18" s="100" t="s">
        <v>37</v>
      </c>
      <c r="G18" s="70">
        <v>775</v>
      </c>
      <c r="H18" s="70">
        <v>775</v>
      </c>
      <c r="I18" s="70">
        <v>775</v>
      </c>
      <c r="J18" s="70">
        <v>0</v>
      </c>
      <c r="K18" s="70">
        <v>775</v>
      </c>
      <c r="L18" s="70">
        <v>775</v>
      </c>
      <c r="M18" s="70">
        <v>775</v>
      </c>
      <c r="N18" s="70">
        <v>775</v>
      </c>
      <c r="O18" s="70">
        <v>0</v>
      </c>
      <c r="P18" s="70">
        <v>0</v>
      </c>
      <c r="Q18" s="70">
        <v>0</v>
      </c>
      <c r="R18" s="70">
        <v>0</v>
      </c>
      <c r="S18" s="70">
        <v>0</v>
      </c>
      <c r="T18" s="70">
        <v>0</v>
      </c>
      <c r="U18" s="70">
        <v>0</v>
      </c>
      <c r="V18" s="70">
        <v>0</v>
      </c>
      <c r="W18" s="70">
        <v>0</v>
      </c>
      <c r="X18" s="70">
        <v>0</v>
      </c>
      <c r="Y18" s="70">
        <v>0</v>
      </c>
      <c r="Z18" s="70">
        <v>0</v>
      </c>
      <c r="AA18" s="70">
        <v>0</v>
      </c>
      <c r="AB18" s="70">
        <v>0</v>
      </c>
      <c r="AC18" s="70">
        <v>0</v>
      </c>
      <c r="AD18" s="70">
        <v>0</v>
      </c>
      <c r="AE18" s="70">
        <v>0</v>
      </c>
      <c r="AF18" s="70">
        <v>0</v>
      </c>
      <c r="AG18" s="70">
        <v>0</v>
      </c>
      <c r="AH18" s="70">
        <v>0</v>
      </c>
      <c r="AI18" s="70">
        <v>0</v>
      </c>
      <c r="AJ18" s="70">
        <v>0</v>
      </c>
      <c r="AK18" s="70">
        <v>0</v>
      </c>
      <c r="AL18" s="70">
        <v>0</v>
      </c>
      <c r="AM18" s="70">
        <v>0</v>
      </c>
    </row>
    <row r="19" spans="5:39" x14ac:dyDescent="0.25">
      <c r="E19" s="335"/>
      <c r="F19" s="101" t="s">
        <v>213</v>
      </c>
      <c r="G19" s="70">
        <v>-28</v>
      </c>
      <c r="H19" s="70">
        <v>-28</v>
      </c>
      <c r="I19" s="70">
        <v>-28</v>
      </c>
      <c r="J19" s="70">
        <v>-35</v>
      </c>
      <c r="K19" s="70">
        <v>-28</v>
      </c>
      <c r="L19" s="70">
        <v>-28</v>
      </c>
      <c r="M19" s="70">
        <v>-28</v>
      </c>
      <c r="N19" s="70">
        <v>-28</v>
      </c>
      <c r="O19" s="70">
        <v>-6.833333333333333</v>
      </c>
      <c r="P19" s="70">
        <v>-6.833333333333333</v>
      </c>
      <c r="Q19" s="70">
        <v>-6.833333333333333</v>
      </c>
      <c r="R19" s="70">
        <v>-6.833333333333333</v>
      </c>
      <c r="S19" s="70">
        <v>-6.833333333333333</v>
      </c>
      <c r="T19" s="70">
        <v>-6.833333333333333</v>
      </c>
      <c r="U19" s="70">
        <v>-6.833333333333333</v>
      </c>
      <c r="V19" s="70">
        <v>-6.833333333333333</v>
      </c>
      <c r="W19" s="70">
        <v>-6.833333333333333</v>
      </c>
      <c r="X19" s="70">
        <v>-6.833333333333333</v>
      </c>
      <c r="Y19" s="70">
        <v>-6.833333333333333</v>
      </c>
      <c r="Z19" s="70">
        <v>-6.833333333333333</v>
      </c>
      <c r="AA19" s="70">
        <v>-6.833333333333333</v>
      </c>
      <c r="AB19" s="70">
        <v>-6.833333333333333</v>
      </c>
      <c r="AC19" s="70">
        <v>-6.833333333333333</v>
      </c>
      <c r="AD19" s="70">
        <v>-6.833333333333333</v>
      </c>
      <c r="AE19" s="70">
        <v>-6.833333333333333</v>
      </c>
      <c r="AF19" s="70">
        <v>-6.833333333333333</v>
      </c>
      <c r="AG19" s="70">
        <v>-6.833333333333333</v>
      </c>
      <c r="AH19" s="70">
        <v>-6.833333333333333</v>
      </c>
      <c r="AI19" s="70">
        <v>-6.833333333333333</v>
      </c>
      <c r="AJ19" s="70">
        <v>-6.833333333333333</v>
      </c>
      <c r="AK19" s="70">
        <v>-6.833333333333333</v>
      </c>
      <c r="AL19" s="70">
        <v>-6.833333333333333</v>
      </c>
      <c r="AM19" s="70">
        <v>-6.833333333333333</v>
      </c>
    </row>
    <row r="20" spans="5:39" x14ac:dyDescent="0.25">
      <c r="E20" s="335"/>
      <c r="F20" s="101" t="s">
        <v>38</v>
      </c>
      <c r="G20" s="70">
        <v>2</v>
      </c>
      <c r="H20" s="70">
        <v>2</v>
      </c>
      <c r="I20" s="70">
        <v>2</v>
      </c>
      <c r="J20" s="70">
        <v>3</v>
      </c>
      <c r="K20" s="70">
        <v>2</v>
      </c>
      <c r="L20" s="70">
        <v>2</v>
      </c>
      <c r="M20" s="70">
        <v>2</v>
      </c>
      <c r="N20" s="70">
        <v>2</v>
      </c>
      <c r="O20" s="70">
        <v>2.8333333333333335</v>
      </c>
      <c r="P20" s="70">
        <v>2.8333333333333335</v>
      </c>
      <c r="Q20" s="70">
        <v>2.8333333333333335</v>
      </c>
      <c r="R20" s="70">
        <v>2.8333333333333335</v>
      </c>
      <c r="S20" s="70">
        <v>2.8333333333333335</v>
      </c>
      <c r="T20" s="70">
        <v>2.8333333333333335</v>
      </c>
      <c r="U20" s="70">
        <v>2.8333333333333335</v>
      </c>
      <c r="V20" s="70">
        <v>2.8333333333333335</v>
      </c>
      <c r="W20" s="70">
        <v>2.8333333333333335</v>
      </c>
      <c r="X20" s="70">
        <v>2.8333333333333335</v>
      </c>
      <c r="Y20" s="70">
        <v>2.8333333333333335</v>
      </c>
      <c r="Z20" s="70">
        <v>2.8333333333333335</v>
      </c>
      <c r="AA20" s="70">
        <v>2.8333333333333335</v>
      </c>
      <c r="AB20" s="70">
        <v>2.8333333333333335</v>
      </c>
      <c r="AC20" s="70">
        <v>2.8333333333333335</v>
      </c>
      <c r="AD20" s="70">
        <v>2.8333333333333335</v>
      </c>
      <c r="AE20" s="70">
        <v>2.8333333333333335</v>
      </c>
      <c r="AF20" s="70">
        <v>2.8333333333333335</v>
      </c>
      <c r="AG20" s="70">
        <v>2.8333333333333335</v>
      </c>
      <c r="AH20" s="70">
        <v>2.8333333333333335</v>
      </c>
      <c r="AI20" s="70">
        <v>2.8333333333333335</v>
      </c>
      <c r="AJ20" s="70">
        <v>2.8333333333333335</v>
      </c>
      <c r="AK20" s="70">
        <v>2.8333333333333335</v>
      </c>
      <c r="AL20" s="70">
        <v>2.8333333333333335</v>
      </c>
      <c r="AM20" s="70">
        <v>2.8333333333333335</v>
      </c>
    </row>
    <row r="21" spans="5:39" x14ac:dyDescent="0.25">
      <c r="E21" s="335"/>
      <c r="F21" s="101" t="s">
        <v>39</v>
      </c>
      <c r="G21" s="70">
        <v>4.3330000000000002</v>
      </c>
      <c r="H21" s="70">
        <v>4.3330000000000002</v>
      </c>
      <c r="I21" s="70">
        <v>4.3330000000000002</v>
      </c>
      <c r="J21" s="70">
        <v>3</v>
      </c>
      <c r="K21" s="70">
        <v>4.3330000000000002</v>
      </c>
      <c r="L21" s="70">
        <v>4.3330000000000002</v>
      </c>
      <c r="M21" s="70">
        <v>4.3330000000000002</v>
      </c>
      <c r="N21" s="70">
        <v>4.3330000000000002</v>
      </c>
      <c r="O21" s="70">
        <v>2.8333333333333335</v>
      </c>
      <c r="P21" s="70">
        <v>2.8333333333333335</v>
      </c>
      <c r="Q21" s="70">
        <v>2.8333333333333335</v>
      </c>
      <c r="R21" s="70">
        <v>2.8333333333333335</v>
      </c>
      <c r="S21" s="70">
        <v>2.8333333333333335</v>
      </c>
      <c r="T21" s="70">
        <v>2.8333333333333335</v>
      </c>
      <c r="U21" s="70">
        <v>2.8333333333333335</v>
      </c>
      <c r="V21" s="70">
        <v>2.8333333333333335</v>
      </c>
      <c r="W21" s="70">
        <v>2.8333333333333335</v>
      </c>
      <c r="X21" s="70">
        <v>2.8333333333333335</v>
      </c>
      <c r="Y21" s="70">
        <v>2.8333333333333335</v>
      </c>
      <c r="Z21" s="70">
        <v>2.8333333333333335</v>
      </c>
      <c r="AA21" s="70">
        <v>2.8333333333333335</v>
      </c>
      <c r="AB21" s="70">
        <v>2.8333333333333335</v>
      </c>
      <c r="AC21" s="70">
        <v>2.8333333333333335</v>
      </c>
      <c r="AD21" s="70">
        <v>2.8333333333333335</v>
      </c>
      <c r="AE21" s="70">
        <v>2.8333333333333335</v>
      </c>
      <c r="AF21" s="70">
        <v>2.8333333333333335</v>
      </c>
      <c r="AG21" s="70">
        <v>2.8333333333333335</v>
      </c>
      <c r="AH21" s="70">
        <v>2.8333333333333335</v>
      </c>
      <c r="AI21" s="70">
        <v>2.8333333333333335</v>
      </c>
      <c r="AJ21" s="70">
        <v>2.8333333333333335</v>
      </c>
      <c r="AK21" s="70">
        <v>2.8333333333333335</v>
      </c>
      <c r="AL21" s="70">
        <v>2.8333333333333335</v>
      </c>
      <c r="AM21" s="70">
        <v>2.8333333333333335</v>
      </c>
    </row>
    <row r="22" spans="5:39" x14ac:dyDescent="0.25">
      <c r="E22" s="335"/>
      <c r="F22" s="101" t="s">
        <v>40</v>
      </c>
      <c r="G22" s="70">
        <v>2</v>
      </c>
      <c r="H22" s="70">
        <v>2</v>
      </c>
      <c r="I22" s="70">
        <v>2</v>
      </c>
      <c r="J22" s="70">
        <v>3</v>
      </c>
      <c r="K22" s="70">
        <v>2</v>
      </c>
      <c r="L22" s="70">
        <v>2</v>
      </c>
      <c r="M22" s="70">
        <v>2</v>
      </c>
      <c r="N22" s="70">
        <v>2</v>
      </c>
      <c r="O22" s="70">
        <v>2.8333333333333335</v>
      </c>
      <c r="P22" s="70">
        <v>2.8333333333333335</v>
      </c>
      <c r="Q22" s="70">
        <v>2.8333333333333335</v>
      </c>
      <c r="R22" s="70">
        <v>2.8333333333333335</v>
      </c>
      <c r="S22" s="70">
        <v>2.8333333333333335</v>
      </c>
      <c r="T22" s="70">
        <v>2.8333333333333335</v>
      </c>
      <c r="U22" s="70">
        <v>2.8333333333333335</v>
      </c>
      <c r="V22" s="70">
        <v>2.8333333333333335</v>
      </c>
      <c r="W22" s="70">
        <v>2.8333333333333335</v>
      </c>
      <c r="X22" s="70">
        <v>2.8333333333333335</v>
      </c>
      <c r="Y22" s="70">
        <v>2.8333333333333335</v>
      </c>
      <c r="Z22" s="70">
        <v>2.8333333333333335</v>
      </c>
      <c r="AA22" s="70">
        <v>2.8333333333333335</v>
      </c>
      <c r="AB22" s="70">
        <v>2.8333333333333335</v>
      </c>
      <c r="AC22" s="70">
        <v>2.8333333333333335</v>
      </c>
      <c r="AD22" s="70">
        <v>2.8333333333333335</v>
      </c>
      <c r="AE22" s="70">
        <v>2.8333333333333335</v>
      </c>
      <c r="AF22" s="70">
        <v>2.8333333333333335</v>
      </c>
      <c r="AG22" s="70">
        <v>2.8333333333333335</v>
      </c>
      <c r="AH22" s="70">
        <v>2.8333333333333335</v>
      </c>
      <c r="AI22" s="70">
        <v>2.8333333333333335</v>
      </c>
      <c r="AJ22" s="70">
        <v>2.8333333333333335</v>
      </c>
      <c r="AK22" s="70">
        <v>2.8333333333333335</v>
      </c>
      <c r="AL22" s="70">
        <v>2.8333333333333335</v>
      </c>
      <c r="AM22" s="70">
        <v>2.8333333333333335</v>
      </c>
    </row>
    <row r="23" spans="5:39" x14ac:dyDescent="0.25">
      <c r="E23" s="335"/>
      <c r="F23" s="101" t="s">
        <v>41</v>
      </c>
      <c r="G23" s="70">
        <v>3</v>
      </c>
      <c r="H23" s="70">
        <v>3</v>
      </c>
      <c r="I23" s="70">
        <v>3</v>
      </c>
      <c r="J23" s="70">
        <v>3</v>
      </c>
      <c r="K23" s="70">
        <v>3</v>
      </c>
      <c r="L23" s="70">
        <v>3</v>
      </c>
      <c r="M23" s="70">
        <v>3</v>
      </c>
      <c r="N23" s="70">
        <v>3</v>
      </c>
      <c r="O23" s="70">
        <v>2.8333333333333335</v>
      </c>
      <c r="P23" s="70">
        <v>2.8333333333333335</v>
      </c>
      <c r="Q23" s="70">
        <v>2.8333333333333335</v>
      </c>
      <c r="R23" s="70">
        <v>2.8333333333333335</v>
      </c>
      <c r="S23" s="70">
        <v>2.8333333333333335</v>
      </c>
      <c r="T23" s="70">
        <v>2.8333333333333335</v>
      </c>
      <c r="U23" s="70">
        <v>2.8333333333333335</v>
      </c>
      <c r="V23" s="70">
        <v>2.8333333333333335</v>
      </c>
      <c r="W23" s="70">
        <v>2.8333333333333335</v>
      </c>
      <c r="X23" s="70">
        <v>2.8333333333333335</v>
      </c>
      <c r="Y23" s="70">
        <v>2.8333333333333335</v>
      </c>
      <c r="Z23" s="70">
        <v>2.8333333333333335</v>
      </c>
      <c r="AA23" s="70">
        <v>2.8333333333333335</v>
      </c>
      <c r="AB23" s="70">
        <v>2.8333333333333335</v>
      </c>
      <c r="AC23" s="70">
        <v>2.8333333333333335</v>
      </c>
      <c r="AD23" s="70">
        <v>2.8333333333333335</v>
      </c>
      <c r="AE23" s="70">
        <v>2.8333333333333335</v>
      </c>
      <c r="AF23" s="70">
        <v>2.8333333333333335</v>
      </c>
      <c r="AG23" s="70">
        <v>2.8333333333333335</v>
      </c>
      <c r="AH23" s="70">
        <v>2.8333333333333335</v>
      </c>
      <c r="AI23" s="70">
        <v>2.8333333333333335</v>
      </c>
      <c r="AJ23" s="70">
        <v>2.8333333333333335</v>
      </c>
      <c r="AK23" s="70">
        <v>2.8333333333333335</v>
      </c>
      <c r="AL23" s="70">
        <v>2.8333333333333335</v>
      </c>
      <c r="AM23" s="70">
        <v>2.8333333333333335</v>
      </c>
    </row>
    <row r="24" spans="5:39" x14ac:dyDescent="0.25">
      <c r="E24" s="335"/>
      <c r="F24" s="101" t="s">
        <v>42</v>
      </c>
      <c r="G24" s="70" t="s">
        <v>43</v>
      </c>
      <c r="H24" s="70" t="s">
        <v>43</v>
      </c>
      <c r="I24" s="70" t="s">
        <v>43</v>
      </c>
      <c r="J24" s="70" t="s">
        <v>12</v>
      </c>
      <c r="K24" s="70" t="s">
        <v>43</v>
      </c>
      <c r="L24" s="70" t="s">
        <v>43</v>
      </c>
      <c r="M24" s="70" t="s">
        <v>43</v>
      </c>
      <c r="N24" s="70" t="s">
        <v>43</v>
      </c>
      <c r="O24" s="70" t="s">
        <v>43</v>
      </c>
      <c r="P24" s="70" t="s">
        <v>43</v>
      </c>
      <c r="Q24" s="70" t="s">
        <v>43</v>
      </c>
      <c r="R24" s="70" t="s">
        <v>43</v>
      </c>
      <c r="S24" s="70" t="s">
        <v>43</v>
      </c>
      <c r="T24" s="70" t="s">
        <v>43</v>
      </c>
      <c r="U24" s="70" t="s">
        <v>43</v>
      </c>
      <c r="V24" s="70" t="s">
        <v>43</v>
      </c>
      <c r="W24" s="70" t="s">
        <v>43</v>
      </c>
      <c r="X24" s="70" t="s">
        <v>43</v>
      </c>
      <c r="Y24" s="70" t="s">
        <v>43</v>
      </c>
      <c r="Z24" s="70" t="s">
        <v>43</v>
      </c>
      <c r="AA24" s="70" t="s">
        <v>43</v>
      </c>
      <c r="AB24" s="70" t="s">
        <v>43</v>
      </c>
      <c r="AC24" s="70" t="s">
        <v>43</v>
      </c>
      <c r="AD24" s="70" t="s">
        <v>43</v>
      </c>
      <c r="AE24" s="70" t="s">
        <v>43</v>
      </c>
      <c r="AF24" s="70" t="s">
        <v>43</v>
      </c>
      <c r="AG24" s="70" t="s">
        <v>43</v>
      </c>
      <c r="AH24" s="70" t="s">
        <v>43</v>
      </c>
      <c r="AI24" s="70" t="s">
        <v>43</v>
      </c>
      <c r="AJ24" s="70" t="s">
        <v>43</v>
      </c>
      <c r="AK24" s="70" t="s">
        <v>43</v>
      </c>
      <c r="AL24" s="70" t="s">
        <v>43</v>
      </c>
      <c r="AM24" s="70" t="s">
        <v>43</v>
      </c>
    </row>
    <row r="25" spans="5:39" x14ac:dyDescent="0.25">
      <c r="E25" s="335"/>
      <c r="F25" s="104" t="s">
        <v>44</v>
      </c>
      <c r="G25" s="70">
        <v>40</v>
      </c>
      <c r="H25" s="70">
        <v>40</v>
      </c>
      <c r="I25" s="70">
        <v>40</v>
      </c>
      <c r="J25" s="70">
        <v>70</v>
      </c>
      <c r="K25" s="70">
        <v>40</v>
      </c>
      <c r="L25" s="70">
        <v>40</v>
      </c>
      <c r="M25" s="70">
        <v>40</v>
      </c>
      <c r="N25" s="70">
        <v>40</v>
      </c>
      <c r="O25" s="70">
        <v>50</v>
      </c>
      <c r="P25" s="70">
        <v>50</v>
      </c>
      <c r="Q25" s="70">
        <v>50</v>
      </c>
      <c r="R25" s="70">
        <v>50</v>
      </c>
      <c r="S25" s="70">
        <v>50</v>
      </c>
      <c r="T25" s="70">
        <v>50</v>
      </c>
      <c r="U25" s="70">
        <v>50</v>
      </c>
      <c r="V25" s="70">
        <v>50</v>
      </c>
      <c r="W25" s="70">
        <v>50</v>
      </c>
      <c r="X25" s="70">
        <v>50</v>
      </c>
      <c r="Y25" s="70">
        <v>50</v>
      </c>
      <c r="Z25" s="70">
        <v>50</v>
      </c>
      <c r="AA25" s="70">
        <v>50</v>
      </c>
      <c r="AB25" s="70">
        <v>50</v>
      </c>
      <c r="AC25" s="70">
        <v>50</v>
      </c>
      <c r="AD25" s="70">
        <v>50</v>
      </c>
      <c r="AE25" s="70">
        <v>50</v>
      </c>
      <c r="AF25" s="70">
        <v>50</v>
      </c>
      <c r="AG25" s="70">
        <v>50</v>
      </c>
      <c r="AH25" s="70">
        <v>50</v>
      </c>
      <c r="AI25" s="70">
        <v>50</v>
      </c>
      <c r="AJ25" s="70">
        <v>50</v>
      </c>
      <c r="AK25" s="70">
        <v>50</v>
      </c>
      <c r="AL25" s="70">
        <v>50</v>
      </c>
      <c r="AM25" s="70">
        <v>50</v>
      </c>
    </row>
    <row r="26" spans="5:39" x14ac:dyDescent="0.25">
      <c r="E26" s="335"/>
      <c r="F26" s="101" t="s">
        <v>9</v>
      </c>
      <c r="G26" s="70">
        <v>120</v>
      </c>
      <c r="H26" s="70">
        <v>120</v>
      </c>
      <c r="I26" s="70">
        <v>120</v>
      </c>
      <c r="J26" s="70">
        <v>137</v>
      </c>
      <c r="K26" s="70">
        <v>120</v>
      </c>
      <c r="L26" s="70">
        <v>120</v>
      </c>
      <c r="M26" s="70">
        <v>120</v>
      </c>
      <c r="N26" s="70">
        <v>120</v>
      </c>
      <c r="O26" s="70">
        <v>90</v>
      </c>
      <c r="P26" s="70">
        <v>75</v>
      </c>
      <c r="Q26" s="70">
        <v>75</v>
      </c>
      <c r="R26" s="70">
        <v>100</v>
      </c>
      <c r="S26" s="70">
        <v>110</v>
      </c>
      <c r="T26" s="70">
        <v>105</v>
      </c>
      <c r="U26" s="70">
        <v>100</v>
      </c>
      <c r="V26" s="70">
        <v>110.1078</v>
      </c>
      <c r="W26" s="70">
        <v>90</v>
      </c>
      <c r="X26" s="70">
        <v>100</v>
      </c>
      <c r="Y26" s="70">
        <v>115</v>
      </c>
      <c r="Z26" s="70">
        <v>115</v>
      </c>
      <c r="AA26" s="70">
        <v>115</v>
      </c>
      <c r="AB26" s="70">
        <v>115</v>
      </c>
      <c r="AC26" s="70">
        <v>135</v>
      </c>
      <c r="AD26" s="70">
        <v>134.62989999999999</v>
      </c>
      <c r="AE26" s="70">
        <v>135</v>
      </c>
      <c r="AF26" s="70">
        <v>135</v>
      </c>
      <c r="AG26" s="70">
        <v>134.62989999999999</v>
      </c>
      <c r="AH26" s="70">
        <v>134.62989999999999</v>
      </c>
      <c r="AI26" s="70">
        <v>125</v>
      </c>
      <c r="AJ26" s="70">
        <v>90</v>
      </c>
      <c r="AK26" s="70">
        <v>125</v>
      </c>
      <c r="AL26" s="70">
        <v>115</v>
      </c>
      <c r="AM26" s="70">
        <v>101.6802</v>
      </c>
    </row>
    <row r="27" spans="5:39" ht="15.75" thickBot="1" x14ac:dyDescent="0.3">
      <c r="E27" s="336"/>
      <c r="F27" s="105" t="s">
        <v>10</v>
      </c>
      <c r="G27" s="70">
        <v>116</v>
      </c>
      <c r="H27" s="70">
        <v>116</v>
      </c>
      <c r="I27" s="70">
        <v>116</v>
      </c>
      <c r="J27" s="70">
        <v>137</v>
      </c>
      <c r="K27" s="70">
        <v>116</v>
      </c>
      <c r="L27" s="70">
        <v>116</v>
      </c>
      <c r="M27" s="70">
        <v>116</v>
      </c>
      <c r="N27" s="70">
        <v>116</v>
      </c>
      <c r="O27" s="70">
        <v>75</v>
      </c>
      <c r="P27" s="70">
        <v>75</v>
      </c>
      <c r="Q27" s="70">
        <v>135</v>
      </c>
      <c r="R27" s="70">
        <v>110</v>
      </c>
      <c r="S27" s="70">
        <v>110</v>
      </c>
      <c r="T27" s="70">
        <v>110</v>
      </c>
      <c r="U27" s="70">
        <v>110.1078</v>
      </c>
      <c r="V27" s="70">
        <v>105</v>
      </c>
      <c r="W27" s="70">
        <v>100</v>
      </c>
      <c r="X27" s="70">
        <v>100</v>
      </c>
      <c r="Y27" s="70">
        <v>115</v>
      </c>
      <c r="Z27" s="70">
        <v>110</v>
      </c>
      <c r="AA27" s="70">
        <v>105</v>
      </c>
      <c r="AB27" s="70">
        <v>100</v>
      </c>
      <c r="AC27" s="70">
        <v>100</v>
      </c>
      <c r="AD27" s="70">
        <v>110</v>
      </c>
      <c r="AE27" s="70">
        <v>110</v>
      </c>
      <c r="AF27" s="70">
        <v>105</v>
      </c>
      <c r="AG27" s="70">
        <v>100</v>
      </c>
      <c r="AH27" s="70">
        <v>115</v>
      </c>
      <c r="AI27" s="70">
        <v>110</v>
      </c>
      <c r="AJ27" s="70">
        <v>90</v>
      </c>
      <c r="AK27" s="70">
        <v>115</v>
      </c>
      <c r="AL27" s="70">
        <v>101.6802</v>
      </c>
      <c r="AM27" s="70">
        <v>119.0397</v>
      </c>
    </row>
    <row r="28" spans="5:39" x14ac:dyDescent="0.25">
      <c r="E28" s="334" t="s">
        <v>51</v>
      </c>
      <c r="F28" s="106" t="s">
        <v>942</v>
      </c>
      <c r="G28" s="70" t="b">
        <v>0</v>
      </c>
      <c r="H28" s="70" t="b">
        <v>0</v>
      </c>
      <c r="I28" s="70" t="b">
        <v>0</v>
      </c>
      <c r="J28" s="70" t="b">
        <v>0</v>
      </c>
      <c r="K28" s="70" t="b">
        <v>0</v>
      </c>
      <c r="L28" s="70" t="b">
        <v>0</v>
      </c>
      <c r="M28" s="70" t="b">
        <v>0</v>
      </c>
      <c r="N28" s="70" t="b">
        <v>0</v>
      </c>
      <c r="O28" s="70" t="b">
        <v>0</v>
      </c>
      <c r="P28" s="70" t="b">
        <v>0</v>
      </c>
      <c r="Q28" s="70" t="b">
        <v>0</v>
      </c>
      <c r="R28" s="70" t="b">
        <v>0</v>
      </c>
      <c r="S28" s="70" t="b">
        <v>0</v>
      </c>
      <c r="T28" s="70" t="b">
        <v>0</v>
      </c>
      <c r="U28" s="70" t="b">
        <v>0</v>
      </c>
      <c r="V28" s="70" t="b">
        <v>0</v>
      </c>
      <c r="W28" s="70" t="b">
        <v>0</v>
      </c>
      <c r="X28" s="70" t="b">
        <v>0</v>
      </c>
      <c r="Y28" s="70" t="b">
        <v>0</v>
      </c>
      <c r="Z28" s="70" t="b">
        <v>0</v>
      </c>
      <c r="AA28" s="70" t="b">
        <v>0</v>
      </c>
      <c r="AB28" s="70" t="b">
        <v>0</v>
      </c>
      <c r="AC28" s="70" t="b">
        <v>0</v>
      </c>
      <c r="AD28" s="70" t="b">
        <v>0</v>
      </c>
      <c r="AE28" s="70" t="b">
        <v>0</v>
      </c>
      <c r="AF28" s="70" t="b">
        <v>0</v>
      </c>
      <c r="AG28" s="70" t="b">
        <v>0</v>
      </c>
      <c r="AH28" s="70" t="b">
        <v>0</v>
      </c>
      <c r="AI28" s="70" t="b">
        <v>0</v>
      </c>
      <c r="AJ28" s="70" t="b">
        <v>0</v>
      </c>
      <c r="AK28" s="70" t="b">
        <v>0</v>
      </c>
      <c r="AL28" s="70" t="b">
        <v>0</v>
      </c>
      <c r="AM28" s="70" t="b">
        <v>0</v>
      </c>
    </row>
    <row r="29" spans="5:39" x14ac:dyDescent="0.25">
      <c r="E29" s="335"/>
      <c r="F29" s="148" t="s">
        <v>45</v>
      </c>
      <c r="G29" s="70" t="s">
        <v>101</v>
      </c>
      <c r="H29" s="70" t="s">
        <v>101</v>
      </c>
      <c r="I29" s="70" t="s">
        <v>101</v>
      </c>
      <c r="J29" s="70" t="s">
        <v>79</v>
      </c>
      <c r="K29" s="70" t="s">
        <v>101</v>
      </c>
      <c r="L29" s="70" t="s">
        <v>101</v>
      </c>
      <c r="M29" s="70" t="s">
        <v>101</v>
      </c>
      <c r="N29" s="70" t="s">
        <v>101</v>
      </c>
      <c r="O29" s="70" t="s">
        <v>939</v>
      </c>
      <c r="P29" s="70" t="s">
        <v>939</v>
      </c>
      <c r="Q29" s="70" t="s">
        <v>939</v>
      </c>
      <c r="R29" s="70" t="s">
        <v>939</v>
      </c>
      <c r="S29" s="70" t="s">
        <v>939</v>
      </c>
      <c r="T29" s="70" t="s">
        <v>939</v>
      </c>
      <c r="U29" s="70" t="s">
        <v>939</v>
      </c>
      <c r="V29" s="70" t="s">
        <v>939</v>
      </c>
      <c r="W29" s="70" t="s">
        <v>939</v>
      </c>
      <c r="X29" s="70" t="s">
        <v>939</v>
      </c>
      <c r="Y29" s="70" t="s">
        <v>939</v>
      </c>
      <c r="Z29" s="70" t="s">
        <v>939</v>
      </c>
      <c r="AA29" s="70" t="s">
        <v>939</v>
      </c>
      <c r="AB29" s="70" t="s">
        <v>939</v>
      </c>
      <c r="AC29" s="70" t="s">
        <v>939</v>
      </c>
      <c r="AD29" s="70" t="s">
        <v>939</v>
      </c>
      <c r="AE29" s="70" t="s">
        <v>939</v>
      </c>
      <c r="AF29" s="70" t="s">
        <v>939</v>
      </c>
      <c r="AG29" s="70" t="s">
        <v>939</v>
      </c>
      <c r="AH29" s="70" t="s">
        <v>939</v>
      </c>
      <c r="AI29" s="70" t="s">
        <v>939</v>
      </c>
      <c r="AJ29" s="70" t="s">
        <v>939</v>
      </c>
      <c r="AK29" s="70" t="s">
        <v>939</v>
      </c>
      <c r="AL29" s="70" t="s">
        <v>939</v>
      </c>
      <c r="AM29" s="70" t="s">
        <v>939</v>
      </c>
    </row>
    <row r="30" spans="5:39" x14ac:dyDescent="0.25">
      <c r="E30" s="335"/>
      <c r="F30" s="101" t="s">
        <v>46</v>
      </c>
      <c r="G30" s="70" t="s">
        <v>101</v>
      </c>
      <c r="H30" s="70" t="s">
        <v>101</v>
      </c>
      <c r="I30" s="70" t="s">
        <v>101</v>
      </c>
      <c r="J30" s="70" t="s">
        <v>79</v>
      </c>
      <c r="K30" s="70" t="s">
        <v>101</v>
      </c>
      <c r="L30" s="70" t="s">
        <v>101</v>
      </c>
      <c r="M30" s="70" t="s">
        <v>101</v>
      </c>
      <c r="N30" s="70" t="s">
        <v>101</v>
      </c>
      <c r="O30" s="70" t="s">
        <v>939</v>
      </c>
      <c r="P30" s="70" t="s">
        <v>939</v>
      </c>
      <c r="Q30" s="70" t="s">
        <v>939</v>
      </c>
      <c r="R30" s="70" t="s">
        <v>939</v>
      </c>
      <c r="S30" s="70" t="s">
        <v>939</v>
      </c>
      <c r="T30" s="70" t="s">
        <v>939</v>
      </c>
      <c r="U30" s="70" t="s">
        <v>939</v>
      </c>
      <c r="V30" s="70" t="s">
        <v>939</v>
      </c>
      <c r="W30" s="70" t="s">
        <v>939</v>
      </c>
      <c r="X30" s="70" t="s">
        <v>939</v>
      </c>
      <c r="Y30" s="70" t="s">
        <v>939</v>
      </c>
      <c r="Z30" s="70" t="s">
        <v>939</v>
      </c>
      <c r="AA30" s="70" t="s">
        <v>939</v>
      </c>
      <c r="AB30" s="70" t="s">
        <v>939</v>
      </c>
      <c r="AC30" s="70" t="s">
        <v>939</v>
      </c>
      <c r="AD30" s="70" t="s">
        <v>939</v>
      </c>
      <c r="AE30" s="70" t="s">
        <v>939</v>
      </c>
      <c r="AF30" s="70" t="s">
        <v>939</v>
      </c>
      <c r="AG30" s="70" t="s">
        <v>939</v>
      </c>
      <c r="AH30" s="70" t="s">
        <v>939</v>
      </c>
      <c r="AI30" s="70" t="s">
        <v>939</v>
      </c>
      <c r="AJ30" s="70" t="s">
        <v>939</v>
      </c>
      <c r="AK30" s="70" t="s">
        <v>939</v>
      </c>
      <c r="AL30" s="70" t="s">
        <v>939</v>
      </c>
      <c r="AM30" s="70" t="s">
        <v>939</v>
      </c>
    </row>
    <row r="31" spans="5:39" x14ac:dyDescent="0.25">
      <c r="E31" s="335"/>
      <c r="F31" s="101" t="s">
        <v>47</v>
      </c>
      <c r="G31" s="70" t="s">
        <v>64</v>
      </c>
      <c r="H31" s="70" t="s">
        <v>64</v>
      </c>
      <c r="I31" s="70" t="s">
        <v>64</v>
      </c>
      <c r="J31" s="70" t="s">
        <v>64</v>
      </c>
      <c r="K31" s="70" t="s">
        <v>64</v>
      </c>
      <c r="L31" s="70" t="s">
        <v>64</v>
      </c>
      <c r="M31" s="70" t="s">
        <v>64</v>
      </c>
      <c r="N31" s="70" t="s">
        <v>64</v>
      </c>
      <c r="O31" s="70" t="s">
        <v>64</v>
      </c>
      <c r="P31" s="70" t="s">
        <v>64</v>
      </c>
      <c r="Q31" s="70" t="s">
        <v>64</v>
      </c>
      <c r="R31" s="70" t="s">
        <v>64</v>
      </c>
      <c r="S31" s="70" t="s">
        <v>64</v>
      </c>
      <c r="T31" s="70" t="s">
        <v>64</v>
      </c>
      <c r="U31" s="70" t="s">
        <v>64</v>
      </c>
      <c r="V31" s="70" t="s">
        <v>64</v>
      </c>
      <c r="W31" s="70" t="s">
        <v>64</v>
      </c>
      <c r="X31" s="70" t="s">
        <v>64</v>
      </c>
      <c r="Y31" s="70" t="s">
        <v>64</v>
      </c>
      <c r="Z31" s="70" t="s">
        <v>64</v>
      </c>
      <c r="AA31" s="70" t="s">
        <v>64</v>
      </c>
      <c r="AB31" s="70" t="s">
        <v>64</v>
      </c>
      <c r="AC31" s="70" t="s">
        <v>64</v>
      </c>
      <c r="AD31" s="70" t="s">
        <v>64</v>
      </c>
      <c r="AE31" s="70" t="s">
        <v>64</v>
      </c>
      <c r="AF31" s="70" t="s">
        <v>64</v>
      </c>
      <c r="AG31" s="70" t="s">
        <v>64</v>
      </c>
      <c r="AH31" s="70" t="s">
        <v>64</v>
      </c>
      <c r="AI31" s="70" t="s">
        <v>64</v>
      </c>
      <c r="AJ31" s="70" t="s">
        <v>64</v>
      </c>
      <c r="AK31" s="70" t="s">
        <v>64</v>
      </c>
      <c r="AL31" s="70" t="s">
        <v>64</v>
      </c>
      <c r="AM31" s="70" t="s">
        <v>64</v>
      </c>
    </row>
    <row r="32" spans="5:39" x14ac:dyDescent="0.25">
      <c r="E32" s="335"/>
      <c r="F32" s="101" t="s">
        <v>271</v>
      </c>
      <c r="G32" s="70"/>
      <c r="H32" s="70" t="s">
        <v>1152</v>
      </c>
      <c r="I32" s="70" t="s">
        <v>1152</v>
      </c>
      <c r="J32" s="70"/>
      <c r="K32" s="70"/>
      <c r="L32" s="70" t="s">
        <v>1152</v>
      </c>
      <c r="M32" s="70" t="s">
        <v>1152</v>
      </c>
      <c r="N32" s="70" t="s">
        <v>1152</v>
      </c>
      <c r="O32" s="70" t="s">
        <v>1152</v>
      </c>
      <c r="P32" s="70" t="s">
        <v>1152</v>
      </c>
      <c r="Q32" s="70" t="s">
        <v>1152</v>
      </c>
      <c r="R32" s="70" t="s">
        <v>1152</v>
      </c>
      <c r="S32" s="70" t="s">
        <v>1152</v>
      </c>
      <c r="T32" s="70" t="s">
        <v>1152</v>
      </c>
      <c r="U32" s="70" t="s">
        <v>1152</v>
      </c>
      <c r="V32" s="70" t="s">
        <v>1152</v>
      </c>
      <c r="W32" s="70" t="s">
        <v>1152</v>
      </c>
      <c r="X32" s="70" t="s">
        <v>1152</v>
      </c>
      <c r="Y32" s="70" t="s">
        <v>1152</v>
      </c>
      <c r="Z32" s="70" t="s">
        <v>1152</v>
      </c>
      <c r="AA32" s="70" t="s">
        <v>1152</v>
      </c>
      <c r="AB32" s="70" t="s">
        <v>1152</v>
      </c>
      <c r="AC32" s="70" t="s">
        <v>1152</v>
      </c>
      <c r="AD32" s="70" t="s">
        <v>1152</v>
      </c>
      <c r="AE32" s="70" t="s">
        <v>1152</v>
      </c>
      <c r="AF32" s="70" t="s">
        <v>1152</v>
      </c>
      <c r="AG32" s="70" t="s">
        <v>1152</v>
      </c>
      <c r="AH32" s="70" t="s">
        <v>1152</v>
      </c>
      <c r="AI32" s="70" t="s">
        <v>1152</v>
      </c>
      <c r="AJ32" s="70" t="s">
        <v>1152</v>
      </c>
      <c r="AK32" s="70" t="s">
        <v>1152</v>
      </c>
      <c r="AL32" s="70" t="s">
        <v>1152</v>
      </c>
      <c r="AM32" s="70" t="s">
        <v>1152</v>
      </c>
    </row>
    <row r="33" spans="5:39" x14ac:dyDescent="0.25">
      <c r="E33" s="335"/>
      <c r="F33" s="101" t="s">
        <v>272</v>
      </c>
      <c r="G33" s="70"/>
      <c r="H33" s="70" t="s">
        <v>1152</v>
      </c>
      <c r="I33" s="70" t="s">
        <v>1152</v>
      </c>
      <c r="J33" s="70"/>
      <c r="K33" s="70"/>
      <c r="L33" s="70" t="s">
        <v>1152</v>
      </c>
      <c r="M33" s="70" t="s">
        <v>1152</v>
      </c>
      <c r="N33" s="70" t="s">
        <v>1152</v>
      </c>
      <c r="O33" s="70" t="s">
        <v>1152</v>
      </c>
      <c r="P33" s="70" t="s">
        <v>1152</v>
      </c>
      <c r="Q33" s="70" t="s">
        <v>1152</v>
      </c>
      <c r="R33" s="70" t="s">
        <v>1152</v>
      </c>
      <c r="S33" s="70" t="s">
        <v>1152</v>
      </c>
      <c r="T33" s="70" t="s">
        <v>1152</v>
      </c>
      <c r="U33" s="70" t="s">
        <v>1152</v>
      </c>
      <c r="V33" s="70" t="s">
        <v>1152</v>
      </c>
      <c r="W33" s="70" t="s">
        <v>1152</v>
      </c>
      <c r="X33" s="70" t="s">
        <v>1152</v>
      </c>
      <c r="Y33" s="70" t="s">
        <v>1152</v>
      </c>
      <c r="Z33" s="70" t="s">
        <v>1152</v>
      </c>
      <c r="AA33" s="70" t="s">
        <v>1152</v>
      </c>
      <c r="AB33" s="70" t="s">
        <v>1152</v>
      </c>
      <c r="AC33" s="70" t="s">
        <v>1152</v>
      </c>
      <c r="AD33" s="70" t="s">
        <v>1152</v>
      </c>
      <c r="AE33" s="70" t="s">
        <v>1152</v>
      </c>
      <c r="AF33" s="70" t="s">
        <v>1152</v>
      </c>
      <c r="AG33" s="70" t="s">
        <v>1152</v>
      </c>
      <c r="AH33" s="70" t="s">
        <v>1152</v>
      </c>
      <c r="AI33" s="70" t="s">
        <v>1152</v>
      </c>
      <c r="AJ33" s="70" t="s">
        <v>1152</v>
      </c>
      <c r="AK33" s="70" t="s">
        <v>1152</v>
      </c>
      <c r="AL33" s="70" t="s">
        <v>1152</v>
      </c>
      <c r="AM33" s="70" t="s">
        <v>1152</v>
      </c>
    </row>
    <row r="34" spans="5:39" x14ac:dyDescent="0.25">
      <c r="E34" s="335"/>
      <c r="F34" s="101" t="s">
        <v>273</v>
      </c>
      <c r="G34" s="70"/>
      <c r="H34" s="70" t="s">
        <v>1152</v>
      </c>
      <c r="I34" s="70" t="s">
        <v>1152</v>
      </c>
      <c r="J34" s="70"/>
      <c r="K34" s="70"/>
      <c r="L34" s="70" t="s">
        <v>1152</v>
      </c>
      <c r="M34" s="70" t="s">
        <v>1152</v>
      </c>
      <c r="N34" s="70" t="s">
        <v>1152</v>
      </c>
      <c r="O34" s="70" t="s">
        <v>1152</v>
      </c>
      <c r="P34" s="70" t="s">
        <v>1152</v>
      </c>
      <c r="Q34" s="70" t="s">
        <v>1152</v>
      </c>
      <c r="R34" s="70" t="s">
        <v>1152</v>
      </c>
      <c r="S34" s="70" t="s">
        <v>1152</v>
      </c>
      <c r="T34" s="70" t="s">
        <v>1152</v>
      </c>
      <c r="U34" s="70" t="s">
        <v>1152</v>
      </c>
      <c r="V34" s="70" t="s">
        <v>1152</v>
      </c>
      <c r="W34" s="70" t="s">
        <v>1152</v>
      </c>
      <c r="X34" s="70" t="s">
        <v>1152</v>
      </c>
      <c r="Y34" s="70" t="s">
        <v>1152</v>
      </c>
      <c r="Z34" s="70" t="s">
        <v>1152</v>
      </c>
      <c r="AA34" s="70" t="s">
        <v>1152</v>
      </c>
      <c r="AB34" s="70" t="s">
        <v>1152</v>
      </c>
      <c r="AC34" s="70" t="s">
        <v>1152</v>
      </c>
      <c r="AD34" s="70" t="s">
        <v>1152</v>
      </c>
      <c r="AE34" s="70" t="s">
        <v>1152</v>
      </c>
      <c r="AF34" s="70" t="s">
        <v>1152</v>
      </c>
      <c r="AG34" s="70" t="s">
        <v>1152</v>
      </c>
      <c r="AH34" s="70" t="s">
        <v>1152</v>
      </c>
      <c r="AI34" s="70" t="s">
        <v>1152</v>
      </c>
      <c r="AJ34" s="70" t="s">
        <v>1152</v>
      </c>
      <c r="AK34" s="70" t="s">
        <v>1152</v>
      </c>
      <c r="AL34" s="70" t="s">
        <v>1152</v>
      </c>
      <c r="AM34" s="70" t="s">
        <v>1152</v>
      </c>
    </row>
    <row r="35" spans="5:39" ht="15.75" thickBot="1" x14ac:dyDescent="0.3">
      <c r="E35" s="336"/>
      <c r="F35" s="102" t="s">
        <v>274</v>
      </c>
      <c r="G35" s="70"/>
      <c r="H35" s="70" t="s">
        <v>1152</v>
      </c>
      <c r="I35" s="70" t="s">
        <v>1152</v>
      </c>
      <c r="J35" s="70"/>
      <c r="K35" s="70"/>
      <c r="L35" s="70" t="s">
        <v>1152</v>
      </c>
      <c r="M35" s="70" t="s">
        <v>1152</v>
      </c>
      <c r="N35" s="70" t="s">
        <v>1152</v>
      </c>
      <c r="O35" s="70" t="s">
        <v>1152</v>
      </c>
      <c r="P35" s="70" t="s">
        <v>1152</v>
      </c>
      <c r="Q35" s="70" t="s">
        <v>1152</v>
      </c>
      <c r="R35" s="70" t="s">
        <v>1152</v>
      </c>
      <c r="S35" s="70" t="s">
        <v>1152</v>
      </c>
      <c r="T35" s="70" t="s">
        <v>1152</v>
      </c>
      <c r="U35" s="70" t="s">
        <v>1152</v>
      </c>
      <c r="V35" s="70" t="s">
        <v>1152</v>
      </c>
      <c r="W35" s="70" t="s">
        <v>1152</v>
      </c>
      <c r="X35" s="70" t="s">
        <v>1152</v>
      </c>
      <c r="Y35" s="70" t="s">
        <v>1152</v>
      </c>
      <c r="Z35" s="70" t="s">
        <v>1152</v>
      </c>
      <c r="AA35" s="70" t="s">
        <v>1152</v>
      </c>
      <c r="AB35" s="70" t="s">
        <v>1152</v>
      </c>
      <c r="AC35" s="70" t="s">
        <v>1152</v>
      </c>
      <c r="AD35" s="70" t="s">
        <v>1152</v>
      </c>
      <c r="AE35" s="70" t="s">
        <v>1152</v>
      </c>
      <c r="AF35" s="70" t="s">
        <v>1152</v>
      </c>
      <c r="AG35" s="70" t="s">
        <v>1152</v>
      </c>
      <c r="AH35" s="70" t="s">
        <v>1152</v>
      </c>
      <c r="AI35" s="70" t="s">
        <v>1152</v>
      </c>
      <c r="AJ35" s="70" t="s">
        <v>1152</v>
      </c>
      <c r="AK35" s="70" t="s">
        <v>1152</v>
      </c>
      <c r="AL35" s="70" t="s">
        <v>1152</v>
      </c>
      <c r="AM35" s="70" t="s">
        <v>1152</v>
      </c>
    </row>
    <row r="36" spans="5:39" x14ac:dyDescent="0.25">
      <c r="E36" s="334" t="s">
        <v>149</v>
      </c>
      <c r="F36" s="107" t="s">
        <v>150</v>
      </c>
      <c r="G36" s="70">
        <v>0</v>
      </c>
      <c r="H36" s="70">
        <v>0</v>
      </c>
      <c r="I36" s="70">
        <v>0</v>
      </c>
      <c r="J36" s="70">
        <v>0</v>
      </c>
      <c r="K36" s="70">
        <v>0</v>
      </c>
      <c r="L36" s="70">
        <v>0</v>
      </c>
      <c r="M36" s="70">
        <v>0</v>
      </c>
      <c r="N36" s="70">
        <v>0</v>
      </c>
      <c r="O36" s="70">
        <v>0</v>
      </c>
      <c r="P36" s="70">
        <v>0</v>
      </c>
      <c r="Q36" s="70">
        <v>0</v>
      </c>
      <c r="R36" s="70">
        <v>0</v>
      </c>
      <c r="S36" s="70">
        <v>0</v>
      </c>
      <c r="T36" s="70">
        <v>0</v>
      </c>
      <c r="U36" s="70">
        <v>0</v>
      </c>
      <c r="V36" s="70">
        <v>0</v>
      </c>
      <c r="W36" s="70">
        <v>0</v>
      </c>
      <c r="X36" s="70">
        <v>0</v>
      </c>
      <c r="Y36" s="70">
        <v>0</v>
      </c>
      <c r="Z36" s="70">
        <v>0</v>
      </c>
      <c r="AA36" s="70">
        <v>0</v>
      </c>
      <c r="AB36" s="70">
        <v>0</v>
      </c>
      <c r="AC36" s="70">
        <v>0</v>
      </c>
      <c r="AD36" s="70">
        <v>0</v>
      </c>
      <c r="AE36" s="70">
        <v>0</v>
      </c>
      <c r="AF36" s="70">
        <v>0</v>
      </c>
      <c r="AG36" s="70">
        <v>0</v>
      </c>
      <c r="AH36" s="70">
        <v>0</v>
      </c>
      <c r="AI36" s="70">
        <v>0</v>
      </c>
      <c r="AJ36" s="70">
        <v>0</v>
      </c>
      <c r="AK36" s="70">
        <v>0</v>
      </c>
      <c r="AL36" s="70">
        <v>0</v>
      </c>
      <c r="AM36" s="70">
        <v>0</v>
      </c>
    </row>
    <row r="37" spans="5:39" x14ac:dyDescent="0.25">
      <c r="E37" s="335"/>
      <c r="F37" s="101" t="s">
        <v>152</v>
      </c>
      <c r="G37" s="70">
        <v>0.5</v>
      </c>
      <c r="H37" s="70">
        <v>0.5</v>
      </c>
      <c r="I37" s="70">
        <v>0.5</v>
      </c>
      <c r="J37" s="70">
        <v>0</v>
      </c>
      <c r="K37" s="70">
        <v>0.5</v>
      </c>
      <c r="L37" s="70">
        <v>0.5</v>
      </c>
      <c r="M37" s="70">
        <v>0.5</v>
      </c>
      <c r="N37" s="70">
        <v>0.5</v>
      </c>
      <c r="O37" s="70">
        <v>0</v>
      </c>
      <c r="P37" s="70">
        <v>0</v>
      </c>
      <c r="Q37" s="70">
        <v>0</v>
      </c>
      <c r="R37" s="70">
        <v>0</v>
      </c>
      <c r="S37" s="70">
        <v>0</v>
      </c>
      <c r="T37" s="70">
        <v>0</v>
      </c>
      <c r="U37" s="70">
        <v>0</v>
      </c>
      <c r="V37" s="70">
        <v>0</v>
      </c>
      <c r="W37" s="70">
        <v>0</v>
      </c>
      <c r="X37" s="70">
        <v>0</v>
      </c>
      <c r="Y37" s="70">
        <v>0</v>
      </c>
      <c r="Z37" s="70">
        <v>0</v>
      </c>
      <c r="AA37" s="70">
        <v>0</v>
      </c>
      <c r="AB37" s="70">
        <v>0</v>
      </c>
      <c r="AC37" s="70">
        <v>0</v>
      </c>
      <c r="AD37" s="70">
        <v>0</v>
      </c>
      <c r="AE37" s="70">
        <v>0</v>
      </c>
      <c r="AF37" s="70">
        <v>0</v>
      </c>
      <c r="AG37" s="70">
        <v>0</v>
      </c>
      <c r="AH37" s="70">
        <v>0</v>
      </c>
      <c r="AI37" s="70">
        <v>0</v>
      </c>
      <c r="AJ37" s="70">
        <v>0</v>
      </c>
      <c r="AK37" s="70">
        <v>0</v>
      </c>
      <c r="AL37" s="70">
        <v>0</v>
      </c>
      <c r="AM37" s="70">
        <v>0</v>
      </c>
    </row>
    <row r="38" spans="5:39" x14ac:dyDescent="0.25">
      <c r="E38" s="335"/>
      <c r="F38" s="101" t="s">
        <v>151</v>
      </c>
      <c r="G38" s="70">
        <v>0.15</v>
      </c>
      <c r="H38" s="70">
        <v>0.15</v>
      </c>
      <c r="I38" s="70">
        <v>0.15</v>
      </c>
      <c r="J38" s="70">
        <v>0.15</v>
      </c>
      <c r="K38" s="70">
        <v>0.15</v>
      </c>
      <c r="L38" s="70">
        <v>0.15</v>
      </c>
      <c r="M38" s="70">
        <v>0.15</v>
      </c>
      <c r="N38" s="70">
        <v>0.15</v>
      </c>
      <c r="O38" s="70">
        <v>0.15</v>
      </c>
      <c r="P38" s="70">
        <v>0.15</v>
      </c>
      <c r="Q38" s="70">
        <v>0.15</v>
      </c>
      <c r="R38" s="70">
        <v>0.15</v>
      </c>
      <c r="S38" s="70">
        <v>0.15</v>
      </c>
      <c r="T38" s="70">
        <v>0.15</v>
      </c>
      <c r="U38" s="70">
        <v>0.15</v>
      </c>
      <c r="V38" s="70">
        <v>0.15</v>
      </c>
      <c r="W38" s="70">
        <v>0.15</v>
      </c>
      <c r="X38" s="70">
        <v>0.15</v>
      </c>
      <c r="Y38" s="70">
        <v>0.15</v>
      </c>
      <c r="Z38" s="70">
        <v>0.15</v>
      </c>
      <c r="AA38" s="70">
        <v>0.15</v>
      </c>
      <c r="AB38" s="70">
        <v>0.15</v>
      </c>
      <c r="AC38" s="70">
        <v>0.15</v>
      </c>
      <c r="AD38" s="70">
        <v>0.15</v>
      </c>
      <c r="AE38" s="70">
        <v>0.15</v>
      </c>
      <c r="AF38" s="70">
        <v>0.15</v>
      </c>
      <c r="AG38" s="70">
        <v>0.15</v>
      </c>
      <c r="AH38" s="70">
        <v>0.15</v>
      </c>
      <c r="AI38" s="70">
        <v>0.15</v>
      </c>
      <c r="AJ38" s="70">
        <v>0.15</v>
      </c>
      <c r="AK38" s="70">
        <v>0.15</v>
      </c>
      <c r="AL38" s="70">
        <v>0.15</v>
      </c>
      <c r="AM38" s="70">
        <v>0.15</v>
      </c>
    </row>
    <row r="39" spans="5:39" x14ac:dyDescent="0.25">
      <c r="E39" s="335"/>
      <c r="F39" s="101" t="s">
        <v>275</v>
      </c>
      <c r="G39" s="70"/>
      <c r="H39" s="70" t="s">
        <v>1152</v>
      </c>
      <c r="I39" s="70" t="s">
        <v>1152</v>
      </c>
      <c r="J39" s="70"/>
      <c r="K39" s="70"/>
      <c r="L39" s="70" t="s">
        <v>1152</v>
      </c>
      <c r="M39" s="70" t="s">
        <v>1152</v>
      </c>
      <c r="N39" s="70" t="s">
        <v>1152</v>
      </c>
      <c r="O39" s="70" t="s">
        <v>1152</v>
      </c>
      <c r="P39" s="70" t="s">
        <v>1152</v>
      </c>
      <c r="Q39" s="70" t="s">
        <v>1152</v>
      </c>
      <c r="R39" s="70" t="s">
        <v>1152</v>
      </c>
      <c r="S39" s="70" t="s">
        <v>1152</v>
      </c>
      <c r="T39" s="70" t="s">
        <v>1152</v>
      </c>
      <c r="U39" s="70" t="s">
        <v>1152</v>
      </c>
      <c r="V39" s="70" t="s">
        <v>1152</v>
      </c>
      <c r="W39" s="70" t="s">
        <v>1152</v>
      </c>
      <c r="X39" s="70" t="s">
        <v>1152</v>
      </c>
      <c r="Y39" s="70" t="s">
        <v>1152</v>
      </c>
      <c r="Z39" s="70" t="s">
        <v>1152</v>
      </c>
      <c r="AA39" s="70" t="s">
        <v>1152</v>
      </c>
      <c r="AB39" s="70" t="s">
        <v>1152</v>
      </c>
      <c r="AC39" s="70" t="s">
        <v>1152</v>
      </c>
      <c r="AD39" s="70" t="s">
        <v>1152</v>
      </c>
      <c r="AE39" s="70" t="s">
        <v>1152</v>
      </c>
      <c r="AF39" s="70" t="s">
        <v>1152</v>
      </c>
      <c r="AG39" s="70" t="s">
        <v>1152</v>
      </c>
      <c r="AH39" s="70" t="s">
        <v>1152</v>
      </c>
      <c r="AI39" s="70" t="s">
        <v>1152</v>
      </c>
      <c r="AJ39" s="70" t="s">
        <v>1152</v>
      </c>
      <c r="AK39" s="70" t="s">
        <v>1152</v>
      </c>
      <c r="AL39" s="70" t="s">
        <v>1152</v>
      </c>
      <c r="AM39" s="70" t="s">
        <v>1152</v>
      </c>
    </row>
    <row r="40" spans="5:39" x14ac:dyDescent="0.25">
      <c r="E40" s="335"/>
      <c r="F40" s="101" t="s">
        <v>276</v>
      </c>
      <c r="G40" s="70"/>
      <c r="H40" s="70" t="s">
        <v>1152</v>
      </c>
      <c r="I40" s="70" t="s">
        <v>1152</v>
      </c>
      <c r="J40" s="70"/>
      <c r="K40" s="70"/>
      <c r="L40" s="70" t="s">
        <v>1152</v>
      </c>
      <c r="M40" s="70" t="s">
        <v>1152</v>
      </c>
      <c r="N40" s="70" t="s">
        <v>1152</v>
      </c>
      <c r="O40" s="70" t="s">
        <v>1152</v>
      </c>
      <c r="P40" s="70" t="s">
        <v>1152</v>
      </c>
      <c r="Q40" s="70" t="s">
        <v>1152</v>
      </c>
      <c r="R40" s="70" t="s">
        <v>1152</v>
      </c>
      <c r="S40" s="70" t="s">
        <v>1152</v>
      </c>
      <c r="T40" s="70" t="s">
        <v>1152</v>
      </c>
      <c r="U40" s="70" t="s">
        <v>1152</v>
      </c>
      <c r="V40" s="70" t="s">
        <v>1152</v>
      </c>
      <c r="W40" s="70" t="s">
        <v>1152</v>
      </c>
      <c r="X40" s="70" t="s">
        <v>1152</v>
      </c>
      <c r="Y40" s="70" t="s">
        <v>1152</v>
      </c>
      <c r="Z40" s="70" t="s">
        <v>1152</v>
      </c>
      <c r="AA40" s="70" t="s">
        <v>1152</v>
      </c>
      <c r="AB40" s="70" t="s">
        <v>1152</v>
      </c>
      <c r="AC40" s="70" t="s">
        <v>1152</v>
      </c>
      <c r="AD40" s="70" t="s">
        <v>1152</v>
      </c>
      <c r="AE40" s="70" t="s">
        <v>1152</v>
      </c>
      <c r="AF40" s="70" t="s">
        <v>1152</v>
      </c>
      <c r="AG40" s="70" t="s">
        <v>1152</v>
      </c>
      <c r="AH40" s="70" t="s">
        <v>1152</v>
      </c>
      <c r="AI40" s="70" t="s">
        <v>1152</v>
      </c>
      <c r="AJ40" s="70" t="s">
        <v>1152</v>
      </c>
      <c r="AK40" s="70" t="s">
        <v>1152</v>
      </c>
      <c r="AL40" s="70" t="s">
        <v>1152</v>
      </c>
      <c r="AM40" s="70" t="s">
        <v>1152</v>
      </c>
    </row>
    <row r="41" spans="5:39" x14ac:dyDescent="0.25">
      <c r="E41" s="335"/>
      <c r="F41" s="101" t="s">
        <v>277</v>
      </c>
      <c r="G41" s="70"/>
      <c r="H41" s="70" t="s">
        <v>1152</v>
      </c>
      <c r="I41" s="70" t="s">
        <v>1152</v>
      </c>
      <c r="J41" s="70"/>
      <c r="K41" s="70"/>
      <c r="L41" s="70" t="s">
        <v>1152</v>
      </c>
      <c r="M41" s="70" t="s">
        <v>1152</v>
      </c>
      <c r="N41" s="70" t="s">
        <v>1152</v>
      </c>
      <c r="O41" s="70" t="s">
        <v>1152</v>
      </c>
      <c r="P41" s="70" t="s">
        <v>1152</v>
      </c>
      <c r="Q41" s="70" t="s">
        <v>1152</v>
      </c>
      <c r="R41" s="70" t="s">
        <v>1152</v>
      </c>
      <c r="S41" s="70" t="s">
        <v>1152</v>
      </c>
      <c r="T41" s="70" t="s">
        <v>1152</v>
      </c>
      <c r="U41" s="70" t="s">
        <v>1152</v>
      </c>
      <c r="V41" s="70" t="s">
        <v>1152</v>
      </c>
      <c r="W41" s="70" t="s">
        <v>1152</v>
      </c>
      <c r="X41" s="70" t="s">
        <v>1152</v>
      </c>
      <c r="Y41" s="70" t="s">
        <v>1152</v>
      </c>
      <c r="Z41" s="70" t="s">
        <v>1152</v>
      </c>
      <c r="AA41" s="70" t="s">
        <v>1152</v>
      </c>
      <c r="AB41" s="70" t="s">
        <v>1152</v>
      </c>
      <c r="AC41" s="70" t="s">
        <v>1152</v>
      </c>
      <c r="AD41" s="70" t="s">
        <v>1152</v>
      </c>
      <c r="AE41" s="70" t="s">
        <v>1152</v>
      </c>
      <c r="AF41" s="70" t="s">
        <v>1152</v>
      </c>
      <c r="AG41" s="70" t="s">
        <v>1152</v>
      </c>
      <c r="AH41" s="70" t="s">
        <v>1152</v>
      </c>
      <c r="AI41" s="70" t="s">
        <v>1152</v>
      </c>
      <c r="AJ41" s="70" t="s">
        <v>1152</v>
      </c>
      <c r="AK41" s="70" t="s">
        <v>1152</v>
      </c>
      <c r="AL41" s="70" t="s">
        <v>1152</v>
      </c>
      <c r="AM41" s="70" t="s">
        <v>1152</v>
      </c>
    </row>
    <row r="42" spans="5:39" ht="15.75" thickBot="1" x14ac:dyDescent="0.3">
      <c r="E42" s="336"/>
      <c r="F42" s="102" t="s">
        <v>278</v>
      </c>
      <c r="G42" s="70"/>
      <c r="H42" s="70" t="s">
        <v>1152</v>
      </c>
      <c r="I42" s="70" t="s">
        <v>1152</v>
      </c>
      <c r="J42" s="70"/>
      <c r="K42" s="70"/>
      <c r="L42" s="70" t="s">
        <v>1152</v>
      </c>
      <c r="M42" s="70" t="s">
        <v>1152</v>
      </c>
      <c r="N42" s="70" t="s">
        <v>1152</v>
      </c>
      <c r="O42" s="70" t="s">
        <v>1152</v>
      </c>
      <c r="P42" s="70" t="s">
        <v>1152</v>
      </c>
      <c r="Q42" s="70" t="s">
        <v>1152</v>
      </c>
      <c r="R42" s="70" t="s">
        <v>1152</v>
      </c>
      <c r="S42" s="70" t="s">
        <v>1152</v>
      </c>
      <c r="T42" s="70" t="s">
        <v>1152</v>
      </c>
      <c r="U42" s="70" t="s">
        <v>1152</v>
      </c>
      <c r="V42" s="70" t="s">
        <v>1152</v>
      </c>
      <c r="W42" s="70" t="s">
        <v>1152</v>
      </c>
      <c r="X42" s="70" t="s">
        <v>1152</v>
      </c>
      <c r="Y42" s="70" t="s">
        <v>1152</v>
      </c>
      <c r="Z42" s="70" t="s">
        <v>1152</v>
      </c>
      <c r="AA42" s="70" t="s">
        <v>1152</v>
      </c>
      <c r="AB42" s="70" t="s">
        <v>1152</v>
      </c>
      <c r="AC42" s="70" t="s">
        <v>1152</v>
      </c>
      <c r="AD42" s="70" t="s">
        <v>1152</v>
      </c>
      <c r="AE42" s="70" t="s">
        <v>1152</v>
      </c>
      <c r="AF42" s="70" t="s">
        <v>1152</v>
      </c>
      <c r="AG42" s="70" t="s">
        <v>1152</v>
      </c>
      <c r="AH42" s="70" t="s">
        <v>1152</v>
      </c>
      <c r="AI42" s="70" t="s">
        <v>1152</v>
      </c>
      <c r="AJ42" s="70" t="s">
        <v>1152</v>
      </c>
      <c r="AK42" s="70" t="s">
        <v>1152</v>
      </c>
      <c r="AL42" s="70" t="s">
        <v>1152</v>
      </c>
      <c r="AM42" s="70" t="s">
        <v>1152</v>
      </c>
    </row>
    <row r="43" spans="5:39" ht="15" customHeight="1" x14ac:dyDescent="0.25">
      <c r="E43" s="334" t="s">
        <v>153</v>
      </c>
      <c r="F43" s="100" t="s">
        <v>158</v>
      </c>
      <c r="G43" s="70" t="s">
        <v>95</v>
      </c>
      <c r="H43" s="70" t="s">
        <v>95</v>
      </c>
      <c r="I43" s="70" t="s">
        <v>95</v>
      </c>
      <c r="J43" s="70" t="s">
        <v>95</v>
      </c>
      <c r="K43" s="70" t="s">
        <v>95</v>
      </c>
      <c r="L43" s="70" t="s">
        <v>95</v>
      </c>
      <c r="M43" s="70" t="s">
        <v>91</v>
      </c>
      <c r="N43" s="70" t="s">
        <v>95</v>
      </c>
      <c r="O43" s="70" t="s">
        <v>95</v>
      </c>
      <c r="P43" s="70" t="s">
        <v>95</v>
      </c>
      <c r="Q43" s="70" t="s">
        <v>95</v>
      </c>
      <c r="R43" s="70" t="s">
        <v>95</v>
      </c>
      <c r="S43" s="70" t="s">
        <v>95</v>
      </c>
      <c r="T43" s="70" t="s">
        <v>95</v>
      </c>
      <c r="U43" s="70" t="s">
        <v>95</v>
      </c>
      <c r="V43" s="70" t="s">
        <v>95</v>
      </c>
      <c r="W43" s="70" t="s">
        <v>95</v>
      </c>
      <c r="X43" s="70" t="s">
        <v>95</v>
      </c>
      <c r="Y43" s="70" t="s">
        <v>95</v>
      </c>
      <c r="Z43" s="70" t="s">
        <v>95</v>
      </c>
      <c r="AA43" s="70" t="s">
        <v>95</v>
      </c>
      <c r="AB43" s="70" t="s">
        <v>95</v>
      </c>
      <c r="AC43" s="70" t="s">
        <v>95</v>
      </c>
      <c r="AD43" s="70" t="s">
        <v>95</v>
      </c>
      <c r="AE43" s="70" t="s">
        <v>95</v>
      </c>
      <c r="AF43" s="70" t="s">
        <v>95</v>
      </c>
      <c r="AG43" s="70" t="s">
        <v>95</v>
      </c>
      <c r="AH43" s="70" t="s">
        <v>95</v>
      </c>
      <c r="AI43" s="70" t="s">
        <v>95</v>
      </c>
      <c r="AJ43" s="70" t="s">
        <v>95</v>
      </c>
      <c r="AK43" s="70" t="s">
        <v>95</v>
      </c>
      <c r="AL43" s="70" t="s">
        <v>95</v>
      </c>
      <c r="AM43" s="70" t="s">
        <v>95</v>
      </c>
    </row>
    <row r="44" spans="5:39" ht="15" customHeight="1" x14ac:dyDescent="0.25">
      <c r="E44" s="335"/>
      <c r="F44" s="101" t="s">
        <v>154</v>
      </c>
      <c r="G44" s="70">
        <v>150</v>
      </c>
      <c r="H44" s="70">
        <v>150</v>
      </c>
      <c r="I44" s="70">
        <v>150</v>
      </c>
      <c r="J44" s="70">
        <v>150</v>
      </c>
      <c r="K44" s="70">
        <v>150</v>
      </c>
      <c r="L44" s="70">
        <v>150</v>
      </c>
      <c r="M44" s="70">
        <v>150</v>
      </c>
      <c r="N44" s="70">
        <v>150</v>
      </c>
      <c r="O44" s="70">
        <v>150</v>
      </c>
      <c r="P44" s="70">
        <v>150</v>
      </c>
      <c r="Q44" s="70">
        <v>150</v>
      </c>
      <c r="R44" s="70">
        <v>150</v>
      </c>
      <c r="S44" s="70">
        <v>150</v>
      </c>
      <c r="T44" s="70">
        <v>150</v>
      </c>
      <c r="U44" s="70">
        <v>150</v>
      </c>
      <c r="V44" s="70">
        <v>150</v>
      </c>
      <c r="W44" s="70">
        <v>150</v>
      </c>
      <c r="X44" s="70">
        <v>150</v>
      </c>
      <c r="Y44" s="70">
        <v>150</v>
      </c>
      <c r="Z44" s="70">
        <v>150</v>
      </c>
      <c r="AA44" s="70">
        <v>150</v>
      </c>
      <c r="AB44" s="70">
        <v>150</v>
      </c>
      <c r="AC44" s="70">
        <v>150</v>
      </c>
      <c r="AD44" s="70">
        <v>150</v>
      </c>
      <c r="AE44" s="70">
        <v>150</v>
      </c>
      <c r="AF44" s="70">
        <v>150</v>
      </c>
      <c r="AG44" s="70">
        <v>150</v>
      </c>
      <c r="AH44" s="70">
        <v>150</v>
      </c>
      <c r="AI44" s="70">
        <v>150</v>
      </c>
      <c r="AJ44" s="70">
        <v>150</v>
      </c>
      <c r="AK44" s="70">
        <v>150</v>
      </c>
      <c r="AL44" s="70">
        <v>150</v>
      </c>
      <c r="AM44" s="70">
        <v>150</v>
      </c>
    </row>
    <row r="45" spans="5:39" x14ac:dyDescent="0.25">
      <c r="E45" s="335"/>
      <c r="F45" s="101" t="s">
        <v>155</v>
      </c>
      <c r="G45" s="70">
        <v>3.6</v>
      </c>
      <c r="H45" s="70">
        <v>3.6</v>
      </c>
      <c r="I45" s="70">
        <v>3.6</v>
      </c>
      <c r="J45" s="70">
        <v>5</v>
      </c>
      <c r="K45" s="70">
        <v>3.6</v>
      </c>
      <c r="L45" s="70">
        <v>3.6</v>
      </c>
      <c r="M45" s="70">
        <v>3.6</v>
      </c>
      <c r="N45" s="70">
        <v>3.6</v>
      </c>
      <c r="O45" s="70">
        <v>3.6</v>
      </c>
      <c r="P45" s="70">
        <v>3.6</v>
      </c>
      <c r="Q45" s="70">
        <v>3.6</v>
      </c>
      <c r="R45" s="70">
        <v>3.6</v>
      </c>
      <c r="S45" s="70">
        <v>3.6</v>
      </c>
      <c r="T45" s="70">
        <v>3.6</v>
      </c>
      <c r="U45" s="70">
        <v>3.6</v>
      </c>
      <c r="V45" s="70">
        <v>3.6</v>
      </c>
      <c r="W45" s="70">
        <v>3.6</v>
      </c>
      <c r="X45" s="70">
        <v>3.6</v>
      </c>
      <c r="Y45" s="70">
        <v>3.6</v>
      </c>
      <c r="Z45" s="70">
        <v>3.6</v>
      </c>
      <c r="AA45" s="70">
        <v>3.6</v>
      </c>
      <c r="AB45" s="70">
        <v>3.6</v>
      </c>
      <c r="AC45" s="70">
        <v>3.6</v>
      </c>
      <c r="AD45" s="70">
        <v>3.6</v>
      </c>
      <c r="AE45" s="70">
        <v>3.6</v>
      </c>
      <c r="AF45" s="70">
        <v>3.6</v>
      </c>
      <c r="AG45" s="70">
        <v>3.6</v>
      </c>
      <c r="AH45" s="70">
        <v>3.6</v>
      </c>
      <c r="AI45" s="70">
        <v>3.6</v>
      </c>
      <c r="AJ45" s="70">
        <v>3.6</v>
      </c>
      <c r="AK45" s="70">
        <v>3.6</v>
      </c>
      <c r="AL45" s="70">
        <v>3.6</v>
      </c>
      <c r="AM45" s="70">
        <v>3.6</v>
      </c>
    </row>
    <row r="46" spans="5:39" x14ac:dyDescent="0.25">
      <c r="E46" s="335"/>
      <c r="F46" s="101" t="s">
        <v>8</v>
      </c>
      <c r="G46" s="70">
        <v>75</v>
      </c>
      <c r="H46" s="70">
        <v>75</v>
      </c>
      <c r="I46" s="70">
        <v>75</v>
      </c>
      <c r="J46" s="70">
        <v>60</v>
      </c>
      <c r="K46" s="70">
        <v>75</v>
      </c>
      <c r="L46" s="70">
        <v>75</v>
      </c>
      <c r="M46" s="70">
        <v>75</v>
      </c>
      <c r="N46" s="70">
        <v>75</v>
      </c>
      <c r="O46" s="70">
        <v>60</v>
      </c>
      <c r="P46" s="70">
        <v>60</v>
      </c>
      <c r="Q46" s="70">
        <v>60</v>
      </c>
      <c r="R46" s="70">
        <v>60</v>
      </c>
      <c r="S46" s="70">
        <v>60</v>
      </c>
      <c r="T46" s="70">
        <v>60</v>
      </c>
      <c r="U46" s="70">
        <v>60</v>
      </c>
      <c r="V46" s="70">
        <v>60</v>
      </c>
      <c r="W46" s="70">
        <v>60</v>
      </c>
      <c r="X46" s="70">
        <v>60</v>
      </c>
      <c r="Y46" s="70">
        <v>60</v>
      </c>
      <c r="Z46" s="70">
        <v>60</v>
      </c>
      <c r="AA46" s="70">
        <v>60</v>
      </c>
      <c r="AB46" s="70">
        <v>60</v>
      </c>
      <c r="AC46" s="70">
        <v>60</v>
      </c>
      <c r="AD46" s="70">
        <v>60</v>
      </c>
      <c r="AE46" s="70">
        <v>60</v>
      </c>
      <c r="AF46" s="70">
        <v>60</v>
      </c>
      <c r="AG46" s="70">
        <v>60</v>
      </c>
      <c r="AH46" s="70">
        <v>60</v>
      </c>
      <c r="AI46" s="70">
        <v>60</v>
      </c>
      <c r="AJ46" s="70">
        <v>60</v>
      </c>
      <c r="AK46" s="70">
        <v>60</v>
      </c>
      <c r="AL46" s="70">
        <v>60</v>
      </c>
      <c r="AM46" s="70">
        <v>60</v>
      </c>
    </row>
    <row r="47" spans="5:39" x14ac:dyDescent="0.25">
      <c r="E47" s="335"/>
      <c r="F47" s="101" t="s">
        <v>156</v>
      </c>
      <c r="G47" s="70" t="s">
        <v>927</v>
      </c>
      <c r="H47" s="70" t="s">
        <v>927</v>
      </c>
      <c r="I47" s="70" t="s">
        <v>927</v>
      </c>
      <c r="J47" s="70" t="s">
        <v>927</v>
      </c>
      <c r="K47" s="70" t="s">
        <v>927</v>
      </c>
      <c r="L47" s="70" t="s">
        <v>927</v>
      </c>
      <c r="M47" s="70" t="s">
        <v>927</v>
      </c>
      <c r="N47" s="70" t="s">
        <v>927</v>
      </c>
      <c r="O47" s="70" t="s">
        <v>2078</v>
      </c>
      <c r="P47" s="70" t="s">
        <v>2078</v>
      </c>
      <c r="Q47" s="70" t="s">
        <v>2078</v>
      </c>
      <c r="R47" s="70" t="s">
        <v>2078</v>
      </c>
      <c r="S47" s="70" t="s">
        <v>2078</v>
      </c>
      <c r="T47" s="70" t="s">
        <v>2078</v>
      </c>
      <c r="U47" s="70" t="s">
        <v>2078</v>
      </c>
      <c r="V47" s="70" t="s">
        <v>2078</v>
      </c>
      <c r="W47" s="70" t="s">
        <v>2078</v>
      </c>
      <c r="X47" s="70" t="s">
        <v>2078</v>
      </c>
      <c r="Y47" s="70" t="s">
        <v>2078</v>
      </c>
      <c r="Z47" s="70" t="s">
        <v>2078</v>
      </c>
      <c r="AA47" s="70" t="s">
        <v>2078</v>
      </c>
      <c r="AB47" s="70" t="s">
        <v>2078</v>
      </c>
      <c r="AC47" s="70" t="s">
        <v>2078</v>
      </c>
      <c r="AD47" s="70" t="s">
        <v>2078</v>
      </c>
      <c r="AE47" s="70" t="s">
        <v>2078</v>
      </c>
      <c r="AF47" s="70" t="s">
        <v>2078</v>
      </c>
      <c r="AG47" s="70" t="s">
        <v>2078</v>
      </c>
      <c r="AH47" s="70" t="s">
        <v>2078</v>
      </c>
      <c r="AI47" s="70" t="s">
        <v>2078</v>
      </c>
      <c r="AJ47" s="70" t="s">
        <v>2078</v>
      </c>
      <c r="AK47" s="70" t="s">
        <v>2078</v>
      </c>
      <c r="AL47" s="70" t="s">
        <v>2078</v>
      </c>
      <c r="AM47" s="70" t="s">
        <v>2078</v>
      </c>
    </row>
    <row r="48" spans="5:39" x14ac:dyDescent="0.25">
      <c r="E48" s="335"/>
      <c r="F48" s="101" t="s">
        <v>214</v>
      </c>
      <c r="G48" s="70">
        <v>0</v>
      </c>
      <c r="H48" s="70">
        <v>0</v>
      </c>
      <c r="I48" s="70">
        <v>0</v>
      </c>
      <c r="J48" s="70">
        <v>0</v>
      </c>
      <c r="K48" s="70">
        <v>0</v>
      </c>
      <c r="L48" s="70">
        <v>0</v>
      </c>
      <c r="M48" s="70">
        <v>0</v>
      </c>
      <c r="N48" s="70">
        <v>0</v>
      </c>
      <c r="O48" s="70">
        <v>0</v>
      </c>
      <c r="P48" s="70">
        <v>0</v>
      </c>
      <c r="Q48" s="70">
        <v>0</v>
      </c>
      <c r="R48" s="70">
        <v>0</v>
      </c>
      <c r="S48" s="70">
        <v>0</v>
      </c>
      <c r="T48" s="70">
        <v>0</v>
      </c>
      <c r="U48" s="70">
        <v>0</v>
      </c>
      <c r="V48" s="70">
        <v>0</v>
      </c>
      <c r="W48" s="70">
        <v>0</v>
      </c>
      <c r="X48" s="70">
        <v>0</v>
      </c>
      <c r="Y48" s="70">
        <v>0</v>
      </c>
      <c r="Z48" s="70">
        <v>0</v>
      </c>
      <c r="AA48" s="70">
        <v>0</v>
      </c>
      <c r="AB48" s="70">
        <v>0</v>
      </c>
      <c r="AC48" s="70">
        <v>0</v>
      </c>
      <c r="AD48" s="70">
        <v>0</v>
      </c>
      <c r="AE48" s="70">
        <v>0</v>
      </c>
      <c r="AF48" s="70">
        <v>0</v>
      </c>
      <c r="AG48" s="70">
        <v>0</v>
      </c>
      <c r="AH48" s="70">
        <v>0</v>
      </c>
      <c r="AI48" s="70">
        <v>0</v>
      </c>
      <c r="AJ48" s="70">
        <v>0</v>
      </c>
      <c r="AK48" s="70">
        <v>0</v>
      </c>
      <c r="AL48" s="70">
        <v>0</v>
      </c>
      <c r="AM48" s="70">
        <v>0</v>
      </c>
    </row>
    <row r="49" spans="5:39" x14ac:dyDescent="0.25">
      <c r="E49" s="335"/>
      <c r="F49" s="101" t="s">
        <v>7</v>
      </c>
      <c r="G49" s="70">
        <v>40</v>
      </c>
      <c r="H49" s="70">
        <v>40</v>
      </c>
      <c r="I49" s="70">
        <v>40</v>
      </c>
      <c r="J49" s="70">
        <v>40</v>
      </c>
      <c r="K49" s="70">
        <v>40</v>
      </c>
      <c r="L49" s="70">
        <v>40</v>
      </c>
      <c r="M49" s="70">
        <v>40</v>
      </c>
      <c r="N49" s="70">
        <v>40</v>
      </c>
      <c r="O49" s="70">
        <v>38.666666666666664</v>
      </c>
      <c r="P49" s="70">
        <v>38.666666666666664</v>
      </c>
      <c r="Q49" s="70">
        <v>38.666666666666664</v>
      </c>
      <c r="R49" s="70">
        <v>38.666666666666664</v>
      </c>
      <c r="S49" s="70">
        <v>38.666666666666664</v>
      </c>
      <c r="T49" s="70">
        <v>38.666666666666664</v>
      </c>
      <c r="U49" s="70">
        <v>38.666666666666664</v>
      </c>
      <c r="V49" s="70">
        <v>38.666666666666664</v>
      </c>
      <c r="W49" s="70">
        <v>38.666666666666664</v>
      </c>
      <c r="X49" s="70">
        <v>38.666666666666664</v>
      </c>
      <c r="Y49" s="70">
        <v>38.666666666666664</v>
      </c>
      <c r="Z49" s="70">
        <v>38.666666666666664</v>
      </c>
      <c r="AA49" s="70">
        <v>38.666666666666664</v>
      </c>
      <c r="AB49" s="70">
        <v>38.666666666666664</v>
      </c>
      <c r="AC49" s="70">
        <v>38.666666666666664</v>
      </c>
      <c r="AD49" s="70">
        <v>38.666666666666664</v>
      </c>
      <c r="AE49" s="70">
        <v>38.666666666666664</v>
      </c>
      <c r="AF49" s="70">
        <v>38.666666666666664</v>
      </c>
      <c r="AG49" s="70">
        <v>38.666666666666664</v>
      </c>
      <c r="AH49" s="70">
        <v>38.666666666666664</v>
      </c>
      <c r="AI49" s="70">
        <v>38.666666666666664</v>
      </c>
      <c r="AJ49" s="70">
        <v>38.666666666666664</v>
      </c>
      <c r="AK49" s="70">
        <v>40.333333333333336</v>
      </c>
      <c r="AL49" s="70">
        <v>45.333333333333336</v>
      </c>
      <c r="AM49" s="70">
        <v>52.583333333333336</v>
      </c>
    </row>
    <row r="50" spans="5:39" x14ac:dyDescent="0.25">
      <c r="E50" s="335"/>
      <c r="F50" s="101" t="s">
        <v>280</v>
      </c>
      <c r="G50" s="70">
        <v>2.5</v>
      </c>
      <c r="H50" s="70">
        <v>2.5</v>
      </c>
      <c r="I50" s="70">
        <v>2.5</v>
      </c>
      <c r="J50" s="70">
        <v>3</v>
      </c>
      <c r="K50" s="70">
        <v>2.5</v>
      </c>
      <c r="L50" s="70">
        <v>2.5</v>
      </c>
      <c r="M50" s="70">
        <v>2.5</v>
      </c>
      <c r="N50" s="70">
        <v>2.5</v>
      </c>
      <c r="O50" s="70">
        <v>1.3333333300000001</v>
      </c>
      <c r="P50" s="70">
        <v>1.3333333333333157</v>
      </c>
      <c r="Q50" s="70">
        <v>1.3333333333333157</v>
      </c>
      <c r="R50" s="70">
        <v>1.3333333333333157</v>
      </c>
      <c r="S50" s="70">
        <v>1.3333333333333157</v>
      </c>
      <c r="T50" s="70">
        <v>1.3333333333333157</v>
      </c>
      <c r="U50" s="70">
        <v>1.3333333333333157</v>
      </c>
      <c r="V50" s="70">
        <v>1.3333333333333157</v>
      </c>
      <c r="W50" s="70">
        <v>1.3333333333333157</v>
      </c>
      <c r="X50" s="70">
        <v>1.3333333333333157</v>
      </c>
      <c r="Y50" s="70">
        <v>1.3333333333333157</v>
      </c>
      <c r="Z50" s="70">
        <v>1.3333333333333157</v>
      </c>
      <c r="AA50" s="70">
        <v>1.3333333333333157</v>
      </c>
      <c r="AB50" s="70">
        <v>1.3333333333333157</v>
      </c>
      <c r="AC50" s="70">
        <v>1.3333333333333157</v>
      </c>
      <c r="AD50" s="70">
        <v>1.3333333333333157</v>
      </c>
      <c r="AE50" s="70">
        <v>1.3333333333333157</v>
      </c>
      <c r="AF50" s="70">
        <v>1.3333333333333157</v>
      </c>
      <c r="AG50" s="70">
        <v>1.3333333333333157</v>
      </c>
      <c r="AH50" s="70">
        <v>1.3333333333333157</v>
      </c>
      <c r="AI50" s="70">
        <v>1.3333333333333157</v>
      </c>
      <c r="AJ50" s="70">
        <v>1.3333333333333157</v>
      </c>
      <c r="AK50" s="70">
        <v>1.3802083333333333</v>
      </c>
      <c r="AL50" s="70">
        <v>1.3645833333333333</v>
      </c>
      <c r="AM50" s="70">
        <v>1.34375</v>
      </c>
    </row>
    <row r="51" spans="5:39" x14ac:dyDescent="0.25">
      <c r="E51" s="335"/>
      <c r="F51" s="101" t="s">
        <v>279</v>
      </c>
      <c r="G51" s="70">
        <v>2.5</v>
      </c>
      <c r="H51" s="70">
        <v>2.5</v>
      </c>
      <c r="I51" s="70">
        <v>2.5</v>
      </c>
      <c r="J51" s="70">
        <v>3</v>
      </c>
      <c r="K51" s="70">
        <v>2.5</v>
      </c>
      <c r="L51" s="70">
        <v>2.5</v>
      </c>
      <c r="M51" s="70">
        <v>2.5</v>
      </c>
      <c r="N51" s="70">
        <v>2.5</v>
      </c>
      <c r="O51" s="70">
        <v>1.3333333300000001</v>
      </c>
      <c r="P51" s="70">
        <v>1.3333333333333157</v>
      </c>
      <c r="Q51" s="70">
        <v>1.3333333333333157</v>
      </c>
      <c r="R51" s="70">
        <v>1.3333333333333157</v>
      </c>
      <c r="S51" s="70">
        <v>1.3333333333333157</v>
      </c>
      <c r="T51" s="70">
        <v>1.3333333333333157</v>
      </c>
      <c r="U51" s="70">
        <v>1.3333333333333157</v>
      </c>
      <c r="V51" s="70">
        <v>1.3333333333333157</v>
      </c>
      <c r="W51" s="70">
        <v>1.3333333333333157</v>
      </c>
      <c r="X51" s="70">
        <v>1.3333333333333157</v>
      </c>
      <c r="Y51" s="70">
        <v>1.3333333333333157</v>
      </c>
      <c r="Z51" s="70">
        <v>1.3333333333333157</v>
      </c>
      <c r="AA51" s="70">
        <v>1.3333333333333157</v>
      </c>
      <c r="AB51" s="70">
        <v>1.3333333333333157</v>
      </c>
      <c r="AC51" s="70">
        <v>1.3333333333333157</v>
      </c>
      <c r="AD51" s="70">
        <v>1.3333333333333157</v>
      </c>
      <c r="AE51" s="70">
        <v>1.3333333333333157</v>
      </c>
      <c r="AF51" s="70">
        <v>1.3333333333333157</v>
      </c>
      <c r="AG51" s="70">
        <v>1.3333333333333157</v>
      </c>
      <c r="AH51" s="70">
        <v>1.3333333333333157</v>
      </c>
      <c r="AI51" s="70">
        <v>1.3333333333333157</v>
      </c>
      <c r="AJ51" s="70">
        <v>1.3333333333333157</v>
      </c>
      <c r="AK51" s="70">
        <v>1.3802083333333333</v>
      </c>
      <c r="AL51" s="70">
        <v>1.3645833333333333</v>
      </c>
      <c r="AM51" s="70">
        <v>1.34375</v>
      </c>
    </row>
    <row r="52" spans="5:39" x14ac:dyDescent="0.25">
      <c r="E52" s="335"/>
      <c r="F52" s="101" t="s">
        <v>215</v>
      </c>
      <c r="G52" s="70">
        <v>0</v>
      </c>
      <c r="H52" s="70">
        <v>0</v>
      </c>
      <c r="I52" s="70">
        <v>0</v>
      </c>
      <c r="J52" s="70">
        <v>0</v>
      </c>
      <c r="K52" s="70">
        <v>0</v>
      </c>
      <c r="L52" s="70">
        <v>0</v>
      </c>
      <c r="M52" s="70">
        <v>0</v>
      </c>
      <c r="N52" s="70">
        <v>0</v>
      </c>
      <c r="O52" s="70">
        <v>0</v>
      </c>
      <c r="P52" s="70">
        <v>0</v>
      </c>
      <c r="Q52" s="70">
        <v>0</v>
      </c>
      <c r="R52" s="70">
        <v>0</v>
      </c>
      <c r="S52" s="70">
        <v>0</v>
      </c>
      <c r="T52" s="70">
        <v>0</v>
      </c>
      <c r="U52" s="70">
        <v>0</v>
      </c>
      <c r="V52" s="70">
        <v>0</v>
      </c>
      <c r="W52" s="70">
        <v>0</v>
      </c>
      <c r="X52" s="70">
        <v>0</v>
      </c>
      <c r="Y52" s="70">
        <v>0</v>
      </c>
      <c r="Z52" s="70">
        <v>0</v>
      </c>
      <c r="AA52" s="70">
        <v>0</v>
      </c>
      <c r="AB52" s="70">
        <v>0</v>
      </c>
      <c r="AC52" s="70">
        <v>0</v>
      </c>
      <c r="AD52" s="70">
        <v>0</v>
      </c>
      <c r="AE52" s="70">
        <v>0</v>
      </c>
      <c r="AF52" s="70">
        <v>0</v>
      </c>
      <c r="AG52" s="70">
        <v>0</v>
      </c>
      <c r="AH52" s="70">
        <v>0</v>
      </c>
      <c r="AI52" s="70">
        <v>0</v>
      </c>
      <c r="AJ52" s="70">
        <v>0</v>
      </c>
      <c r="AK52" s="70">
        <v>0</v>
      </c>
      <c r="AL52" s="70">
        <v>0</v>
      </c>
      <c r="AM52" s="70">
        <v>0</v>
      </c>
    </row>
    <row r="53" spans="5:39" x14ac:dyDescent="0.25">
      <c r="E53" s="335"/>
      <c r="F53" s="101" t="s">
        <v>216</v>
      </c>
      <c r="G53" s="70">
        <v>0</v>
      </c>
      <c r="H53" s="70">
        <v>0</v>
      </c>
      <c r="I53" s="70">
        <v>0</v>
      </c>
      <c r="J53" s="70">
        <v>0</v>
      </c>
      <c r="K53" s="70">
        <v>0</v>
      </c>
      <c r="L53" s="70">
        <v>0</v>
      </c>
      <c r="M53" s="70">
        <v>0</v>
      </c>
      <c r="N53" s="70">
        <v>0</v>
      </c>
      <c r="O53" s="70">
        <v>0</v>
      </c>
      <c r="P53" s="70">
        <v>0</v>
      </c>
      <c r="Q53" s="70">
        <v>0</v>
      </c>
      <c r="R53" s="70">
        <v>0</v>
      </c>
      <c r="S53" s="70">
        <v>0</v>
      </c>
      <c r="T53" s="70">
        <v>0</v>
      </c>
      <c r="U53" s="70">
        <v>0</v>
      </c>
      <c r="V53" s="70">
        <v>0</v>
      </c>
      <c r="W53" s="70">
        <v>0</v>
      </c>
      <c r="X53" s="70">
        <v>0</v>
      </c>
      <c r="Y53" s="70">
        <v>0</v>
      </c>
      <c r="Z53" s="70">
        <v>0</v>
      </c>
      <c r="AA53" s="70">
        <v>0</v>
      </c>
      <c r="AB53" s="70">
        <v>0</v>
      </c>
      <c r="AC53" s="70">
        <v>0</v>
      </c>
      <c r="AD53" s="70">
        <v>0</v>
      </c>
      <c r="AE53" s="70">
        <v>0</v>
      </c>
      <c r="AF53" s="70">
        <v>0</v>
      </c>
      <c r="AG53" s="70">
        <v>0</v>
      </c>
      <c r="AH53" s="70">
        <v>0</v>
      </c>
      <c r="AI53" s="70">
        <v>0</v>
      </c>
      <c r="AJ53" s="70">
        <v>0</v>
      </c>
      <c r="AK53" s="70">
        <v>0</v>
      </c>
      <c r="AL53" s="70">
        <v>0</v>
      </c>
      <c r="AM53" s="70">
        <v>0</v>
      </c>
    </row>
    <row r="54" spans="5:39" x14ac:dyDescent="0.25">
      <c r="E54" s="335"/>
      <c r="F54" s="101" t="s">
        <v>157</v>
      </c>
      <c r="G54" s="70">
        <v>0</v>
      </c>
      <c r="H54" s="70">
        <v>0</v>
      </c>
      <c r="I54" s="70">
        <v>0</v>
      </c>
      <c r="J54" s="70">
        <v>0</v>
      </c>
      <c r="K54" s="70">
        <v>0</v>
      </c>
      <c r="L54" s="70">
        <v>0</v>
      </c>
      <c r="M54" s="70">
        <v>0</v>
      </c>
      <c r="N54" s="70">
        <v>0</v>
      </c>
      <c r="O54" s="70">
        <v>0</v>
      </c>
      <c r="P54" s="70">
        <v>0</v>
      </c>
      <c r="Q54" s="70">
        <v>0</v>
      </c>
      <c r="R54" s="70">
        <v>0</v>
      </c>
      <c r="S54" s="70">
        <v>0</v>
      </c>
      <c r="T54" s="70">
        <v>0</v>
      </c>
      <c r="U54" s="70">
        <v>0</v>
      </c>
      <c r="V54" s="70">
        <v>0</v>
      </c>
      <c r="W54" s="70">
        <v>0</v>
      </c>
      <c r="X54" s="70">
        <v>0</v>
      </c>
      <c r="Y54" s="70">
        <v>0</v>
      </c>
      <c r="Z54" s="70">
        <v>0</v>
      </c>
      <c r="AA54" s="70">
        <v>0</v>
      </c>
      <c r="AB54" s="70">
        <v>0</v>
      </c>
      <c r="AC54" s="70">
        <v>0</v>
      </c>
      <c r="AD54" s="70">
        <v>0</v>
      </c>
      <c r="AE54" s="70">
        <v>0</v>
      </c>
      <c r="AF54" s="70">
        <v>0</v>
      </c>
      <c r="AG54" s="70">
        <v>0</v>
      </c>
      <c r="AH54" s="70">
        <v>0</v>
      </c>
      <c r="AI54" s="70">
        <v>0</v>
      </c>
      <c r="AJ54" s="70">
        <v>0</v>
      </c>
      <c r="AK54" s="70">
        <v>0</v>
      </c>
      <c r="AL54" s="70">
        <v>0</v>
      </c>
      <c r="AM54" s="70">
        <v>0</v>
      </c>
    </row>
    <row r="55" spans="5:39" x14ac:dyDescent="0.25">
      <c r="E55" s="335"/>
      <c r="F55" s="101" t="s">
        <v>217</v>
      </c>
      <c r="G55" s="70">
        <v>28</v>
      </c>
      <c r="H55" s="70">
        <v>28</v>
      </c>
      <c r="I55" s="70">
        <v>28</v>
      </c>
      <c r="J55" s="70">
        <v>30</v>
      </c>
      <c r="K55" s="70">
        <v>28</v>
      </c>
      <c r="L55" s="70">
        <v>28</v>
      </c>
      <c r="M55" s="70">
        <v>28</v>
      </c>
      <c r="N55" s="70">
        <v>28</v>
      </c>
      <c r="O55" s="70">
        <v>20</v>
      </c>
      <c r="P55" s="70">
        <v>20</v>
      </c>
      <c r="Q55" s="70">
        <v>20</v>
      </c>
      <c r="R55" s="70">
        <v>20</v>
      </c>
      <c r="S55" s="70">
        <v>20</v>
      </c>
      <c r="T55" s="70">
        <v>20</v>
      </c>
      <c r="U55" s="70">
        <v>20</v>
      </c>
      <c r="V55" s="70">
        <v>20</v>
      </c>
      <c r="W55" s="70">
        <v>20</v>
      </c>
      <c r="X55" s="70">
        <v>20</v>
      </c>
      <c r="Y55" s="70">
        <v>20</v>
      </c>
      <c r="Z55" s="70">
        <v>20</v>
      </c>
      <c r="AA55" s="70">
        <v>20</v>
      </c>
      <c r="AB55" s="70">
        <v>20</v>
      </c>
      <c r="AC55" s="70">
        <v>20</v>
      </c>
      <c r="AD55" s="70">
        <v>20</v>
      </c>
      <c r="AE55" s="70">
        <v>20</v>
      </c>
      <c r="AF55" s="70">
        <v>20</v>
      </c>
      <c r="AG55" s="70">
        <v>20</v>
      </c>
      <c r="AH55" s="70">
        <v>20</v>
      </c>
      <c r="AI55" s="70">
        <v>20</v>
      </c>
      <c r="AJ55" s="70">
        <v>20</v>
      </c>
      <c r="AK55" s="70">
        <v>20</v>
      </c>
      <c r="AL55" s="70">
        <v>20</v>
      </c>
      <c r="AM55" s="70">
        <v>20</v>
      </c>
    </row>
    <row r="56" spans="5:39" x14ac:dyDescent="0.25">
      <c r="E56" s="335"/>
      <c r="F56" s="101" t="s">
        <v>218</v>
      </c>
      <c r="G56" s="70">
        <v>114</v>
      </c>
      <c r="H56" s="70">
        <v>114</v>
      </c>
      <c r="I56" s="70">
        <v>114</v>
      </c>
      <c r="J56" s="70">
        <v>114</v>
      </c>
      <c r="K56" s="70">
        <v>114</v>
      </c>
      <c r="L56" s="70">
        <v>114</v>
      </c>
      <c r="M56" s="70">
        <v>114</v>
      </c>
      <c r="N56" s="70">
        <v>114</v>
      </c>
      <c r="O56" s="70">
        <v>63</v>
      </c>
      <c r="P56" s="70">
        <v>63</v>
      </c>
      <c r="Q56" s="70">
        <v>63</v>
      </c>
      <c r="R56" s="70">
        <v>63</v>
      </c>
      <c r="S56" s="70">
        <v>63</v>
      </c>
      <c r="T56" s="70">
        <v>63</v>
      </c>
      <c r="U56" s="70">
        <v>63</v>
      </c>
      <c r="V56" s="70">
        <v>63</v>
      </c>
      <c r="W56" s="70">
        <v>63</v>
      </c>
      <c r="X56" s="70">
        <v>63</v>
      </c>
      <c r="Y56" s="70">
        <v>63</v>
      </c>
      <c r="Z56" s="70">
        <v>63</v>
      </c>
      <c r="AA56" s="70">
        <v>63</v>
      </c>
      <c r="AB56" s="70">
        <v>63</v>
      </c>
      <c r="AC56" s="70">
        <v>63</v>
      </c>
      <c r="AD56" s="70">
        <v>63</v>
      </c>
      <c r="AE56" s="70">
        <v>63</v>
      </c>
      <c r="AF56" s="70">
        <v>63</v>
      </c>
      <c r="AG56" s="70">
        <v>63</v>
      </c>
      <c r="AH56" s="70">
        <v>63</v>
      </c>
      <c r="AI56" s="70">
        <v>63</v>
      </c>
      <c r="AJ56" s="70">
        <v>63</v>
      </c>
      <c r="AK56" s="70">
        <v>63</v>
      </c>
      <c r="AL56" s="70">
        <v>63</v>
      </c>
      <c r="AM56" s="70">
        <v>63</v>
      </c>
    </row>
    <row r="57" spans="5:39" x14ac:dyDescent="0.25">
      <c r="E57" s="335"/>
      <c r="F57" s="101" t="s">
        <v>159</v>
      </c>
      <c r="G57" s="70">
        <v>42</v>
      </c>
      <c r="H57" s="70">
        <v>42</v>
      </c>
      <c r="I57" s="70">
        <v>42</v>
      </c>
      <c r="J57" s="70">
        <v>42</v>
      </c>
      <c r="K57" s="70">
        <v>42</v>
      </c>
      <c r="L57" s="70">
        <v>42</v>
      </c>
      <c r="M57" s="70">
        <v>42</v>
      </c>
      <c r="N57" s="70">
        <v>42</v>
      </c>
      <c r="O57" s="70">
        <v>22.5</v>
      </c>
      <c r="P57" s="70">
        <v>22.5</v>
      </c>
      <c r="Q57" s="70">
        <v>22.5</v>
      </c>
      <c r="R57" s="70">
        <v>22.5</v>
      </c>
      <c r="S57" s="70">
        <v>22.5</v>
      </c>
      <c r="T57" s="70">
        <v>22.5</v>
      </c>
      <c r="U57" s="70">
        <v>22.5</v>
      </c>
      <c r="V57" s="70">
        <v>22.5</v>
      </c>
      <c r="W57" s="70">
        <v>22.5</v>
      </c>
      <c r="X57" s="70">
        <v>22.5</v>
      </c>
      <c r="Y57" s="70">
        <v>22.5</v>
      </c>
      <c r="Z57" s="70">
        <v>22.5</v>
      </c>
      <c r="AA57" s="70">
        <v>22.5</v>
      </c>
      <c r="AB57" s="70">
        <v>22.5</v>
      </c>
      <c r="AC57" s="70">
        <v>22.5</v>
      </c>
      <c r="AD57" s="70">
        <v>22.5</v>
      </c>
      <c r="AE57" s="70">
        <v>22.5</v>
      </c>
      <c r="AF57" s="70">
        <v>22.5</v>
      </c>
      <c r="AG57" s="70">
        <v>22.5</v>
      </c>
      <c r="AH57" s="70">
        <v>22.5</v>
      </c>
      <c r="AI57" s="70">
        <v>22.5</v>
      </c>
      <c r="AJ57" s="70">
        <v>22.5</v>
      </c>
      <c r="AK57" s="70">
        <v>22.5</v>
      </c>
      <c r="AL57" s="70">
        <v>22.5</v>
      </c>
      <c r="AM57" s="70">
        <v>22.5</v>
      </c>
    </row>
    <row r="58" spans="5:39" x14ac:dyDescent="0.25">
      <c r="E58" s="335"/>
      <c r="F58" s="101" t="s">
        <v>935</v>
      </c>
      <c r="G58" s="70">
        <v>90</v>
      </c>
      <c r="H58" s="70">
        <v>90</v>
      </c>
      <c r="I58" s="70">
        <v>90</v>
      </c>
      <c r="J58" s="70">
        <v>97</v>
      </c>
      <c r="K58" s="70">
        <v>90</v>
      </c>
      <c r="L58" s="70">
        <v>90</v>
      </c>
      <c r="M58" s="70">
        <v>90</v>
      </c>
      <c r="N58" s="70">
        <v>90</v>
      </c>
      <c r="O58" s="70">
        <v>77.375</v>
      </c>
      <c r="P58" s="70">
        <v>77.375</v>
      </c>
      <c r="Q58" s="70">
        <v>77.375</v>
      </c>
      <c r="R58" s="70">
        <v>77</v>
      </c>
      <c r="S58" s="70">
        <v>77</v>
      </c>
      <c r="T58" s="70">
        <v>77</v>
      </c>
      <c r="U58" s="70">
        <v>77</v>
      </c>
      <c r="V58" s="70">
        <v>77</v>
      </c>
      <c r="W58" s="70">
        <v>77</v>
      </c>
      <c r="X58" s="70">
        <v>77</v>
      </c>
      <c r="Y58" s="70">
        <v>77</v>
      </c>
      <c r="Z58" s="70">
        <v>77</v>
      </c>
      <c r="AA58" s="70">
        <v>77</v>
      </c>
      <c r="AB58" s="70">
        <v>77</v>
      </c>
      <c r="AC58" s="70">
        <v>77</v>
      </c>
      <c r="AD58" s="70">
        <v>77</v>
      </c>
      <c r="AE58" s="70">
        <v>77</v>
      </c>
      <c r="AF58" s="70">
        <v>77</v>
      </c>
      <c r="AG58" s="70">
        <v>77</v>
      </c>
      <c r="AH58" s="70">
        <v>77</v>
      </c>
      <c r="AI58" s="70">
        <v>77</v>
      </c>
      <c r="AJ58" s="70">
        <v>77</v>
      </c>
      <c r="AK58" s="70">
        <v>77</v>
      </c>
      <c r="AL58" s="70">
        <v>77</v>
      </c>
      <c r="AM58" s="70">
        <v>77</v>
      </c>
    </row>
    <row r="59" spans="5:39" x14ac:dyDescent="0.25">
      <c r="E59" s="335"/>
      <c r="F59" s="101" t="s">
        <v>219</v>
      </c>
      <c r="G59" s="70">
        <v>60</v>
      </c>
      <c r="H59" s="70">
        <v>60</v>
      </c>
      <c r="I59" s="70">
        <v>60</v>
      </c>
      <c r="J59" s="70">
        <v>60</v>
      </c>
      <c r="K59" s="70">
        <v>60</v>
      </c>
      <c r="L59" s="70">
        <v>60</v>
      </c>
      <c r="M59" s="70">
        <v>60</v>
      </c>
      <c r="N59" s="70">
        <v>60</v>
      </c>
      <c r="O59" s="70">
        <v>30</v>
      </c>
      <c r="P59" s="70">
        <v>30</v>
      </c>
      <c r="Q59" s="70">
        <v>30</v>
      </c>
      <c r="R59" s="70">
        <v>30</v>
      </c>
      <c r="S59" s="70">
        <v>30</v>
      </c>
      <c r="T59" s="70">
        <v>30</v>
      </c>
      <c r="U59" s="70">
        <v>30</v>
      </c>
      <c r="V59" s="70">
        <v>30</v>
      </c>
      <c r="W59" s="70">
        <v>30</v>
      </c>
      <c r="X59" s="70">
        <v>30</v>
      </c>
      <c r="Y59" s="70">
        <v>30</v>
      </c>
      <c r="Z59" s="70">
        <v>30</v>
      </c>
      <c r="AA59" s="70">
        <v>30</v>
      </c>
      <c r="AB59" s="70">
        <v>30</v>
      </c>
      <c r="AC59" s="70">
        <v>30</v>
      </c>
      <c r="AD59" s="70">
        <v>30</v>
      </c>
      <c r="AE59" s="70">
        <v>30</v>
      </c>
      <c r="AF59" s="70">
        <v>30</v>
      </c>
      <c r="AG59" s="70">
        <v>30</v>
      </c>
      <c r="AH59" s="70">
        <v>30</v>
      </c>
      <c r="AI59" s="70">
        <v>30</v>
      </c>
      <c r="AJ59" s="70">
        <v>30</v>
      </c>
      <c r="AK59" s="70">
        <v>30</v>
      </c>
      <c r="AL59" s="70">
        <v>30</v>
      </c>
      <c r="AM59" s="70">
        <v>30</v>
      </c>
    </row>
    <row r="60" spans="5:39" x14ac:dyDescent="0.25">
      <c r="E60" s="335"/>
      <c r="F60" s="101" t="s">
        <v>220</v>
      </c>
      <c r="G60" s="70">
        <v>0</v>
      </c>
      <c r="H60" s="70">
        <v>0</v>
      </c>
      <c r="I60" s="70">
        <v>0</v>
      </c>
      <c r="J60" s="70">
        <v>0</v>
      </c>
      <c r="K60" s="70">
        <v>0</v>
      </c>
      <c r="L60" s="70">
        <v>0</v>
      </c>
      <c r="M60" s="70">
        <v>0</v>
      </c>
      <c r="N60" s="70">
        <v>0</v>
      </c>
      <c r="O60" s="70">
        <v>0</v>
      </c>
      <c r="P60" s="70">
        <v>0</v>
      </c>
      <c r="Q60" s="70">
        <v>0</v>
      </c>
      <c r="R60" s="70">
        <v>0</v>
      </c>
      <c r="S60" s="70">
        <v>0</v>
      </c>
      <c r="T60" s="70">
        <v>0</v>
      </c>
      <c r="U60" s="70">
        <v>0</v>
      </c>
      <c r="V60" s="70">
        <v>0</v>
      </c>
      <c r="W60" s="70">
        <v>0</v>
      </c>
      <c r="X60" s="70">
        <v>0</v>
      </c>
      <c r="Y60" s="70">
        <v>0</v>
      </c>
      <c r="Z60" s="70">
        <v>0</v>
      </c>
      <c r="AA60" s="70">
        <v>0</v>
      </c>
      <c r="AB60" s="70">
        <v>0</v>
      </c>
      <c r="AC60" s="70">
        <v>0</v>
      </c>
      <c r="AD60" s="70">
        <v>0</v>
      </c>
      <c r="AE60" s="70">
        <v>0</v>
      </c>
      <c r="AF60" s="70">
        <v>0</v>
      </c>
      <c r="AG60" s="70">
        <v>0</v>
      </c>
      <c r="AH60" s="70">
        <v>0</v>
      </c>
      <c r="AI60" s="70">
        <v>0</v>
      </c>
      <c r="AJ60" s="70">
        <v>0</v>
      </c>
      <c r="AK60" s="70">
        <v>0</v>
      </c>
      <c r="AL60" s="70">
        <v>0</v>
      </c>
      <c r="AM60" s="70">
        <v>0</v>
      </c>
    </row>
    <row r="61" spans="5:39" x14ac:dyDescent="0.25">
      <c r="E61" s="335"/>
      <c r="F61" s="101" t="s">
        <v>221</v>
      </c>
      <c r="G61" s="70">
        <v>0</v>
      </c>
      <c r="H61" s="70">
        <v>0</v>
      </c>
      <c r="I61" s="70">
        <v>0</v>
      </c>
      <c r="J61" s="70">
        <v>0</v>
      </c>
      <c r="K61" s="70">
        <v>0</v>
      </c>
      <c r="L61" s="70">
        <v>0</v>
      </c>
      <c r="M61" s="70">
        <v>0</v>
      </c>
      <c r="N61" s="70">
        <v>0</v>
      </c>
      <c r="O61" s="70">
        <v>0</v>
      </c>
      <c r="P61" s="70">
        <v>0</v>
      </c>
      <c r="Q61" s="70">
        <v>0</v>
      </c>
      <c r="R61" s="70">
        <v>0</v>
      </c>
      <c r="S61" s="70">
        <v>0</v>
      </c>
      <c r="T61" s="70">
        <v>0</v>
      </c>
      <c r="U61" s="70">
        <v>0</v>
      </c>
      <c r="V61" s="70">
        <v>0</v>
      </c>
      <c r="W61" s="70">
        <v>0</v>
      </c>
      <c r="X61" s="70">
        <v>0</v>
      </c>
      <c r="Y61" s="70">
        <v>0</v>
      </c>
      <c r="Z61" s="70">
        <v>0</v>
      </c>
      <c r="AA61" s="70">
        <v>0</v>
      </c>
      <c r="AB61" s="70">
        <v>0</v>
      </c>
      <c r="AC61" s="70">
        <v>0</v>
      </c>
      <c r="AD61" s="70">
        <v>0</v>
      </c>
      <c r="AE61" s="70">
        <v>0</v>
      </c>
      <c r="AF61" s="70">
        <v>0</v>
      </c>
      <c r="AG61" s="70">
        <v>0</v>
      </c>
      <c r="AH61" s="70">
        <v>0</v>
      </c>
      <c r="AI61" s="70">
        <v>0</v>
      </c>
      <c r="AJ61" s="70">
        <v>0</v>
      </c>
      <c r="AK61" s="70">
        <v>0</v>
      </c>
      <c r="AL61" s="70">
        <v>0</v>
      </c>
      <c r="AM61" s="70">
        <v>0</v>
      </c>
    </row>
    <row r="62" spans="5:39" ht="15.75" thickBot="1" x14ac:dyDescent="0.3">
      <c r="E62" s="336"/>
      <c r="F62" s="102" t="s">
        <v>222</v>
      </c>
      <c r="G62" s="70">
        <v>0</v>
      </c>
      <c r="H62" s="70">
        <v>0</v>
      </c>
      <c r="I62" s="70">
        <v>0</v>
      </c>
      <c r="J62" s="70">
        <v>0</v>
      </c>
      <c r="K62" s="70">
        <v>0</v>
      </c>
      <c r="L62" s="70">
        <v>0</v>
      </c>
      <c r="M62" s="70">
        <v>0</v>
      </c>
      <c r="N62" s="70">
        <v>0</v>
      </c>
      <c r="O62" s="70">
        <v>0</v>
      </c>
      <c r="P62" s="70">
        <v>0</v>
      </c>
      <c r="Q62" s="70">
        <v>0</v>
      </c>
      <c r="R62" s="70">
        <v>0</v>
      </c>
      <c r="S62" s="70">
        <v>0</v>
      </c>
      <c r="T62" s="70">
        <v>0</v>
      </c>
      <c r="U62" s="70">
        <v>0</v>
      </c>
      <c r="V62" s="70">
        <v>0</v>
      </c>
      <c r="W62" s="70">
        <v>0</v>
      </c>
      <c r="X62" s="70">
        <v>0</v>
      </c>
      <c r="Y62" s="70">
        <v>0</v>
      </c>
      <c r="Z62" s="70">
        <v>0</v>
      </c>
      <c r="AA62" s="70">
        <v>0</v>
      </c>
      <c r="AB62" s="70">
        <v>0</v>
      </c>
      <c r="AC62" s="70">
        <v>0</v>
      </c>
      <c r="AD62" s="70">
        <v>0</v>
      </c>
      <c r="AE62" s="70">
        <v>0</v>
      </c>
      <c r="AF62" s="70">
        <v>0</v>
      </c>
      <c r="AG62" s="70">
        <v>0</v>
      </c>
      <c r="AH62" s="70">
        <v>0</v>
      </c>
      <c r="AI62" s="70">
        <v>0</v>
      </c>
      <c r="AJ62" s="70">
        <v>0</v>
      </c>
      <c r="AK62" s="70">
        <v>0</v>
      </c>
      <c r="AL62" s="70">
        <v>0</v>
      </c>
      <c r="AM62" s="70">
        <v>0</v>
      </c>
    </row>
    <row r="63" spans="5:39" ht="15" customHeight="1" x14ac:dyDescent="0.25">
      <c r="E63" s="334" t="s">
        <v>161</v>
      </c>
      <c r="F63" s="100" t="s">
        <v>162</v>
      </c>
      <c r="G63" s="70" t="s">
        <v>13</v>
      </c>
      <c r="H63" s="70" t="s">
        <v>13</v>
      </c>
      <c r="I63" s="70" t="s">
        <v>13</v>
      </c>
      <c r="J63" s="70" t="s">
        <v>13</v>
      </c>
      <c r="K63" s="70" t="s">
        <v>13</v>
      </c>
      <c r="L63" s="70" t="s">
        <v>13</v>
      </c>
      <c r="M63" s="70" t="s">
        <v>13</v>
      </c>
      <c r="N63" s="70" t="s">
        <v>13</v>
      </c>
      <c r="O63" s="70" t="s">
        <v>2079</v>
      </c>
      <c r="P63" s="70" t="s">
        <v>2079</v>
      </c>
      <c r="Q63" s="70" t="s">
        <v>2079</v>
      </c>
      <c r="R63" s="70" t="s">
        <v>2079</v>
      </c>
      <c r="S63" s="70" t="s">
        <v>2079</v>
      </c>
      <c r="T63" s="70" t="s">
        <v>2079</v>
      </c>
      <c r="U63" s="70" t="s">
        <v>2079</v>
      </c>
      <c r="V63" s="70" t="s">
        <v>2079</v>
      </c>
      <c r="W63" s="70" t="s">
        <v>2079</v>
      </c>
      <c r="X63" s="70" t="s">
        <v>2079</v>
      </c>
      <c r="Y63" s="70" t="s">
        <v>2079</v>
      </c>
      <c r="Z63" s="70" t="s">
        <v>2079</v>
      </c>
      <c r="AA63" s="70" t="s">
        <v>2079</v>
      </c>
      <c r="AB63" s="70" t="s">
        <v>2079</v>
      </c>
      <c r="AC63" s="70" t="s">
        <v>2079</v>
      </c>
      <c r="AD63" s="70" t="s">
        <v>2079</v>
      </c>
      <c r="AE63" s="70" t="s">
        <v>2079</v>
      </c>
      <c r="AF63" s="70" t="s">
        <v>2079</v>
      </c>
      <c r="AG63" s="70" t="s">
        <v>2079</v>
      </c>
      <c r="AH63" s="70" t="s">
        <v>2079</v>
      </c>
      <c r="AI63" s="70" t="s">
        <v>2079</v>
      </c>
      <c r="AJ63" s="70" t="s">
        <v>13</v>
      </c>
      <c r="AK63" s="70" t="s">
        <v>13</v>
      </c>
      <c r="AL63" s="70" t="s">
        <v>13</v>
      </c>
      <c r="AM63" s="70" t="s">
        <v>13</v>
      </c>
    </row>
    <row r="64" spans="5:39" x14ac:dyDescent="0.25">
      <c r="E64" s="335"/>
      <c r="F64" s="101" t="s">
        <v>163</v>
      </c>
      <c r="G64" s="70">
        <v>4</v>
      </c>
      <c r="H64" s="70">
        <v>4</v>
      </c>
      <c r="I64" s="70">
        <v>4</v>
      </c>
      <c r="J64" s="70">
        <v>1.41</v>
      </c>
      <c r="K64" s="70">
        <v>4</v>
      </c>
      <c r="L64" s="70">
        <v>4</v>
      </c>
      <c r="M64" s="70">
        <v>4</v>
      </c>
      <c r="N64" s="70">
        <v>4</v>
      </c>
      <c r="O64" s="70">
        <v>4</v>
      </c>
      <c r="P64" s="70">
        <v>4</v>
      </c>
      <c r="Q64" s="70">
        <v>4</v>
      </c>
      <c r="R64" s="70">
        <v>4.375</v>
      </c>
      <c r="S64" s="70">
        <v>4.375</v>
      </c>
      <c r="T64" s="70">
        <v>4.375</v>
      </c>
      <c r="U64" s="70">
        <v>4.375</v>
      </c>
      <c r="V64" s="70">
        <v>4.375</v>
      </c>
      <c r="W64" s="70">
        <v>4.375</v>
      </c>
      <c r="X64" s="70">
        <v>4.375</v>
      </c>
      <c r="Y64" s="70">
        <v>4.375</v>
      </c>
      <c r="Z64" s="70">
        <v>4.375</v>
      </c>
      <c r="AA64" s="70">
        <v>4.375</v>
      </c>
      <c r="AB64" s="70">
        <v>4.375</v>
      </c>
      <c r="AC64" s="70">
        <v>4.375</v>
      </c>
      <c r="AD64" s="70">
        <v>4.375</v>
      </c>
      <c r="AE64" s="70">
        <v>4.375</v>
      </c>
      <c r="AF64" s="70">
        <v>4.375</v>
      </c>
      <c r="AG64" s="70">
        <v>4.375</v>
      </c>
      <c r="AH64" s="70">
        <v>4.375</v>
      </c>
      <c r="AI64" s="70">
        <v>4.375</v>
      </c>
      <c r="AJ64" s="70">
        <v>3.75</v>
      </c>
      <c r="AK64" s="70">
        <v>3.75</v>
      </c>
      <c r="AL64" s="70">
        <v>3.75</v>
      </c>
      <c r="AM64" s="70">
        <v>3.75</v>
      </c>
    </row>
    <row r="65" spans="5:39" x14ac:dyDescent="0.25">
      <c r="E65" s="335"/>
      <c r="F65" s="101" t="s">
        <v>936</v>
      </c>
      <c r="G65" s="70">
        <v>20</v>
      </c>
      <c r="H65" s="70">
        <v>20</v>
      </c>
      <c r="I65" s="70">
        <v>20</v>
      </c>
      <c r="J65" s="70">
        <v>11</v>
      </c>
      <c r="K65" s="70">
        <v>6</v>
      </c>
      <c r="L65" s="70">
        <v>6</v>
      </c>
      <c r="M65" s="70">
        <v>6</v>
      </c>
      <c r="N65" s="70">
        <v>6</v>
      </c>
      <c r="O65" s="70">
        <v>8</v>
      </c>
      <c r="P65" s="70">
        <v>8</v>
      </c>
      <c r="Q65" s="70">
        <v>8</v>
      </c>
      <c r="R65" s="70">
        <v>8</v>
      </c>
      <c r="S65" s="70">
        <v>8</v>
      </c>
      <c r="T65" s="70">
        <v>8</v>
      </c>
      <c r="U65" s="70">
        <v>8</v>
      </c>
      <c r="V65" s="70">
        <v>8</v>
      </c>
      <c r="W65" s="70">
        <v>8</v>
      </c>
      <c r="X65" s="70">
        <v>8</v>
      </c>
      <c r="Y65" s="70">
        <v>8</v>
      </c>
      <c r="Z65" s="70">
        <v>8</v>
      </c>
      <c r="AA65" s="70">
        <v>8</v>
      </c>
      <c r="AB65" s="70">
        <v>8</v>
      </c>
      <c r="AC65" s="70">
        <v>8</v>
      </c>
      <c r="AD65" s="70">
        <v>8</v>
      </c>
      <c r="AE65" s="70">
        <v>8</v>
      </c>
      <c r="AF65" s="70">
        <v>8</v>
      </c>
      <c r="AG65" s="70">
        <v>8</v>
      </c>
      <c r="AH65" s="70">
        <v>8</v>
      </c>
      <c r="AI65" s="70">
        <v>8</v>
      </c>
      <c r="AJ65" s="70">
        <v>5</v>
      </c>
      <c r="AK65" s="70">
        <v>10</v>
      </c>
      <c r="AL65" s="70">
        <v>10</v>
      </c>
      <c r="AM65" s="70">
        <v>10</v>
      </c>
    </row>
    <row r="66" spans="5:39" x14ac:dyDescent="0.25">
      <c r="E66" s="335"/>
      <c r="F66" s="101" t="s">
        <v>937</v>
      </c>
      <c r="G66" s="70">
        <v>20</v>
      </c>
      <c r="H66" s="70">
        <v>20</v>
      </c>
      <c r="I66" s="70">
        <v>20</v>
      </c>
      <c r="J66" s="70">
        <v>11</v>
      </c>
      <c r="K66" s="70"/>
      <c r="L66" s="70" t="s">
        <v>1152</v>
      </c>
      <c r="M66" s="70" t="s">
        <v>1152</v>
      </c>
      <c r="N66" s="70" t="s">
        <v>1152</v>
      </c>
      <c r="O66" s="70">
        <v>5</v>
      </c>
      <c r="P66" s="70">
        <v>5</v>
      </c>
      <c r="Q66" s="70">
        <v>8</v>
      </c>
      <c r="R66" s="70">
        <v>8</v>
      </c>
      <c r="S66" s="70">
        <v>8</v>
      </c>
      <c r="T66" s="70">
        <v>8</v>
      </c>
      <c r="U66" s="70">
        <v>8</v>
      </c>
      <c r="V66" s="70">
        <v>8</v>
      </c>
      <c r="W66" s="70">
        <v>8</v>
      </c>
      <c r="X66" s="70">
        <v>8</v>
      </c>
      <c r="Y66" s="70">
        <v>8</v>
      </c>
      <c r="Z66" s="70">
        <v>8</v>
      </c>
      <c r="AA66" s="70">
        <v>8</v>
      </c>
      <c r="AB66" s="70">
        <v>8</v>
      </c>
      <c r="AC66" s="70">
        <v>8</v>
      </c>
      <c r="AD66" s="70">
        <v>8</v>
      </c>
      <c r="AE66" s="70">
        <v>8</v>
      </c>
      <c r="AF66" s="70">
        <v>8</v>
      </c>
      <c r="AG66" s="70">
        <v>8</v>
      </c>
      <c r="AH66" s="70">
        <v>8</v>
      </c>
      <c r="AI66" s="70">
        <v>8</v>
      </c>
      <c r="AJ66" s="70">
        <v>5</v>
      </c>
      <c r="AK66" s="70">
        <v>10</v>
      </c>
      <c r="AL66" s="70">
        <v>10</v>
      </c>
      <c r="AM66" s="70">
        <v>10</v>
      </c>
    </row>
    <row r="67" spans="5:39" ht="15.75" thickBot="1" x14ac:dyDescent="0.3">
      <c r="E67" s="336"/>
      <c r="F67" s="102" t="s">
        <v>938</v>
      </c>
      <c r="G67" s="70"/>
      <c r="H67" s="70" t="s">
        <v>1152</v>
      </c>
      <c r="I67" s="70" t="s">
        <v>1152</v>
      </c>
      <c r="J67" s="70"/>
      <c r="K67" s="70"/>
      <c r="L67" s="70" t="s">
        <v>1152</v>
      </c>
      <c r="M67" s="70" t="s">
        <v>1152</v>
      </c>
      <c r="N67" s="70" t="s">
        <v>1152</v>
      </c>
      <c r="O67" s="70" t="s">
        <v>1152</v>
      </c>
      <c r="P67" s="70" t="s">
        <v>1152</v>
      </c>
      <c r="Q67" s="70" t="s">
        <v>1152</v>
      </c>
      <c r="R67" s="70">
        <v>2</v>
      </c>
      <c r="S67" s="70">
        <v>2</v>
      </c>
      <c r="T67" s="70">
        <v>2</v>
      </c>
      <c r="U67" s="70">
        <v>2</v>
      </c>
      <c r="V67" s="70">
        <v>2</v>
      </c>
      <c r="W67" s="70" t="s">
        <v>1152</v>
      </c>
      <c r="X67" s="70" t="s">
        <v>1152</v>
      </c>
      <c r="Y67" s="70">
        <v>2</v>
      </c>
      <c r="Z67" s="70">
        <v>2</v>
      </c>
      <c r="AA67" s="70">
        <v>2</v>
      </c>
      <c r="AB67" s="70">
        <v>2</v>
      </c>
      <c r="AC67" s="70">
        <v>6</v>
      </c>
      <c r="AD67" s="70">
        <v>6</v>
      </c>
      <c r="AE67" s="70">
        <v>6</v>
      </c>
      <c r="AF67" s="70">
        <v>6</v>
      </c>
      <c r="AG67" s="70">
        <v>6</v>
      </c>
      <c r="AH67" s="70">
        <v>6</v>
      </c>
      <c r="AI67" s="70">
        <v>6</v>
      </c>
      <c r="AJ67" s="70" t="s">
        <v>1152</v>
      </c>
      <c r="AK67" s="70" t="s">
        <v>1152</v>
      </c>
      <c r="AL67" s="70">
        <v>2</v>
      </c>
      <c r="AM67" s="70">
        <v>10</v>
      </c>
    </row>
    <row r="68" spans="5:39" x14ac:dyDescent="0.25">
      <c r="E68" s="334" t="s">
        <v>167</v>
      </c>
      <c r="F68" s="100" t="s">
        <v>162</v>
      </c>
      <c r="G68" s="70" t="s">
        <v>13</v>
      </c>
      <c r="H68" s="70" t="s">
        <v>13</v>
      </c>
      <c r="I68" s="70" t="s">
        <v>13</v>
      </c>
      <c r="J68" s="70" t="s">
        <v>13</v>
      </c>
      <c r="K68" s="70" t="s">
        <v>13</v>
      </c>
      <c r="L68" s="70" t="s">
        <v>13</v>
      </c>
      <c r="M68" s="70" t="s">
        <v>13</v>
      </c>
      <c r="N68" s="70" t="s">
        <v>13</v>
      </c>
      <c r="O68" s="70" t="s">
        <v>2</v>
      </c>
      <c r="P68" s="70" t="s">
        <v>2</v>
      </c>
      <c r="Q68" s="70" t="s">
        <v>2</v>
      </c>
      <c r="R68" s="70" t="s">
        <v>21</v>
      </c>
      <c r="S68" s="70" t="s">
        <v>21</v>
      </c>
      <c r="T68" s="70" t="s">
        <v>21</v>
      </c>
      <c r="U68" s="70" t="s">
        <v>21</v>
      </c>
      <c r="V68" s="70" t="s">
        <v>21</v>
      </c>
      <c r="W68" s="70" t="s">
        <v>21</v>
      </c>
      <c r="X68" s="70" t="s">
        <v>21</v>
      </c>
      <c r="Y68" s="70" t="s">
        <v>21</v>
      </c>
      <c r="Z68" s="70" t="s">
        <v>21</v>
      </c>
      <c r="AA68" s="70" t="s">
        <v>21</v>
      </c>
      <c r="AB68" s="70" t="s">
        <v>21</v>
      </c>
      <c r="AC68" s="70" t="s">
        <v>21</v>
      </c>
      <c r="AD68" s="70" t="s">
        <v>21</v>
      </c>
      <c r="AE68" s="70" t="s">
        <v>21</v>
      </c>
      <c r="AF68" s="70" t="s">
        <v>21</v>
      </c>
      <c r="AG68" s="70" t="s">
        <v>21</v>
      </c>
      <c r="AH68" s="70" t="s">
        <v>21</v>
      </c>
      <c r="AI68" s="70" t="s">
        <v>21</v>
      </c>
      <c r="AJ68" s="70" t="s">
        <v>21</v>
      </c>
      <c r="AK68" s="70" t="s">
        <v>21</v>
      </c>
      <c r="AL68" s="70" t="s">
        <v>21</v>
      </c>
      <c r="AM68" s="70" t="s">
        <v>21</v>
      </c>
    </row>
    <row r="69" spans="5:39" x14ac:dyDescent="0.25">
      <c r="E69" s="335"/>
      <c r="F69" s="101" t="s">
        <v>163</v>
      </c>
      <c r="G69" s="70">
        <v>4</v>
      </c>
      <c r="H69" s="70">
        <v>4</v>
      </c>
      <c r="I69" s="70">
        <v>4</v>
      </c>
      <c r="J69" s="70"/>
      <c r="K69" s="70">
        <v>4</v>
      </c>
      <c r="L69" s="70">
        <v>4</v>
      </c>
      <c r="M69" s="70">
        <v>4</v>
      </c>
      <c r="N69" s="70">
        <v>4</v>
      </c>
      <c r="O69" s="70">
        <v>4</v>
      </c>
      <c r="P69" s="70">
        <v>4</v>
      </c>
      <c r="Q69" s="70">
        <v>4</v>
      </c>
      <c r="R69" s="70">
        <v>4</v>
      </c>
      <c r="S69" s="70">
        <v>4</v>
      </c>
      <c r="T69" s="70">
        <v>4</v>
      </c>
      <c r="U69" s="70">
        <v>4</v>
      </c>
      <c r="V69" s="70">
        <v>4</v>
      </c>
      <c r="W69" s="70">
        <v>4</v>
      </c>
      <c r="X69" s="70">
        <v>4</v>
      </c>
      <c r="Y69" s="70">
        <v>4</v>
      </c>
      <c r="Z69" s="70">
        <v>4</v>
      </c>
      <c r="AA69" s="70">
        <v>4</v>
      </c>
      <c r="AB69" s="70">
        <v>4</v>
      </c>
      <c r="AC69" s="70">
        <v>4</v>
      </c>
      <c r="AD69" s="70">
        <v>4</v>
      </c>
      <c r="AE69" s="70">
        <v>4</v>
      </c>
      <c r="AF69" s="70">
        <v>4</v>
      </c>
      <c r="AG69" s="70">
        <v>4</v>
      </c>
      <c r="AH69" s="70">
        <v>4</v>
      </c>
      <c r="AI69" s="70">
        <v>4</v>
      </c>
      <c r="AJ69" s="70">
        <v>4</v>
      </c>
      <c r="AK69" s="70">
        <v>4</v>
      </c>
      <c r="AL69" s="70">
        <v>4</v>
      </c>
      <c r="AM69" s="70">
        <v>4</v>
      </c>
    </row>
    <row r="70" spans="5:39" x14ac:dyDescent="0.25">
      <c r="E70" s="335"/>
      <c r="F70" s="101" t="s">
        <v>936</v>
      </c>
      <c r="G70" s="70">
        <v>10</v>
      </c>
      <c r="H70" s="70">
        <v>10</v>
      </c>
      <c r="I70" s="70">
        <v>10</v>
      </c>
      <c r="J70" s="70">
        <v>12</v>
      </c>
      <c r="K70" s="70">
        <v>14</v>
      </c>
      <c r="L70" s="70">
        <v>14</v>
      </c>
      <c r="M70" s="70">
        <v>14</v>
      </c>
      <c r="N70" s="70">
        <v>14</v>
      </c>
      <c r="O70" s="70">
        <v>5</v>
      </c>
      <c r="P70" s="70">
        <v>5</v>
      </c>
      <c r="Q70" s="70">
        <v>5</v>
      </c>
      <c r="R70" s="70">
        <v>4</v>
      </c>
      <c r="S70" s="70">
        <v>4</v>
      </c>
      <c r="T70" s="70">
        <v>4</v>
      </c>
      <c r="U70" s="70">
        <v>4</v>
      </c>
      <c r="V70" s="70">
        <v>4</v>
      </c>
      <c r="W70" s="70">
        <v>4</v>
      </c>
      <c r="X70" s="70">
        <v>4</v>
      </c>
      <c r="Y70" s="70">
        <v>4</v>
      </c>
      <c r="Z70" s="70">
        <v>4</v>
      </c>
      <c r="AA70" s="70">
        <v>4</v>
      </c>
      <c r="AB70" s="70">
        <v>4</v>
      </c>
      <c r="AC70" s="70">
        <v>4</v>
      </c>
      <c r="AD70" s="70">
        <v>4</v>
      </c>
      <c r="AE70" s="70">
        <v>4</v>
      </c>
      <c r="AF70" s="70">
        <v>4</v>
      </c>
      <c r="AG70" s="70">
        <v>4</v>
      </c>
      <c r="AH70" s="70">
        <v>4</v>
      </c>
      <c r="AI70" s="70">
        <v>4</v>
      </c>
      <c r="AJ70" s="70">
        <v>6</v>
      </c>
      <c r="AK70" s="70">
        <v>6</v>
      </c>
      <c r="AL70" s="70">
        <v>6</v>
      </c>
      <c r="AM70" s="70">
        <v>6</v>
      </c>
    </row>
    <row r="71" spans="5:39" x14ac:dyDescent="0.25">
      <c r="E71" s="335"/>
      <c r="F71" s="101" t="s">
        <v>937</v>
      </c>
      <c r="G71" s="70"/>
      <c r="H71" s="70" t="s">
        <v>1152</v>
      </c>
      <c r="I71" s="70" t="s">
        <v>1152</v>
      </c>
      <c r="J71" s="70"/>
      <c r="K71" s="70"/>
      <c r="L71" s="70" t="s">
        <v>1152</v>
      </c>
      <c r="M71" s="70" t="s">
        <v>1152</v>
      </c>
      <c r="N71" s="70" t="s">
        <v>1152</v>
      </c>
      <c r="O71" s="70" t="s">
        <v>1152</v>
      </c>
      <c r="P71" s="70" t="s">
        <v>1152</v>
      </c>
      <c r="Q71" s="70" t="s">
        <v>1152</v>
      </c>
      <c r="R71" s="70" t="s">
        <v>1152</v>
      </c>
      <c r="S71" s="70" t="s">
        <v>1152</v>
      </c>
      <c r="T71" s="70" t="s">
        <v>1152</v>
      </c>
      <c r="U71" s="70" t="s">
        <v>1152</v>
      </c>
      <c r="V71" s="70" t="s">
        <v>1152</v>
      </c>
      <c r="W71" s="70" t="s">
        <v>1152</v>
      </c>
      <c r="X71" s="70" t="s">
        <v>1152</v>
      </c>
      <c r="Y71" s="70" t="s">
        <v>1152</v>
      </c>
      <c r="Z71" s="70" t="s">
        <v>1152</v>
      </c>
      <c r="AA71" s="70" t="s">
        <v>1152</v>
      </c>
      <c r="AB71" s="70" t="s">
        <v>1152</v>
      </c>
      <c r="AC71" s="70" t="s">
        <v>1152</v>
      </c>
      <c r="AD71" s="70" t="s">
        <v>1152</v>
      </c>
      <c r="AE71" s="70" t="s">
        <v>1152</v>
      </c>
      <c r="AF71" s="70" t="s">
        <v>1152</v>
      </c>
      <c r="AG71" s="70" t="s">
        <v>1152</v>
      </c>
      <c r="AH71" s="70" t="s">
        <v>1152</v>
      </c>
      <c r="AI71" s="70" t="s">
        <v>1152</v>
      </c>
      <c r="AJ71" s="70" t="s">
        <v>1152</v>
      </c>
      <c r="AK71" s="70" t="s">
        <v>1152</v>
      </c>
      <c r="AL71" s="70" t="s">
        <v>1152</v>
      </c>
      <c r="AM71" s="70" t="s">
        <v>1152</v>
      </c>
    </row>
    <row r="72" spans="5:39" ht="15.75" thickBot="1" x14ac:dyDescent="0.3">
      <c r="E72" s="336"/>
      <c r="F72" s="102" t="s">
        <v>938</v>
      </c>
      <c r="G72" s="70"/>
      <c r="H72" s="70" t="s">
        <v>1152</v>
      </c>
      <c r="I72" s="70" t="s">
        <v>1152</v>
      </c>
      <c r="J72" s="70"/>
      <c r="K72" s="70"/>
      <c r="L72" s="70" t="s">
        <v>1152</v>
      </c>
      <c r="M72" s="70" t="s">
        <v>1152</v>
      </c>
      <c r="N72" s="70" t="s">
        <v>1152</v>
      </c>
      <c r="O72" s="70" t="s">
        <v>1152</v>
      </c>
      <c r="P72" s="70" t="s">
        <v>1152</v>
      </c>
      <c r="Q72" s="70" t="s">
        <v>1152</v>
      </c>
      <c r="R72" s="70" t="s">
        <v>1152</v>
      </c>
      <c r="S72" s="70" t="s">
        <v>1152</v>
      </c>
      <c r="T72" s="70" t="s">
        <v>1152</v>
      </c>
      <c r="U72" s="70" t="s">
        <v>1152</v>
      </c>
      <c r="V72" s="70" t="s">
        <v>1152</v>
      </c>
      <c r="W72" s="70" t="s">
        <v>1152</v>
      </c>
      <c r="X72" s="70" t="s">
        <v>1152</v>
      </c>
      <c r="Y72" s="70" t="s">
        <v>1152</v>
      </c>
      <c r="Z72" s="70" t="s">
        <v>1152</v>
      </c>
      <c r="AA72" s="70" t="s">
        <v>1152</v>
      </c>
      <c r="AB72" s="70" t="s">
        <v>1152</v>
      </c>
      <c r="AC72" s="70" t="s">
        <v>1152</v>
      </c>
      <c r="AD72" s="70" t="s">
        <v>1152</v>
      </c>
      <c r="AE72" s="70" t="s">
        <v>1152</v>
      </c>
      <c r="AF72" s="70" t="s">
        <v>1152</v>
      </c>
      <c r="AG72" s="70" t="s">
        <v>1152</v>
      </c>
      <c r="AH72" s="70" t="s">
        <v>1152</v>
      </c>
      <c r="AI72" s="70" t="s">
        <v>1152</v>
      </c>
      <c r="AJ72" s="70" t="s">
        <v>1152</v>
      </c>
      <c r="AK72" s="70" t="s">
        <v>1152</v>
      </c>
      <c r="AL72" s="70" t="s">
        <v>1152</v>
      </c>
      <c r="AM72" s="70" t="s">
        <v>1152</v>
      </c>
    </row>
    <row r="73" spans="5:39" x14ac:dyDescent="0.25">
      <c r="E73" s="334" t="s">
        <v>168</v>
      </c>
      <c r="F73" s="100" t="s">
        <v>944</v>
      </c>
      <c r="G73" s="70" t="b">
        <v>0</v>
      </c>
      <c r="H73" s="70" t="b">
        <v>0</v>
      </c>
      <c r="I73" s="70" t="b">
        <v>0</v>
      </c>
      <c r="J73" s="70" t="b">
        <v>0</v>
      </c>
      <c r="K73" s="70" t="b">
        <v>0</v>
      </c>
      <c r="L73" s="70" t="b">
        <v>0</v>
      </c>
      <c r="M73" s="70" t="b">
        <v>0</v>
      </c>
      <c r="N73" s="70" t="b">
        <v>0</v>
      </c>
      <c r="O73" s="70" t="b">
        <v>0</v>
      </c>
      <c r="P73" s="70" t="b">
        <v>0</v>
      </c>
      <c r="Q73" s="70" t="b">
        <v>0</v>
      </c>
      <c r="R73" s="70" t="b">
        <v>0</v>
      </c>
      <c r="S73" s="70" t="b">
        <v>0</v>
      </c>
      <c r="T73" s="70" t="b">
        <v>0</v>
      </c>
      <c r="U73" s="70" t="b">
        <v>0</v>
      </c>
      <c r="V73" s="70" t="b">
        <v>0</v>
      </c>
      <c r="W73" s="70" t="b">
        <v>0</v>
      </c>
      <c r="X73" s="70" t="b">
        <v>0</v>
      </c>
      <c r="Y73" s="70" t="b">
        <v>0</v>
      </c>
      <c r="Z73" s="70" t="b">
        <v>0</v>
      </c>
      <c r="AA73" s="70" t="b">
        <v>0</v>
      </c>
      <c r="AB73" s="70" t="b">
        <v>0</v>
      </c>
      <c r="AC73" s="70" t="b">
        <v>0</v>
      </c>
      <c r="AD73" s="70" t="b">
        <v>0</v>
      </c>
      <c r="AE73" s="70" t="b">
        <v>0</v>
      </c>
      <c r="AF73" s="70" t="b">
        <v>0</v>
      </c>
      <c r="AG73" s="70" t="b">
        <v>0</v>
      </c>
      <c r="AH73" s="70" t="b">
        <v>0</v>
      </c>
      <c r="AI73" s="70" t="b">
        <v>0</v>
      </c>
      <c r="AJ73" s="70" t="b">
        <v>0</v>
      </c>
      <c r="AK73" s="70" t="b">
        <v>0</v>
      </c>
      <c r="AL73" s="70" t="b">
        <v>0</v>
      </c>
      <c r="AM73" s="70" t="b">
        <v>0</v>
      </c>
    </row>
    <row r="74" spans="5:39" x14ac:dyDescent="0.25">
      <c r="E74" s="335"/>
      <c r="F74" s="101" t="s">
        <v>170</v>
      </c>
      <c r="G74" s="70" t="s">
        <v>928</v>
      </c>
      <c r="H74" s="70" t="s">
        <v>1151</v>
      </c>
      <c r="I74" s="70" t="s">
        <v>1151</v>
      </c>
      <c r="J74" s="70" t="s">
        <v>1151</v>
      </c>
      <c r="K74" s="70" t="s">
        <v>928</v>
      </c>
      <c r="L74" s="70" t="s">
        <v>928</v>
      </c>
      <c r="M74" s="70" t="s">
        <v>928</v>
      </c>
      <c r="N74" s="70" t="s">
        <v>928</v>
      </c>
      <c r="O74" s="70" t="s">
        <v>2080</v>
      </c>
      <c r="P74" s="70" t="s">
        <v>2080</v>
      </c>
      <c r="Q74" s="70" t="s">
        <v>2080</v>
      </c>
      <c r="R74" s="70" t="s">
        <v>1151</v>
      </c>
      <c r="S74" s="70" t="s">
        <v>1151</v>
      </c>
      <c r="T74" s="70" t="s">
        <v>1151</v>
      </c>
      <c r="U74" s="70" t="s">
        <v>1151</v>
      </c>
      <c r="V74" s="70" t="s">
        <v>1151</v>
      </c>
      <c r="W74" s="70" t="s">
        <v>1151</v>
      </c>
      <c r="X74" s="70" t="s">
        <v>1151</v>
      </c>
      <c r="Y74" s="70" t="s">
        <v>1151</v>
      </c>
      <c r="Z74" s="70" t="s">
        <v>1151</v>
      </c>
      <c r="AA74" s="70" t="s">
        <v>1151</v>
      </c>
      <c r="AB74" s="70" t="s">
        <v>1151</v>
      </c>
      <c r="AC74" s="70" t="s">
        <v>1151</v>
      </c>
      <c r="AD74" s="70" t="s">
        <v>1151</v>
      </c>
      <c r="AE74" s="70" t="s">
        <v>1151</v>
      </c>
      <c r="AF74" s="70" t="s">
        <v>1151</v>
      </c>
      <c r="AG74" s="70" t="s">
        <v>1151</v>
      </c>
      <c r="AH74" s="70" t="s">
        <v>1151</v>
      </c>
      <c r="AI74" s="70" t="s">
        <v>1151</v>
      </c>
      <c r="AJ74" s="70" t="s">
        <v>1151</v>
      </c>
      <c r="AK74" s="70" t="s">
        <v>1151</v>
      </c>
      <c r="AL74" s="70" t="s">
        <v>1151</v>
      </c>
      <c r="AM74" s="70" t="s">
        <v>1151</v>
      </c>
    </row>
    <row r="75" spans="5:39" ht="15.75" thickBot="1" x14ac:dyDescent="0.3">
      <c r="E75" s="336"/>
      <c r="F75" s="102" t="s">
        <v>171</v>
      </c>
      <c r="G75" s="70" t="s">
        <v>2</v>
      </c>
      <c r="H75" s="70" t="s">
        <v>2</v>
      </c>
      <c r="I75" s="70" t="s">
        <v>2</v>
      </c>
      <c r="J75" s="70" t="s">
        <v>2</v>
      </c>
      <c r="K75" s="70" t="s">
        <v>2</v>
      </c>
      <c r="L75" s="70" t="s">
        <v>2</v>
      </c>
      <c r="M75" s="70" t="s">
        <v>2</v>
      </c>
      <c r="N75" s="70" t="s">
        <v>2</v>
      </c>
      <c r="O75" s="70" t="s">
        <v>19</v>
      </c>
      <c r="P75" s="70" t="s">
        <v>19</v>
      </c>
      <c r="Q75" s="70" t="s">
        <v>19</v>
      </c>
      <c r="R75" s="70" t="s">
        <v>19</v>
      </c>
      <c r="S75" s="70" t="s">
        <v>19</v>
      </c>
      <c r="T75" s="70" t="s">
        <v>19</v>
      </c>
      <c r="U75" s="70" t="s">
        <v>19</v>
      </c>
      <c r="V75" s="70" t="s">
        <v>19</v>
      </c>
      <c r="W75" s="70" t="s">
        <v>19</v>
      </c>
      <c r="X75" s="70" t="s">
        <v>19</v>
      </c>
      <c r="Y75" s="70" t="s">
        <v>19</v>
      </c>
      <c r="Z75" s="70" t="s">
        <v>19</v>
      </c>
      <c r="AA75" s="70" t="s">
        <v>19</v>
      </c>
      <c r="AB75" s="70" t="s">
        <v>19</v>
      </c>
      <c r="AC75" s="70" t="s">
        <v>19</v>
      </c>
      <c r="AD75" s="70" t="s">
        <v>19</v>
      </c>
      <c r="AE75" s="70" t="s">
        <v>19</v>
      </c>
      <c r="AF75" s="70" t="s">
        <v>19</v>
      </c>
      <c r="AG75" s="70" t="s">
        <v>19</v>
      </c>
      <c r="AH75" s="70" t="s">
        <v>19</v>
      </c>
      <c r="AI75" s="70" t="s">
        <v>19</v>
      </c>
      <c r="AJ75" s="70" t="s">
        <v>19</v>
      </c>
      <c r="AK75" s="70" t="s">
        <v>19</v>
      </c>
      <c r="AL75" s="70" t="s">
        <v>19</v>
      </c>
      <c r="AM75" s="70" t="s">
        <v>19</v>
      </c>
    </row>
    <row r="76" spans="5:39" x14ac:dyDescent="0.25">
      <c r="E76" s="334" t="s">
        <v>169</v>
      </c>
      <c r="F76" s="100" t="s">
        <v>162</v>
      </c>
      <c r="G76" s="70" t="s">
        <v>2</v>
      </c>
      <c r="H76" s="70" t="s">
        <v>2</v>
      </c>
      <c r="I76" s="70" t="s">
        <v>2</v>
      </c>
      <c r="J76" s="70" t="s">
        <v>3</v>
      </c>
      <c r="K76" s="70" t="s">
        <v>19</v>
      </c>
      <c r="L76" s="70" t="s">
        <v>19</v>
      </c>
      <c r="M76" s="70" t="s">
        <v>19</v>
      </c>
      <c r="N76" s="70" t="s">
        <v>19</v>
      </c>
      <c r="O76" s="70" t="s">
        <v>19</v>
      </c>
      <c r="P76" s="70" t="s">
        <v>19</v>
      </c>
      <c r="Q76" s="70" t="s">
        <v>19</v>
      </c>
      <c r="R76" s="70" t="s">
        <v>19</v>
      </c>
      <c r="S76" s="70" t="s">
        <v>19</v>
      </c>
      <c r="T76" s="70" t="s">
        <v>19</v>
      </c>
      <c r="U76" s="70" t="s">
        <v>19</v>
      </c>
      <c r="V76" s="70" t="s">
        <v>19</v>
      </c>
      <c r="W76" s="70" t="s">
        <v>19</v>
      </c>
      <c r="X76" s="70" t="s">
        <v>19</v>
      </c>
      <c r="Y76" s="70" t="s">
        <v>19</v>
      </c>
      <c r="Z76" s="70" t="s">
        <v>19</v>
      </c>
      <c r="AA76" s="70" t="s">
        <v>19</v>
      </c>
      <c r="AB76" s="70" t="s">
        <v>19</v>
      </c>
      <c r="AC76" s="70" t="s">
        <v>19</v>
      </c>
      <c r="AD76" s="70" t="s">
        <v>19</v>
      </c>
      <c r="AE76" s="70" t="s">
        <v>19</v>
      </c>
      <c r="AF76" s="70" t="s">
        <v>19</v>
      </c>
      <c r="AG76" s="70" t="s">
        <v>19</v>
      </c>
      <c r="AH76" s="70" t="s">
        <v>19</v>
      </c>
      <c r="AI76" s="70" t="s">
        <v>19</v>
      </c>
      <c r="AJ76" s="70" t="s">
        <v>19</v>
      </c>
      <c r="AK76" s="70" t="s">
        <v>19</v>
      </c>
      <c r="AL76" s="70" t="s">
        <v>19</v>
      </c>
      <c r="AM76" s="70" t="s">
        <v>19</v>
      </c>
    </row>
    <row r="77" spans="5:39" ht="15.75" thickBot="1" x14ac:dyDescent="0.3">
      <c r="E77" s="336"/>
      <c r="F77" s="102" t="s">
        <v>172</v>
      </c>
      <c r="G77" s="70">
        <v>12</v>
      </c>
      <c r="H77" s="70">
        <v>12</v>
      </c>
      <c r="I77" s="70">
        <v>12</v>
      </c>
      <c r="J77" s="70">
        <v>9</v>
      </c>
      <c r="K77" s="70">
        <v>15</v>
      </c>
      <c r="L77" s="70">
        <v>15</v>
      </c>
      <c r="M77" s="70">
        <v>15</v>
      </c>
      <c r="N77" s="70">
        <v>15</v>
      </c>
      <c r="O77" s="70">
        <v>4</v>
      </c>
      <c r="P77" s="70">
        <v>4</v>
      </c>
      <c r="Q77" s="70">
        <v>4</v>
      </c>
      <c r="R77" s="70">
        <v>3</v>
      </c>
      <c r="S77" s="70">
        <v>3</v>
      </c>
      <c r="T77" s="70">
        <v>3</v>
      </c>
      <c r="U77" s="70">
        <v>3</v>
      </c>
      <c r="V77" s="70">
        <v>3</v>
      </c>
      <c r="W77" s="70">
        <v>3</v>
      </c>
      <c r="X77" s="70">
        <v>3</v>
      </c>
      <c r="Y77" s="70">
        <v>3</v>
      </c>
      <c r="Z77" s="70">
        <v>3</v>
      </c>
      <c r="AA77" s="70">
        <v>3</v>
      </c>
      <c r="AB77" s="70">
        <v>3</v>
      </c>
      <c r="AC77" s="70">
        <v>3</v>
      </c>
      <c r="AD77" s="70">
        <v>3</v>
      </c>
      <c r="AE77" s="70">
        <v>3</v>
      </c>
      <c r="AF77" s="70">
        <v>3</v>
      </c>
      <c r="AG77" s="70">
        <v>3</v>
      </c>
      <c r="AH77" s="70">
        <v>3</v>
      </c>
      <c r="AI77" s="70">
        <v>3</v>
      </c>
      <c r="AJ77" s="70">
        <v>3</v>
      </c>
      <c r="AK77" s="70">
        <v>3</v>
      </c>
      <c r="AL77" s="70">
        <v>3</v>
      </c>
      <c r="AM77" s="70">
        <v>3</v>
      </c>
    </row>
    <row r="78" spans="5:39" ht="15" customHeight="1" x14ac:dyDescent="0.25">
      <c r="E78" s="334" t="s">
        <v>188</v>
      </c>
      <c r="F78" s="101" t="s">
        <v>945</v>
      </c>
      <c r="G78" s="70" t="b">
        <v>0</v>
      </c>
      <c r="H78" s="70" t="b">
        <v>0</v>
      </c>
      <c r="I78" s="70" t="b">
        <v>0</v>
      </c>
      <c r="J78" s="70" t="b">
        <v>1</v>
      </c>
      <c r="K78" s="70" t="b">
        <v>0</v>
      </c>
      <c r="L78" s="70" t="b">
        <v>0</v>
      </c>
      <c r="M78" s="70" t="b">
        <v>0</v>
      </c>
      <c r="N78" s="70" t="b">
        <v>0</v>
      </c>
      <c r="O78" s="70" t="b">
        <v>0</v>
      </c>
      <c r="P78" s="70" t="b">
        <v>0</v>
      </c>
      <c r="Q78" s="70" t="b">
        <v>0</v>
      </c>
      <c r="R78" s="70" t="b">
        <v>0</v>
      </c>
      <c r="S78" s="70" t="b">
        <v>0</v>
      </c>
      <c r="T78" s="70" t="b">
        <v>0</v>
      </c>
      <c r="U78" s="70" t="b">
        <v>0</v>
      </c>
      <c r="V78" s="70" t="b">
        <v>0</v>
      </c>
      <c r="W78" s="70" t="b">
        <v>0</v>
      </c>
      <c r="X78" s="70" t="b">
        <v>0</v>
      </c>
      <c r="Y78" s="70" t="b">
        <v>0</v>
      </c>
      <c r="Z78" s="70" t="b">
        <v>0</v>
      </c>
      <c r="AA78" s="70" t="b">
        <v>0</v>
      </c>
      <c r="AB78" s="70" t="b">
        <v>0</v>
      </c>
      <c r="AC78" s="70" t="b">
        <v>0</v>
      </c>
      <c r="AD78" s="70" t="b">
        <v>0</v>
      </c>
      <c r="AE78" s="70" t="b">
        <v>0</v>
      </c>
      <c r="AF78" s="70" t="b">
        <v>0</v>
      </c>
      <c r="AG78" s="70" t="b">
        <v>0</v>
      </c>
      <c r="AH78" s="70" t="b">
        <v>0</v>
      </c>
      <c r="AI78" s="70" t="b">
        <v>0</v>
      </c>
      <c r="AJ78" s="70" t="b">
        <v>0</v>
      </c>
      <c r="AK78" s="70" t="b">
        <v>0</v>
      </c>
      <c r="AL78" s="70" t="b">
        <v>0</v>
      </c>
      <c r="AM78" s="70" t="b">
        <v>0</v>
      </c>
    </row>
    <row r="79" spans="5:39" ht="15" customHeight="1" x14ac:dyDescent="0.25">
      <c r="E79" s="335"/>
      <c r="F79" s="101" t="s">
        <v>173</v>
      </c>
      <c r="G79" s="70" t="s">
        <v>91</v>
      </c>
      <c r="H79" s="70" t="s">
        <v>91</v>
      </c>
      <c r="I79" s="70" t="s">
        <v>91</v>
      </c>
      <c r="J79" s="70" t="s">
        <v>1955</v>
      </c>
      <c r="K79" s="70" t="s">
        <v>91</v>
      </c>
      <c r="L79" s="70" t="s">
        <v>91</v>
      </c>
      <c r="M79" s="70" t="s">
        <v>91</v>
      </c>
      <c r="N79" s="70" t="s">
        <v>91</v>
      </c>
      <c r="O79" s="70" t="s">
        <v>91</v>
      </c>
      <c r="P79" s="70" t="s">
        <v>91</v>
      </c>
      <c r="Q79" s="70" t="s">
        <v>91</v>
      </c>
      <c r="R79" s="70" t="s">
        <v>91</v>
      </c>
      <c r="S79" s="70" t="s">
        <v>91</v>
      </c>
      <c r="T79" s="70" t="s">
        <v>91</v>
      </c>
      <c r="U79" s="70" t="s">
        <v>91</v>
      </c>
      <c r="V79" s="70" t="s">
        <v>91</v>
      </c>
      <c r="W79" s="70" t="s">
        <v>91</v>
      </c>
      <c r="X79" s="70" t="s">
        <v>91</v>
      </c>
      <c r="Y79" s="70" t="s">
        <v>91</v>
      </c>
      <c r="Z79" s="70" t="s">
        <v>91</v>
      </c>
      <c r="AA79" s="70" t="s">
        <v>91</v>
      </c>
      <c r="AB79" s="70" t="s">
        <v>91</v>
      </c>
      <c r="AC79" s="70" t="s">
        <v>91</v>
      </c>
      <c r="AD79" s="70" t="s">
        <v>91</v>
      </c>
      <c r="AE79" s="70" t="s">
        <v>91</v>
      </c>
      <c r="AF79" s="70" t="s">
        <v>91</v>
      </c>
      <c r="AG79" s="70" t="s">
        <v>91</v>
      </c>
      <c r="AH79" s="70" t="s">
        <v>91</v>
      </c>
      <c r="AI79" s="70" t="s">
        <v>91</v>
      </c>
      <c r="AJ79" s="70" t="s">
        <v>91</v>
      </c>
      <c r="AK79" s="70" t="s">
        <v>91</v>
      </c>
      <c r="AL79" s="70" t="s">
        <v>91</v>
      </c>
      <c r="AM79" s="70" t="s">
        <v>91</v>
      </c>
    </row>
    <row r="80" spans="5:39" x14ac:dyDescent="0.25">
      <c r="E80" s="335"/>
      <c r="F80" s="101" t="s">
        <v>175</v>
      </c>
      <c r="G80" s="70">
        <v>1</v>
      </c>
      <c r="H80" s="70">
        <v>1</v>
      </c>
      <c r="I80" s="70">
        <v>1</v>
      </c>
      <c r="J80" s="70">
        <v>1</v>
      </c>
      <c r="K80" s="70">
        <v>2</v>
      </c>
      <c r="L80" s="70">
        <v>2</v>
      </c>
      <c r="M80" s="70">
        <v>2</v>
      </c>
      <c r="N80" s="70">
        <v>3</v>
      </c>
      <c r="O80" s="70">
        <v>1</v>
      </c>
      <c r="P80" s="70">
        <v>1</v>
      </c>
      <c r="Q80" s="70">
        <v>1</v>
      </c>
      <c r="R80" s="70">
        <v>1</v>
      </c>
      <c r="S80" s="70">
        <v>1</v>
      </c>
      <c r="T80" s="70">
        <v>1</v>
      </c>
      <c r="U80" s="70">
        <v>1</v>
      </c>
      <c r="V80" s="70">
        <v>1</v>
      </c>
      <c r="W80" s="70">
        <v>1</v>
      </c>
      <c r="X80" s="70">
        <v>1</v>
      </c>
      <c r="Y80" s="70">
        <v>1</v>
      </c>
      <c r="Z80" s="70">
        <v>1</v>
      </c>
      <c r="AA80" s="70">
        <v>1</v>
      </c>
      <c r="AB80" s="70">
        <v>1</v>
      </c>
      <c r="AC80" s="70">
        <v>1</v>
      </c>
      <c r="AD80" s="70">
        <v>1</v>
      </c>
      <c r="AE80" s="70">
        <v>1</v>
      </c>
      <c r="AF80" s="70">
        <v>1</v>
      </c>
      <c r="AG80" s="70">
        <v>1</v>
      </c>
      <c r="AH80" s="70">
        <v>1</v>
      </c>
      <c r="AI80" s="70">
        <v>1</v>
      </c>
      <c r="AJ80" s="70">
        <v>1</v>
      </c>
      <c r="AK80" s="70">
        <v>1</v>
      </c>
      <c r="AL80" s="70">
        <v>1</v>
      </c>
      <c r="AM80" s="70">
        <v>1</v>
      </c>
    </row>
    <row r="81" spans="5:39" x14ac:dyDescent="0.25">
      <c r="E81" s="335"/>
      <c r="F81" s="101" t="s">
        <v>223</v>
      </c>
      <c r="G81" s="70">
        <v>96</v>
      </c>
      <c r="H81" s="70">
        <v>96</v>
      </c>
      <c r="I81" s="70">
        <v>96</v>
      </c>
      <c r="J81" s="70">
        <v>92</v>
      </c>
      <c r="K81" s="70">
        <v>60</v>
      </c>
      <c r="L81" s="70">
        <v>60</v>
      </c>
      <c r="M81" s="70">
        <v>60</v>
      </c>
      <c r="N81" s="70">
        <v>60</v>
      </c>
      <c r="O81" s="70">
        <v>72</v>
      </c>
      <c r="P81" s="70">
        <v>72</v>
      </c>
      <c r="Q81" s="70">
        <v>72</v>
      </c>
      <c r="R81" s="70">
        <v>72</v>
      </c>
      <c r="S81" s="70">
        <v>72</v>
      </c>
      <c r="T81" s="70">
        <v>72</v>
      </c>
      <c r="U81" s="70">
        <v>72</v>
      </c>
      <c r="V81" s="70">
        <v>72</v>
      </c>
      <c r="W81" s="70">
        <v>72</v>
      </c>
      <c r="X81" s="70">
        <v>72</v>
      </c>
      <c r="Y81" s="70">
        <v>72</v>
      </c>
      <c r="Z81" s="70">
        <v>72</v>
      </c>
      <c r="AA81" s="70">
        <v>72</v>
      </c>
      <c r="AB81" s="70">
        <v>72</v>
      </c>
      <c r="AC81" s="70">
        <v>72</v>
      </c>
      <c r="AD81" s="70">
        <v>72</v>
      </c>
      <c r="AE81" s="70">
        <v>72</v>
      </c>
      <c r="AF81" s="70">
        <v>72</v>
      </c>
      <c r="AG81" s="70">
        <v>72</v>
      </c>
      <c r="AH81" s="70">
        <v>72</v>
      </c>
      <c r="AI81" s="70">
        <v>72</v>
      </c>
      <c r="AJ81" s="70">
        <v>72</v>
      </c>
      <c r="AK81" s="70">
        <v>72</v>
      </c>
      <c r="AL81" s="70">
        <v>72</v>
      </c>
      <c r="AM81" s="70">
        <v>96</v>
      </c>
    </row>
    <row r="82" spans="5:39" x14ac:dyDescent="0.25">
      <c r="E82" s="335"/>
      <c r="F82" s="101" t="s">
        <v>224</v>
      </c>
      <c r="G82" s="70">
        <v>60</v>
      </c>
      <c r="H82" s="70">
        <v>60</v>
      </c>
      <c r="I82" s="70">
        <v>60</v>
      </c>
      <c r="J82" s="70">
        <v>56</v>
      </c>
      <c r="K82" s="70">
        <v>60</v>
      </c>
      <c r="L82" s="70">
        <v>60</v>
      </c>
      <c r="M82" s="70">
        <v>60</v>
      </c>
      <c r="N82" s="70">
        <v>60</v>
      </c>
      <c r="O82" s="70">
        <v>54</v>
      </c>
      <c r="P82" s="70">
        <v>54</v>
      </c>
      <c r="Q82" s="70">
        <v>54</v>
      </c>
      <c r="R82" s="70">
        <v>54</v>
      </c>
      <c r="S82" s="70">
        <v>54</v>
      </c>
      <c r="T82" s="70">
        <v>54</v>
      </c>
      <c r="U82" s="70">
        <v>54</v>
      </c>
      <c r="V82" s="70">
        <v>54</v>
      </c>
      <c r="W82" s="70">
        <v>54</v>
      </c>
      <c r="X82" s="70">
        <v>54</v>
      </c>
      <c r="Y82" s="70">
        <v>54</v>
      </c>
      <c r="Z82" s="70">
        <v>54</v>
      </c>
      <c r="AA82" s="70">
        <v>54</v>
      </c>
      <c r="AB82" s="70">
        <v>54</v>
      </c>
      <c r="AC82" s="70">
        <v>54</v>
      </c>
      <c r="AD82" s="70">
        <v>54</v>
      </c>
      <c r="AE82" s="70">
        <v>54</v>
      </c>
      <c r="AF82" s="70">
        <v>54</v>
      </c>
      <c r="AG82" s="70">
        <v>54</v>
      </c>
      <c r="AH82" s="70">
        <v>54</v>
      </c>
      <c r="AI82" s="70">
        <v>54</v>
      </c>
      <c r="AJ82" s="70">
        <v>54</v>
      </c>
      <c r="AK82" s="70">
        <v>54</v>
      </c>
      <c r="AL82" s="70">
        <v>54</v>
      </c>
      <c r="AM82" s="70">
        <v>54</v>
      </c>
    </row>
    <row r="83" spans="5:39" x14ac:dyDescent="0.25">
      <c r="E83" s="335"/>
      <c r="F83" s="101" t="s">
        <v>225</v>
      </c>
      <c r="G83" s="70">
        <v>0</v>
      </c>
      <c r="H83" s="70">
        <v>0</v>
      </c>
      <c r="I83" s="70">
        <v>0</v>
      </c>
      <c r="J83" s="70">
        <v>92</v>
      </c>
      <c r="K83" s="70">
        <v>0</v>
      </c>
      <c r="L83" s="70">
        <v>0</v>
      </c>
      <c r="M83" s="70">
        <v>0</v>
      </c>
      <c r="N83" s="70">
        <v>0</v>
      </c>
      <c r="O83" s="70">
        <v>0</v>
      </c>
      <c r="P83" s="70">
        <v>0</v>
      </c>
      <c r="Q83" s="70">
        <v>0</v>
      </c>
      <c r="R83" s="70">
        <v>0</v>
      </c>
      <c r="S83" s="70">
        <v>0</v>
      </c>
      <c r="T83" s="70">
        <v>0</v>
      </c>
      <c r="U83" s="70">
        <v>0</v>
      </c>
      <c r="V83" s="70">
        <v>0</v>
      </c>
      <c r="W83" s="70">
        <v>0</v>
      </c>
      <c r="X83" s="70">
        <v>0</v>
      </c>
      <c r="Y83" s="70">
        <v>0</v>
      </c>
      <c r="Z83" s="70">
        <v>0</v>
      </c>
      <c r="AA83" s="70">
        <v>0</v>
      </c>
      <c r="AB83" s="70">
        <v>0</v>
      </c>
      <c r="AC83" s="70">
        <v>0</v>
      </c>
      <c r="AD83" s="70">
        <v>0</v>
      </c>
      <c r="AE83" s="70">
        <v>0</v>
      </c>
      <c r="AF83" s="70">
        <v>0</v>
      </c>
      <c r="AG83" s="70">
        <v>0</v>
      </c>
      <c r="AH83" s="70">
        <v>0</v>
      </c>
      <c r="AI83" s="70">
        <v>0</v>
      </c>
      <c r="AJ83" s="70">
        <v>0</v>
      </c>
      <c r="AK83" s="70">
        <v>0</v>
      </c>
      <c r="AL83" s="70">
        <v>0</v>
      </c>
      <c r="AM83" s="70">
        <v>0</v>
      </c>
    </row>
    <row r="84" spans="5:39" x14ac:dyDescent="0.25">
      <c r="E84" s="335"/>
      <c r="F84" s="101" t="s">
        <v>226</v>
      </c>
      <c r="G84" s="70">
        <v>0</v>
      </c>
      <c r="H84" s="70">
        <v>0</v>
      </c>
      <c r="I84" s="70">
        <v>0</v>
      </c>
      <c r="J84" s="70">
        <v>4.22</v>
      </c>
      <c r="K84" s="70">
        <v>0</v>
      </c>
      <c r="L84" s="70">
        <v>0</v>
      </c>
      <c r="M84" s="70">
        <v>0</v>
      </c>
      <c r="N84" s="70">
        <v>0</v>
      </c>
      <c r="O84" s="70">
        <v>0</v>
      </c>
      <c r="P84" s="70">
        <v>0</v>
      </c>
      <c r="Q84" s="70">
        <v>0</v>
      </c>
      <c r="R84" s="70">
        <v>0</v>
      </c>
      <c r="S84" s="70">
        <v>0</v>
      </c>
      <c r="T84" s="70">
        <v>0</v>
      </c>
      <c r="U84" s="70">
        <v>0</v>
      </c>
      <c r="V84" s="70">
        <v>0</v>
      </c>
      <c r="W84" s="70">
        <v>0</v>
      </c>
      <c r="X84" s="70">
        <v>0</v>
      </c>
      <c r="Y84" s="70">
        <v>0</v>
      </c>
      <c r="Z84" s="70">
        <v>0</v>
      </c>
      <c r="AA84" s="70">
        <v>0</v>
      </c>
      <c r="AB84" s="70">
        <v>0</v>
      </c>
      <c r="AC84" s="70">
        <v>0</v>
      </c>
      <c r="AD84" s="70">
        <v>0</v>
      </c>
      <c r="AE84" s="70">
        <v>0</v>
      </c>
      <c r="AF84" s="70">
        <v>0</v>
      </c>
      <c r="AG84" s="70">
        <v>0</v>
      </c>
      <c r="AH84" s="70">
        <v>0</v>
      </c>
      <c r="AI84" s="70">
        <v>0</v>
      </c>
      <c r="AJ84" s="70">
        <v>0</v>
      </c>
      <c r="AK84" s="70">
        <v>0</v>
      </c>
      <c r="AL84" s="70">
        <v>0</v>
      </c>
      <c r="AM84" s="70">
        <v>0</v>
      </c>
    </row>
    <row r="85" spans="5:39" x14ac:dyDescent="0.25">
      <c r="E85" s="335"/>
      <c r="F85" s="101" t="s">
        <v>174</v>
      </c>
      <c r="G85" s="70">
        <v>13</v>
      </c>
      <c r="H85" s="70">
        <v>13</v>
      </c>
      <c r="I85" s="70">
        <v>20</v>
      </c>
      <c r="J85" s="70">
        <v>20</v>
      </c>
      <c r="K85" s="70">
        <v>4</v>
      </c>
      <c r="L85" s="70">
        <v>4</v>
      </c>
      <c r="M85" s="70">
        <v>4</v>
      </c>
      <c r="N85" s="70">
        <v>4</v>
      </c>
      <c r="O85" s="70">
        <v>19.333333333333332</v>
      </c>
      <c r="P85" s="70">
        <v>19.333333333333332</v>
      </c>
      <c r="Q85" s="70">
        <v>19.333333333333332</v>
      </c>
      <c r="R85" s="70">
        <v>19.333333333333332</v>
      </c>
      <c r="S85" s="70">
        <v>19.333333333333332</v>
      </c>
      <c r="T85" s="70">
        <v>19.333333333333332</v>
      </c>
      <c r="U85" s="70">
        <v>19.333333333333332</v>
      </c>
      <c r="V85" s="70">
        <v>19.333333333333332</v>
      </c>
      <c r="W85" s="70">
        <v>19.333333333333332</v>
      </c>
      <c r="X85" s="70">
        <v>19.333333333333332</v>
      </c>
      <c r="Y85" s="70">
        <v>19.333333333333332</v>
      </c>
      <c r="Z85" s="70">
        <v>19.333333333333332</v>
      </c>
      <c r="AA85" s="70">
        <v>19.333333333333332</v>
      </c>
      <c r="AB85" s="70">
        <v>19.333333333333332</v>
      </c>
      <c r="AC85" s="70">
        <v>19.333333333333332</v>
      </c>
      <c r="AD85" s="70">
        <v>19.333333333333332</v>
      </c>
      <c r="AE85" s="70">
        <v>19.333333333333332</v>
      </c>
      <c r="AF85" s="70">
        <v>19.333333333333332</v>
      </c>
      <c r="AG85" s="70">
        <v>19.333333333333332</v>
      </c>
      <c r="AH85" s="70">
        <v>19.333333333333332</v>
      </c>
      <c r="AI85" s="70">
        <v>19.333333333333332</v>
      </c>
      <c r="AJ85" s="70">
        <v>19.333333333333332</v>
      </c>
      <c r="AK85" s="70">
        <v>20.125</v>
      </c>
      <c r="AL85" s="70">
        <v>22.666666666666668</v>
      </c>
      <c r="AM85" s="70">
        <v>26.291666666666668</v>
      </c>
    </row>
    <row r="86" spans="5:39" x14ac:dyDescent="0.25">
      <c r="E86" s="335"/>
      <c r="F86" s="101" t="s">
        <v>227</v>
      </c>
      <c r="G86" s="70"/>
      <c r="H86" s="70" t="s">
        <v>1152</v>
      </c>
      <c r="I86" s="70" t="s">
        <v>1152</v>
      </c>
      <c r="J86" s="70"/>
      <c r="K86" s="70">
        <v>32</v>
      </c>
      <c r="L86" s="70">
        <v>32</v>
      </c>
      <c r="M86" s="70">
        <v>32</v>
      </c>
      <c r="N86" s="70">
        <v>16</v>
      </c>
      <c r="O86" s="70" t="s">
        <v>1152</v>
      </c>
      <c r="P86" s="70" t="s">
        <v>1152</v>
      </c>
      <c r="Q86" s="70" t="s">
        <v>1152</v>
      </c>
      <c r="R86" s="70" t="s">
        <v>1152</v>
      </c>
      <c r="S86" s="70" t="s">
        <v>1152</v>
      </c>
      <c r="T86" s="70" t="s">
        <v>1152</v>
      </c>
      <c r="U86" s="70" t="s">
        <v>1152</v>
      </c>
      <c r="V86" s="70" t="s">
        <v>1152</v>
      </c>
      <c r="W86" s="70" t="s">
        <v>1152</v>
      </c>
      <c r="X86" s="70" t="s">
        <v>1152</v>
      </c>
      <c r="Y86" s="70" t="s">
        <v>1152</v>
      </c>
      <c r="Z86" s="70" t="s">
        <v>1152</v>
      </c>
      <c r="AA86" s="70" t="s">
        <v>1152</v>
      </c>
      <c r="AB86" s="70" t="s">
        <v>1152</v>
      </c>
      <c r="AC86" s="70" t="s">
        <v>1152</v>
      </c>
      <c r="AD86" s="70" t="s">
        <v>1152</v>
      </c>
      <c r="AE86" s="70" t="s">
        <v>1152</v>
      </c>
      <c r="AF86" s="70" t="s">
        <v>1152</v>
      </c>
      <c r="AG86" s="70" t="s">
        <v>1152</v>
      </c>
      <c r="AH86" s="70" t="s">
        <v>1152</v>
      </c>
      <c r="AI86" s="70" t="s">
        <v>1152</v>
      </c>
      <c r="AJ86" s="70" t="s">
        <v>1152</v>
      </c>
      <c r="AK86" s="70" t="s">
        <v>1152</v>
      </c>
      <c r="AL86" s="70" t="s">
        <v>1152</v>
      </c>
      <c r="AM86" s="70" t="s">
        <v>1152</v>
      </c>
    </row>
    <row r="87" spans="5:39" x14ac:dyDescent="0.25">
      <c r="E87" s="335"/>
      <c r="F87" s="101" t="s">
        <v>228</v>
      </c>
      <c r="G87" s="70"/>
      <c r="H87" s="70" t="s">
        <v>1152</v>
      </c>
      <c r="I87" s="70" t="s">
        <v>1152</v>
      </c>
      <c r="J87" s="70"/>
      <c r="K87" s="70"/>
      <c r="L87" s="70" t="s">
        <v>1152</v>
      </c>
      <c r="M87" s="70" t="s">
        <v>1152</v>
      </c>
      <c r="N87" s="70">
        <v>16</v>
      </c>
      <c r="O87" s="70" t="s">
        <v>1152</v>
      </c>
      <c r="P87" s="70" t="s">
        <v>1152</v>
      </c>
      <c r="Q87" s="70" t="s">
        <v>1152</v>
      </c>
      <c r="R87" s="70" t="s">
        <v>1152</v>
      </c>
      <c r="S87" s="70" t="s">
        <v>1152</v>
      </c>
      <c r="T87" s="70" t="s">
        <v>1152</v>
      </c>
      <c r="U87" s="70" t="s">
        <v>1152</v>
      </c>
      <c r="V87" s="70" t="s">
        <v>1152</v>
      </c>
      <c r="W87" s="70" t="s">
        <v>1152</v>
      </c>
      <c r="X87" s="70" t="s">
        <v>1152</v>
      </c>
      <c r="Y87" s="70" t="s">
        <v>1152</v>
      </c>
      <c r="Z87" s="70" t="s">
        <v>1152</v>
      </c>
      <c r="AA87" s="70" t="s">
        <v>1152</v>
      </c>
      <c r="AB87" s="70" t="s">
        <v>1152</v>
      </c>
      <c r="AC87" s="70" t="s">
        <v>1152</v>
      </c>
      <c r="AD87" s="70" t="s">
        <v>1152</v>
      </c>
      <c r="AE87" s="70" t="s">
        <v>1152</v>
      </c>
      <c r="AF87" s="70" t="s">
        <v>1152</v>
      </c>
      <c r="AG87" s="70" t="s">
        <v>1152</v>
      </c>
      <c r="AH87" s="70" t="s">
        <v>1152</v>
      </c>
      <c r="AI87" s="70" t="s">
        <v>1152</v>
      </c>
      <c r="AJ87" s="70" t="s">
        <v>1152</v>
      </c>
      <c r="AK87" s="70" t="s">
        <v>1152</v>
      </c>
      <c r="AL87" s="70" t="s">
        <v>1152</v>
      </c>
      <c r="AM87" s="70" t="s">
        <v>1152</v>
      </c>
    </row>
    <row r="88" spans="5:39" x14ac:dyDescent="0.25">
      <c r="E88" s="335"/>
      <c r="F88" s="101" t="s">
        <v>229</v>
      </c>
      <c r="G88" s="70"/>
      <c r="H88" s="70" t="s">
        <v>1152</v>
      </c>
      <c r="I88" s="70" t="s">
        <v>1152</v>
      </c>
      <c r="J88" s="70"/>
      <c r="K88" s="70"/>
      <c r="L88" s="70" t="s">
        <v>1152</v>
      </c>
      <c r="M88" s="70" t="s">
        <v>1152</v>
      </c>
      <c r="N88" s="70" t="s">
        <v>1152</v>
      </c>
      <c r="O88" s="70" t="s">
        <v>1152</v>
      </c>
      <c r="P88" s="70" t="s">
        <v>1152</v>
      </c>
      <c r="Q88" s="70" t="s">
        <v>1152</v>
      </c>
      <c r="R88" s="70" t="s">
        <v>1152</v>
      </c>
      <c r="S88" s="70" t="s">
        <v>1152</v>
      </c>
      <c r="T88" s="70" t="s">
        <v>1152</v>
      </c>
      <c r="U88" s="70" t="s">
        <v>1152</v>
      </c>
      <c r="V88" s="70" t="s">
        <v>1152</v>
      </c>
      <c r="W88" s="70" t="s">
        <v>1152</v>
      </c>
      <c r="X88" s="70" t="s">
        <v>1152</v>
      </c>
      <c r="Y88" s="70" t="s">
        <v>1152</v>
      </c>
      <c r="Z88" s="70" t="s">
        <v>1152</v>
      </c>
      <c r="AA88" s="70" t="s">
        <v>1152</v>
      </c>
      <c r="AB88" s="70" t="s">
        <v>1152</v>
      </c>
      <c r="AC88" s="70" t="s">
        <v>1152</v>
      </c>
      <c r="AD88" s="70" t="s">
        <v>1152</v>
      </c>
      <c r="AE88" s="70" t="s">
        <v>1152</v>
      </c>
      <c r="AF88" s="70" t="s">
        <v>1152</v>
      </c>
      <c r="AG88" s="70" t="s">
        <v>1152</v>
      </c>
      <c r="AH88" s="70" t="s">
        <v>1152</v>
      </c>
      <c r="AI88" s="70" t="s">
        <v>1152</v>
      </c>
      <c r="AJ88" s="70" t="s">
        <v>1152</v>
      </c>
      <c r="AK88" s="70" t="s">
        <v>1152</v>
      </c>
      <c r="AL88" s="70" t="s">
        <v>1152</v>
      </c>
      <c r="AM88" s="70" t="s">
        <v>1152</v>
      </c>
    </row>
    <row r="89" spans="5:39" x14ac:dyDescent="0.25">
      <c r="E89" s="335"/>
      <c r="F89" s="101" t="s">
        <v>230</v>
      </c>
      <c r="G89" s="70"/>
      <c r="H89" s="70" t="s">
        <v>1152</v>
      </c>
      <c r="I89" s="70" t="s">
        <v>1152</v>
      </c>
      <c r="J89" s="70"/>
      <c r="K89" s="70"/>
      <c r="L89" s="70" t="s">
        <v>1152</v>
      </c>
      <c r="M89" s="70" t="s">
        <v>1152</v>
      </c>
      <c r="N89" s="70" t="s">
        <v>1152</v>
      </c>
      <c r="O89" s="70" t="s">
        <v>1152</v>
      </c>
      <c r="P89" s="70" t="s">
        <v>1152</v>
      </c>
      <c r="Q89" s="70" t="s">
        <v>1152</v>
      </c>
      <c r="R89" s="70" t="s">
        <v>1152</v>
      </c>
      <c r="S89" s="70" t="s">
        <v>1152</v>
      </c>
      <c r="T89" s="70" t="s">
        <v>1152</v>
      </c>
      <c r="U89" s="70" t="s">
        <v>1152</v>
      </c>
      <c r="V89" s="70" t="s">
        <v>1152</v>
      </c>
      <c r="W89" s="70" t="s">
        <v>1152</v>
      </c>
      <c r="X89" s="70" t="s">
        <v>1152</v>
      </c>
      <c r="Y89" s="70" t="s">
        <v>1152</v>
      </c>
      <c r="Z89" s="70" t="s">
        <v>1152</v>
      </c>
      <c r="AA89" s="70" t="s">
        <v>1152</v>
      </c>
      <c r="AB89" s="70" t="s">
        <v>1152</v>
      </c>
      <c r="AC89" s="70" t="s">
        <v>1152</v>
      </c>
      <c r="AD89" s="70" t="s">
        <v>1152</v>
      </c>
      <c r="AE89" s="70" t="s">
        <v>1152</v>
      </c>
      <c r="AF89" s="70" t="s">
        <v>1152</v>
      </c>
      <c r="AG89" s="70" t="s">
        <v>1152</v>
      </c>
      <c r="AH89" s="70" t="s">
        <v>1152</v>
      </c>
      <c r="AI89" s="70" t="s">
        <v>1152</v>
      </c>
      <c r="AJ89" s="70" t="s">
        <v>1152</v>
      </c>
      <c r="AK89" s="70" t="s">
        <v>1152</v>
      </c>
      <c r="AL89" s="70" t="s">
        <v>1152</v>
      </c>
      <c r="AM89" s="70" t="s">
        <v>1152</v>
      </c>
    </row>
    <row r="90" spans="5:39" x14ac:dyDescent="0.25">
      <c r="E90" s="335"/>
      <c r="F90" s="101" t="s">
        <v>231</v>
      </c>
      <c r="G90" s="70"/>
      <c r="H90" s="70" t="s">
        <v>1152</v>
      </c>
      <c r="I90" s="70" t="s">
        <v>1152</v>
      </c>
      <c r="J90" s="70"/>
      <c r="K90" s="70"/>
      <c r="L90" s="70" t="s">
        <v>1152</v>
      </c>
      <c r="M90" s="70" t="s">
        <v>1152</v>
      </c>
      <c r="N90" s="70" t="s">
        <v>1152</v>
      </c>
      <c r="O90" s="70" t="s">
        <v>1152</v>
      </c>
      <c r="P90" s="70" t="s">
        <v>1152</v>
      </c>
      <c r="Q90" s="70" t="s">
        <v>1152</v>
      </c>
      <c r="R90" s="70" t="s">
        <v>1152</v>
      </c>
      <c r="S90" s="70" t="s">
        <v>1152</v>
      </c>
      <c r="T90" s="70" t="s">
        <v>1152</v>
      </c>
      <c r="U90" s="70" t="s">
        <v>1152</v>
      </c>
      <c r="V90" s="70" t="s">
        <v>1152</v>
      </c>
      <c r="W90" s="70" t="s">
        <v>1152</v>
      </c>
      <c r="X90" s="70" t="s">
        <v>1152</v>
      </c>
      <c r="Y90" s="70" t="s">
        <v>1152</v>
      </c>
      <c r="Z90" s="70" t="s">
        <v>1152</v>
      </c>
      <c r="AA90" s="70" t="s">
        <v>1152</v>
      </c>
      <c r="AB90" s="70" t="s">
        <v>1152</v>
      </c>
      <c r="AC90" s="70" t="s">
        <v>1152</v>
      </c>
      <c r="AD90" s="70" t="s">
        <v>1152</v>
      </c>
      <c r="AE90" s="70" t="s">
        <v>1152</v>
      </c>
      <c r="AF90" s="70" t="s">
        <v>1152</v>
      </c>
      <c r="AG90" s="70" t="s">
        <v>1152</v>
      </c>
      <c r="AH90" s="70" t="s">
        <v>1152</v>
      </c>
      <c r="AI90" s="70" t="s">
        <v>1152</v>
      </c>
      <c r="AJ90" s="70" t="s">
        <v>1152</v>
      </c>
      <c r="AK90" s="70" t="s">
        <v>1152</v>
      </c>
      <c r="AL90" s="70" t="s">
        <v>1152</v>
      </c>
      <c r="AM90" s="70" t="s">
        <v>1152</v>
      </c>
    </row>
    <row r="91" spans="5:39" x14ac:dyDescent="0.25">
      <c r="E91" s="335"/>
      <c r="F91" s="101" t="s">
        <v>232</v>
      </c>
      <c r="G91" s="70"/>
      <c r="H91" s="70" t="s">
        <v>1152</v>
      </c>
      <c r="I91" s="70" t="s">
        <v>1152</v>
      </c>
      <c r="J91" s="70"/>
      <c r="K91" s="70"/>
      <c r="L91" s="70" t="s">
        <v>1152</v>
      </c>
      <c r="M91" s="70" t="s">
        <v>1152</v>
      </c>
      <c r="N91" s="70" t="s">
        <v>1152</v>
      </c>
      <c r="O91" s="70" t="s">
        <v>1152</v>
      </c>
      <c r="P91" s="70" t="s">
        <v>1152</v>
      </c>
      <c r="Q91" s="70" t="s">
        <v>1152</v>
      </c>
      <c r="R91" s="70" t="s">
        <v>1152</v>
      </c>
      <c r="S91" s="70" t="s">
        <v>1152</v>
      </c>
      <c r="T91" s="70" t="s">
        <v>1152</v>
      </c>
      <c r="U91" s="70" t="s">
        <v>1152</v>
      </c>
      <c r="V91" s="70" t="s">
        <v>1152</v>
      </c>
      <c r="W91" s="70" t="s">
        <v>1152</v>
      </c>
      <c r="X91" s="70" t="s">
        <v>1152</v>
      </c>
      <c r="Y91" s="70" t="s">
        <v>1152</v>
      </c>
      <c r="Z91" s="70" t="s">
        <v>1152</v>
      </c>
      <c r="AA91" s="70" t="s">
        <v>1152</v>
      </c>
      <c r="AB91" s="70" t="s">
        <v>1152</v>
      </c>
      <c r="AC91" s="70" t="s">
        <v>1152</v>
      </c>
      <c r="AD91" s="70" t="s">
        <v>1152</v>
      </c>
      <c r="AE91" s="70" t="s">
        <v>1152</v>
      </c>
      <c r="AF91" s="70" t="s">
        <v>1152</v>
      </c>
      <c r="AG91" s="70" t="s">
        <v>1152</v>
      </c>
      <c r="AH91" s="70" t="s">
        <v>1152</v>
      </c>
      <c r="AI91" s="70" t="s">
        <v>1152</v>
      </c>
      <c r="AJ91" s="70" t="s">
        <v>1152</v>
      </c>
      <c r="AK91" s="70" t="s">
        <v>1152</v>
      </c>
      <c r="AL91" s="70" t="s">
        <v>1152</v>
      </c>
      <c r="AM91" s="70" t="s">
        <v>1152</v>
      </c>
    </row>
    <row r="92" spans="5:39" x14ac:dyDescent="0.25">
      <c r="E92" s="335"/>
      <c r="F92" s="101" t="s">
        <v>233</v>
      </c>
      <c r="G92" s="70"/>
      <c r="H92" s="70" t="s">
        <v>1152</v>
      </c>
      <c r="I92" s="70" t="s">
        <v>1152</v>
      </c>
      <c r="J92" s="70"/>
      <c r="K92" s="70"/>
      <c r="L92" s="70" t="s">
        <v>1152</v>
      </c>
      <c r="M92" s="70" t="s">
        <v>1152</v>
      </c>
      <c r="N92" s="70" t="s">
        <v>1152</v>
      </c>
      <c r="O92" s="70" t="s">
        <v>1152</v>
      </c>
      <c r="P92" s="70" t="s">
        <v>1152</v>
      </c>
      <c r="Q92" s="70" t="s">
        <v>1152</v>
      </c>
      <c r="R92" s="70" t="s">
        <v>1152</v>
      </c>
      <c r="S92" s="70" t="s">
        <v>1152</v>
      </c>
      <c r="T92" s="70" t="s">
        <v>1152</v>
      </c>
      <c r="U92" s="70" t="s">
        <v>1152</v>
      </c>
      <c r="V92" s="70" t="s">
        <v>1152</v>
      </c>
      <c r="W92" s="70" t="s">
        <v>1152</v>
      </c>
      <c r="X92" s="70" t="s">
        <v>1152</v>
      </c>
      <c r="Y92" s="70" t="s">
        <v>1152</v>
      </c>
      <c r="Z92" s="70" t="s">
        <v>1152</v>
      </c>
      <c r="AA92" s="70" t="s">
        <v>1152</v>
      </c>
      <c r="AB92" s="70" t="s">
        <v>1152</v>
      </c>
      <c r="AC92" s="70" t="s">
        <v>1152</v>
      </c>
      <c r="AD92" s="70" t="s">
        <v>1152</v>
      </c>
      <c r="AE92" s="70" t="s">
        <v>1152</v>
      </c>
      <c r="AF92" s="70" t="s">
        <v>1152</v>
      </c>
      <c r="AG92" s="70" t="s">
        <v>1152</v>
      </c>
      <c r="AH92" s="70" t="s">
        <v>1152</v>
      </c>
      <c r="AI92" s="70" t="s">
        <v>1152</v>
      </c>
      <c r="AJ92" s="70" t="s">
        <v>1152</v>
      </c>
      <c r="AK92" s="70" t="s">
        <v>1152</v>
      </c>
      <c r="AL92" s="70" t="s">
        <v>1152</v>
      </c>
      <c r="AM92" s="70" t="s">
        <v>1152</v>
      </c>
    </row>
    <row r="93" spans="5:39" x14ac:dyDescent="0.25">
      <c r="E93" s="335"/>
      <c r="F93" s="101" t="s">
        <v>234</v>
      </c>
      <c r="G93" s="70"/>
      <c r="H93" s="70" t="s">
        <v>1152</v>
      </c>
      <c r="I93" s="70" t="s">
        <v>1152</v>
      </c>
      <c r="J93" s="70"/>
      <c r="K93" s="70"/>
      <c r="L93" s="70" t="s">
        <v>1152</v>
      </c>
      <c r="M93" s="70" t="s">
        <v>1152</v>
      </c>
      <c r="N93" s="70" t="s">
        <v>1152</v>
      </c>
      <c r="O93" s="70" t="s">
        <v>1152</v>
      </c>
      <c r="P93" s="70" t="s">
        <v>1152</v>
      </c>
      <c r="Q93" s="70" t="s">
        <v>1152</v>
      </c>
      <c r="R93" s="70" t="s">
        <v>1152</v>
      </c>
      <c r="S93" s="70" t="s">
        <v>1152</v>
      </c>
      <c r="T93" s="70" t="s">
        <v>1152</v>
      </c>
      <c r="U93" s="70" t="s">
        <v>1152</v>
      </c>
      <c r="V93" s="70" t="s">
        <v>1152</v>
      </c>
      <c r="W93" s="70" t="s">
        <v>1152</v>
      </c>
      <c r="X93" s="70" t="s">
        <v>1152</v>
      </c>
      <c r="Y93" s="70" t="s">
        <v>1152</v>
      </c>
      <c r="Z93" s="70" t="s">
        <v>1152</v>
      </c>
      <c r="AA93" s="70" t="s">
        <v>1152</v>
      </c>
      <c r="AB93" s="70" t="s">
        <v>1152</v>
      </c>
      <c r="AC93" s="70" t="s">
        <v>1152</v>
      </c>
      <c r="AD93" s="70" t="s">
        <v>1152</v>
      </c>
      <c r="AE93" s="70" t="s">
        <v>1152</v>
      </c>
      <c r="AF93" s="70" t="s">
        <v>1152</v>
      </c>
      <c r="AG93" s="70" t="s">
        <v>1152</v>
      </c>
      <c r="AH93" s="70" t="s">
        <v>1152</v>
      </c>
      <c r="AI93" s="70" t="s">
        <v>1152</v>
      </c>
      <c r="AJ93" s="70" t="s">
        <v>1152</v>
      </c>
      <c r="AK93" s="70" t="s">
        <v>1152</v>
      </c>
      <c r="AL93" s="70" t="s">
        <v>1152</v>
      </c>
      <c r="AM93" s="70" t="s">
        <v>1152</v>
      </c>
    </row>
    <row r="94" spans="5:39" x14ac:dyDescent="0.25">
      <c r="E94" s="335"/>
      <c r="F94" s="101" t="s">
        <v>235</v>
      </c>
      <c r="G94" s="70"/>
      <c r="H94" s="70" t="s">
        <v>1152</v>
      </c>
      <c r="I94" s="70" t="s">
        <v>1152</v>
      </c>
      <c r="J94" s="70"/>
      <c r="K94" s="70"/>
      <c r="L94" s="70" t="s">
        <v>1152</v>
      </c>
      <c r="M94" s="70" t="s">
        <v>1152</v>
      </c>
      <c r="N94" s="70" t="s">
        <v>1152</v>
      </c>
      <c r="O94" s="70" t="s">
        <v>1152</v>
      </c>
      <c r="P94" s="70" t="s">
        <v>1152</v>
      </c>
      <c r="Q94" s="70" t="s">
        <v>1152</v>
      </c>
      <c r="R94" s="70" t="s">
        <v>1152</v>
      </c>
      <c r="S94" s="70" t="s">
        <v>1152</v>
      </c>
      <c r="T94" s="70" t="s">
        <v>1152</v>
      </c>
      <c r="U94" s="70" t="s">
        <v>1152</v>
      </c>
      <c r="V94" s="70" t="s">
        <v>1152</v>
      </c>
      <c r="W94" s="70" t="s">
        <v>1152</v>
      </c>
      <c r="X94" s="70" t="s">
        <v>1152</v>
      </c>
      <c r="Y94" s="70" t="s">
        <v>1152</v>
      </c>
      <c r="Z94" s="70" t="s">
        <v>1152</v>
      </c>
      <c r="AA94" s="70" t="s">
        <v>1152</v>
      </c>
      <c r="AB94" s="70" t="s">
        <v>1152</v>
      </c>
      <c r="AC94" s="70" t="s">
        <v>1152</v>
      </c>
      <c r="AD94" s="70" t="s">
        <v>1152</v>
      </c>
      <c r="AE94" s="70" t="s">
        <v>1152</v>
      </c>
      <c r="AF94" s="70" t="s">
        <v>1152</v>
      </c>
      <c r="AG94" s="70" t="s">
        <v>1152</v>
      </c>
      <c r="AH94" s="70" t="s">
        <v>1152</v>
      </c>
      <c r="AI94" s="70" t="s">
        <v>1152</v>
      </c>
      <c r="AJ94" s="70" t="s">
        <v>1152</v>
      </c>
      <c r="AK94" s="70" t="s">
        <v>1152</v>
      </c>
      <c r="AL94" s="70" t="s">
        <v>1152</v>
      </c>
      <c r="AM94" s="70" t="s">
        <v>1152</v>
      </c>
    </row>
    <row r="95" spans="5:39" x14ac:dyDescent="0.25">
      <c r="E95" s="335"/>
      <c r="F95" s="101" t="s">
        <v>282</v>
      </c>
      <c r="G95" s="70">
        <v>26</v>
      </c>
      <c r="H95" s="70">
        <v>26</v>
      </c>
      <c r="I95" s="70">
        <v>26</v>
      </c>
      <c r="J95" s="70">
        <v>19</v>
      </c>
      <c r="K95" s="70">
        <v>26</v>
      </c>
      <c r="L95" s="70">
        <v>26</v>
      </c>
      <c r="M95" s="70">
        <v>26</v>
      </c>
      <c r="N95" s="70">
        <v>26</v>
      </c>
      <c r="O95" s="70">
        <v>25</v>
      </c>
      <c r="P95" s="70">
        <v>25</v>
      </c>
      <c r="Q95" s="70">
        <v>23</v>
      </c>
      <c r="R95" s="70">
        <v>25</v>
      </c>
      <c r="S95" s="70">
        <v>27</v>
      </c>
      <c r="T95" s="70">
        <v>23</v>
      </c>
      <c r="U95" s="70">
        <v>32</v>
      </c>
      <c r="V95" s="70">
        <v>32</v>
      </c>
      <c r="W95" s="70">
        <v>31</v>
      </c>
      <c r="X95" s="70">
        <v>31</v>
      </c>
      <c r="Y95" s="70">
        <v>33</v>
      </c>
      <c r="Z95" s="70">
        <v>20</v>
      </c>
      <c r="AA95" s="70">
        <v>32</v>
      </c>
      <c r="AB95" s="70">
        <v>32</v>
      </c>
      <c r="AC95" s="70">
        <v>30</v>
      </c>
      <c r="AD95" s="70">
        <v>29</v>
      </c>
      <c r="AE95" s="70">
        <v>30</v>
      </c>
      <c r="AF95" s="70">
        <v>22</v>
      </c>
      <c r="AG95" s="70">
        <v>24</v>
      </c>
      <c r="AH95" s="70">
        <v>31</v>
      </c>
      <c r="AI95" s="70">
        <v>29</v>
      </c>
      <c r="AJ95" s="70">
        <v>13</v>
      </c>
      <c r="AK95" s="70">
        <v>28</v>
      </c>
      <c r="AL95" s="70">
        <v>21</v>
      </c>
      <c r="AM95" s="70">
        <v>34</v>
      </c>
    </row>
    <row r="96" spans="5:39" ht="15.75" thickBot="1" x14ac:dyDescent="0.3">
      <c r="E96" s="336"/>
      <c r="F96" s="101" t="s">
        <v>281</v>
      </c>
      <c r="G96" s="70"/>
      <c r="H96" s="70" t="s">
        <v>1152</v>
      </c>
      <c r="I96" s="70" t="s">
        <v>1152</v>
      </c>
      <c r="J96" s="70"/>
      <c r="K96" s="70"/>
      <c r="L96" s="70" t="s">
        <v>1152</v>
      </c>
      <c r="M96" s="70" t="s">
        <v>1152</v>
      </c>
      <c r="N96" s="70" t="s">
        <v>1152</v>
      </c>
      <c r="O96" s="70" t="s">
        <v>1152</v>
      </c>
      <c r="P96" s="70" t="s">
        <v>1152</v>
      </c>
      <c r="Q96" s="70" t="s">
        <v>1152</v>
      </c>
      <c r="R96" s="70" t="s">
        <v>1152</v>
      </c>
      <c r="S96" s="70" t="s">
        <v>1152</v>
      </c>
      <c r="T96" s="70" t="s">
        <v>1152</v>
      </c>
      <c r="U96" s="70" t="s">
        <v>1152</v>
      </c>
      <c r="V96" s="70" t="s">
        <v>1152</v>
      </c>
      <c r="W96" s="70" t="s">
        <v>1152</v>
      </c>
      <c r="X96" s="70" t="s">
        <v>1152</v>
      </c>
      <c r="Y96" s="70" t="s">
        <v>1152</v>
      </c>
      <c r="Z96" s="70" t="s">
        <v>1152</v>
      </c>
      <c r="AA96" s="70" t="s">
        <v>1152</v>
      </c>
      <c r="AB96" s="70" t="s">
        <v>1152</v>
      </c>
      <c r="AC96" s="70" t="s">
        <v>1152</v>
      </c>
      <c r="AD96" s="70" t="s">
        <v>1152</v>
      </c>
      <c r="AE96" s="70" t="s">
        <v>1152</v>
      </c>
      <c r="AF96" s="70" t="s">
        <v>1152</v>
      </c>
      <c r="AG96" s="70" t="s">
        <v>1152</v>
      </c>
      <c r="AH96" s="70" t="s">
        <v>1152</v>
      </c>
      <c r="AI96" s="70" t="s">
        <v>1152</v>
      </c>
      <c r="AJ96" s="70" t="s">
        <v>1152</v>
      </c>
      <c r="AK96" s="70" t="s">
        <v>1152</v>
      </c>
      <c r="AL96" s="70" t="s">
        <v>1152</v>
      </c>
      <c r="AM96" s="70" t="s">
        <v>1152</v>
      </c>
    </row>
    <row r="97" spans="5:39" x14ac:dyDescent="0.25">
      <c r="E97" s="334" t="s">
        <v>176</v>
      </c>
      <c r="F97" s="100" t="s">
        <v>180</v>
      </c>
      <c r="G97" s="70">
        <v>5</v>
      </c>
      <c r="H97" s="70">
        <v>5</v>
      </c>
      <c r="I97" s="70">
        <v>5</v>
      </c>
      <c r="J97" s="70">
        <v>5</v>
      </c>
      <c r="K97" s="70">
        <v>5</v>
      </c>
      <c r="L97" s="70">
        <v>7</v>
      </c>
      <c r="M97" s="70">
        <v>7</v>
      </c>
      <c r="N97" s="70">
        <v>5</v>
      </c>
      <c r="O97" s="70">
        <v>6</v>
      </c>
      <c r="P97" s="70">
        <v>6</v>
      </c>
      <c r="Q97" s="70">
        <v>6</v>
      </c>
      <c r="R97" s="70">
        <v>5</v>
      </c>
      <c r="S97" s="70">
        <v>5</v>
      </c>
      <c r="T97" s="70">
        <v>5</v>
      </c>
      <c r="U97" s="70">
        <v>5</v>
      </c>
      <c r="V97" s="70">
        <v>5</v>
      </c>
      <c r="W97" s="70">
        <v>5</v>
      </c>
      <c r="X97" s="70">
        <v>5</v>
      </c>
      <c r="Y97" s="70">
        <v>6</v>
      </c>
      <c r="Z97" s="70">
        <v>6</v>
      </c>
      <c r="AA97" s="70">
        <v>6</v>
      </c>
      <c r="AB97" s="70">
        <v>6</v>
      </c>
      <c r="AC97" s="70">
        <v>8</v>
      </c>
      <c r="AD97" s="70">
        <v>8</v>
      </c>
      <c r="AE97" s="70">
        <v>8</v>
      </c>
      <c r="AF97" s="70">
        <v>8</v>
      </c>
      <c r="AG97" s="70">
        <v>8</v>
      </c>
      <c r="AH97" s="70">
        <v>8</v>
      </c>
      <c r="AI97" s="70">
        <v>7</v>
      </c>
      <c r="AJ97" s="70">
        <v>5</v>
      </c>
      <c r="AK97" s="70">
        <v>7</v>
      </c>
      <c r="AL97" s="70">
        <v>6</v>
      </c>
      <c r="AM97" s="70">
        <v>7</v>
      </c>
    </row>
    <row r="98" spans="5:39" x14ac:dyDescent="0.25">
      <c r="E98" s="335"/>
      <c r="F98" s="101" t="s">
        <v>177</v>
      </c>
      <c r="G98" s="70">
        <v>2</v>
      </c>
      <c r="H98" s="70">
        <v>2</v>
      </c>
      <c r="I98" s="70">
        <v>2</v>
      </c>
      <c r="J98" s="70">
        <v>3</v>
      </c>
      <c r="K98" s="70">
        <v>2</v>
      </c>
      <c r="L98" s="70">
        <v>2</v>
      </c>
      <c r="M98" s="70">
        <v>2</v>
      </c>
      <c r="N98" s="70">
        <v>2</v>
      </c>
      <c r="O98" s="70">
        <v>2.8333333333333335</v>
      </c>
      <c r="P98" s="70">
        <v>2.8333333333333335</v>
      </c>
      <c r="Q98" s="70">
        <v>2.8333333333333335</v>
      </c>
      <c r="R98" s="70">
        <v>2.8333333333333335</v>
      </c>
      <c r="S98" s="70">
        <v>2.8333333333333335</v>
      </c>
      <c r="T98" s="70">
        <v>2.8333333333333335</v>
      </c>
      <c r="U98" s="70">
        <v>2.8333333333333335</v>
      </c>
      <c r="V98" s="70">
        <v>2.8333333333333335</v>
      </c>
      <c r="W98" s="70">
        <v>2.8333333333333335</v>
      </c>
      <c r="X98" s="70">
        <v>2.8333333333333335</v>
      </c>
      <c r="Y98" s="70">
        <v>2.8333333333333335</v>
      </c>
      <c r="Z98" s="70">
        <v>2.8333333333333335</v>
      </c>
      <c r="AA98" s="70">
        <v>2.8333333333333335</v>
      </c>
      <c r="AB98" s="70">
        <v>2.8333333333333335</v>
      </c>
      <c r="AC98" s="70">
        <v>2.8333333333333335</v>
      </c>
      <c r="AD98" s="70">
        <v>2.8333333333333335</v>
      </c>
      <c r="AE98" s="70">
        <v>2.8333333333333335</v>
      </c>
      <c r="AF98" s="70">
        <v>2.8333333333333335</v>
      </c>
      <c r="AG98" s="70">
        <v>2.8333333333333335</v>
      </c>
      <c r="AH98" s="70">
        <v>2.8333333333333335</v>
      </c>
      <c r="AI98" s="70">
        <v>2.8333333333333335</v>
      </c>
      <c r="AJ98" s="70">
        <v>2.8333333333333335</v>
      </c>
      <c r="AK98" s="70">
        <v>2.8333333333333335</v>
      </c>
      <c r="AL98" s="70">
        <v>2.8333333333333335</v>
      </c>
      <c r="AM98" s="70">
        <v>2.8333333333333335</v>
      </c>
    </row>
    <row r="99" spans="5:39" x14ac:dyDescent="0.25">
      <c r="E99" s="335"/>
      <c r="F99" s="101" t="s">
        <v>178</v>
      </c>
      <c r="G99" s="70">
        <v>8.1667500000000004</v>
      </c>
      <c r="H99" s="70">
        <v>8.1667500000000004</v>
      </c>
      <c r="I99" s="70">
        <v>8.1667500000000004</v>
      </c>
      <c r="J99" s="70">
        <v>8.5</v>
      </c>
      <c r="K99" s="70">
        <v>8.1667500000000004</v>
      </c>
      <c r="L99" s="70">
        <v>5.4444999999999997</v>
      </c>
      <c r="M99" s="70">
        <v>5.4444999999999997</v>
      </c>
      <c r="N99" s="70">
        <v>8.1667500000000004</v>
      </c>
      <c r="O99" s="70">
        <v>7.333333333333333</v>
      </c>
      <c r="P99" s="70">
        <v>7.2</v>
      </c>
      <c r="Q99" s="70">
        <v>7.2</v>
      </c>
      <c r="R99" s="70">
        <v>9</v>
      </c>
      <c r="S99" s="70">
        <v>9</v>
      </c>
      <c r="T99" s="70">
        <v>9</v>
      </c>
      <c r="U99" s="70">
        <v>9</v>
      </c>
      <c r="V99" s="70">
        <v>9</v>
      </c>
      <c r="W99" s="70">
        <v>9</v>
      </c>
      <c r="X99" s="70">
        <v>9</v>
      </c>
      <c r="Y99" s="70">
        <v>7.2</v>
      </c>
      <c r="Z99" s="70">
        <v>7.2</v>
      </c>
      <c r="AA99" s="70">
        <v>7.2</v>
      </c>
      <c r="AB99" s="70">
        <v>7.2</v>
      </c>
      <c r="AC99" s="70">
        <v>5.1428571428571432</v>
      </c>
      <c r="AD99" s="70">
        <v>5.1428571428571432</v>
      </c>
      <c r="AE99" s="70">
        <v>5.1428571428571432</v>
      </c>
      <c r="AF99" s="70">
        <v>5.1428571428571432</v>
      </c>
      <c r="AG99" s="70">
        <v>5.1428571428571432</v>
      </c>
      <c r="AH99" s="70">
        <v>5.1428571428571432</v>
      </c>
      <c r="AI99" s="70">
        <v>6</v>
      </c>
      <c r="AJ99" s="70">
        <v>9</v>
      </c>
      <c r="AK99" s="70">
        <v>6</v>
      </c>
      <c r="AL99" s="70">
        <v>8.5</v>
      </c>
      <c r="AM99" s="70">
        <v>8.5</v>
      </c>
    </row>
    <row r="100" spans="5:39" x14ac:dyDescent="0.25">
      <c r="E100" s="335"/>
      <c r="F100" s="101" t="s">
        <v>236</v>
      </c>
      <c r="G100" s="70">
        <v>8.1667500000000004</v>
      </c>
      <c r="H100" s="70">
        <v>8.1667500000000004</v>
      </c>
      <c r="I100" s="70">
        <v>8.1667500000000004</v>
      </c>
      <c r="J100" s="70">
        <v>8.5</v>
      </c>
      <c r="K100" s="70">
        <v>8.1667500000000004</v>
      </c>
      <c r="L100" s="70">
        <v>5.4444999999999997</v>
      </c>
      <c r="M100" s="70">
        <v>5.4444999999999997</v>
      </c>
      <c r="N100" s="70">
        <v>8.1667500000000004</v>
      </c>
      <c r="O100" s="70">
        <v>7.333333333333333</v>
      </c>
      <c r="P100" s="70">
        <v>7.2</v>
      </c>
      <c r="Q100" s="70">
        <v>7.2</v>
      </c>
      <c r="R100" s="70">
        <v>9</v>
      </c>
      <c r="S100" s="70">
        <v>9</v>
      </c>
      <c r="T100" s="70">
        <v>9</v>
      </c>
      <c r="U100" s="70">
        <v>9</v>
      </c>
      <c r="V100" s="70">
        <v>9</v>
      </c>
      <c r="W100" s="70">
        <v>9</v>
      </c>
      <c r="X100" s="70">
        <v>9</v>
      </c>
      <c r="Y100" s="70">
        <v>7.2</v>
      </c>
      <c r="Z100" s="70">
        <v>7.2</v>
      </c>
      <c r="AA100" s="70">
        <v>7.2</v>
      </c>
      <c r="AB100" s="70">
        <v>7.2</v>
      </c>
      <c r="AC100" s="70">
        <v>5.1428571428571432</v>
      </c>
      <c r="AD100" s="70">
        <v>5.1428571428571432</v>
      </c>
      <c r="AE100" s="70">
        <v>5.1428571428571432</v>
      </c>
      <c r="AF100" s="70">
        <v>5.1428571428571432</v>
      </c>
      <c r="AG100" s="70">
        <v>5.1428571428571432</v>
      </c>
      <c r="AH100" s="70">
        <v>5.1428571428571432</v>
      </c>
      <c r="AI100" s="70">
        <v>6</v>
      </c>
      <c r="AJ100" s="70">
        <v>9</v>
      </c>
      <c r="AK100" s="70">
        <v>6</v>
      </c>
      <c r="AL100" s="70">
        <v>8.5</v>
      </c>
      <c r="AM100" s="70">
        <v>8.5</v>
      </c>
    </row>
    <row r="101" spans="5:39" x14ac:dyDescent="0.25">
      <c r="E101" s="335"/>
      <c r="F101" s="101" t="s">
        <v>237</v>
      </c>
      <c r="G101" s="70">
        <v>8.1667500000000004</v>
      </c>
      <c r="H101" s="70">
        <v>8.1667500000000004</v>
      </c>
      <c r="I101" s="70">
        <v>8.1667500000000004</v>
      </c>
      <c r="J101" s="70">
        <v>8.5</v>
      </c>
      <c r="K101" s="70">
        <v>8.1667500000000004</v>
      </c>
      <c r="L101" s="70">
        <v>5.4444999999999997</v>
      </c>
      <c r="M101" s="70">
        <v>5.4444999999999997</v>
      </c>
      <c r="N101" s="70">
        <v>8.1667500000000004</v>
      </c>
      <c r="O101" s="70">
        <v>7.333333333333333</v>
      </c>
      <c r="P101" s="70">
        <v>7.2</v>
      </c>
      <c r="Q101" s="70">
        <v>7.2</v>
      </c>
      <c r="R101" s="70">
        <v>9</v>
      </c>
      <c r="S101" s="70">
        <v>9</v>
      </c>
      <c r="T101" s="70">
        <v>9</v>
      </c>
      <c r="U101" s="70">
        <v>9</v>
      </c>
      <c r="V101" s="70">
        <v>9</v>
      </c>
      <c r="W101" s="70">
        <v>9</v>
      </c>
      <c r="X101" s="70">
        <v>9</v>
      </c>
      <c r="Y101" s="70">
        <v>7.2</v>
      </c>
      <c r="Z101" s="70">
        <v>7.2</v>
      </c>
      <c r="AA101" s="70">
        <v>7.2</v>
      </c>
      <c r="AB101" s="70">
        <v>7.2</v>
      </c>
      <c r="AC101" s="70">
        <v>5.1428571428571432</v>
      </c>
      <c r="AD101" s="70">
        <v>5.1428571428571432</v>
      </c>
      <c r="AE101" s="70">
        <v>5.1428571428571432</v>
      </c>
      <c r="AF101" s="70">
        <v>5.1428571428571432</v>
      </c>
      <c r="AG101" s="70">
        <v>5.1428571428571432</v>
      </c>
      <c r="AH101" s="70">
        <v>5.1428571428571432</v>
      </c>
      <c r="AI101" s="70">
        <v>6</v>
      </c>
      <c r="AJ101" s="70">
        <v>9</v>
      </c>
      <c r="AK101" s="70">
        <v>6</v>
      </c>
      <c r="AL101" s="70">
        <v>8.5</v>
      </c>
      <c r="AM101" s="70">
        <v>8.5</v>
      </c>
    </row>
    <row r="102" spans="5:39" x14ac:dyDescent="0.25">
      <c r="E102" s="335"/>
      <c r="F102" s="101" t="s">
        <v>238</v>
      </c>
      <c r="G102" s="70">
        <v>8.1667500000000004</v>
      </c>
      <c r="H102" s="70">
        <v>8.1667500000000004</v>
      </c>
      <c r="I102" s="70">
        <v>8.1667500000000004</v>
      </c>
      <c r="J102" s="70">
        <v>8.5</v>
      </c>
      <c r="K102" s="70">
        <v>8.1667500000000004</v>
      </c>
      <c r="L102" s="70">
        <v>5.4444999999999997</v>
      </c>
      <c r="M102" s="70">
        <v>5.4444999999999997</v>
      </c>
      <c r="N102" s="70">
        <v>8.1667500000000004</v>
      </c>
      <c r="O102" s="70">
        <v>7</v>
      </c>
      <c r="P102" s="70">
        <v>7.2</v>
      </c>
      <c r="Q102" s="70">
        <v>7.2</v>
      </c>
      <c r="R102" s="70">
        <v>9</v>
      </c>
      <c r="S102" s="70">
        <v>9</v>
      </c>
      <c r="T102" s="70">
        <v>9</v>
      </c>
      <c r="U102" s="70">
        <v>9</v>
      </c>
      <c r="V102" s="70">
        <v>9</v>
      </c>
      <c r="W102" s="70">
        <v>9</v>
      </c>
      <c r="X102" s="70">
        <v>9</v>
      </c>
      <c r="Y102" s="70">
        <v>7.2</v>
      </c>
      <c r="Z102" s="70">
        <v>7.2</v>
      </c>
      <c r="AA102" s="70">
        <v>7.2</v>
      </c>
      <c r="AB102" s="70">
        <v>7.2</v>
      </c>
      <c r="AC102" s="70">
        <v>5.1428571428571432</v>
      </c>
      <c r="AD102" s="70">
        <v>5.1428571428571432</v>
      </c>
      <c r="AE102" s="70">
        <v>5.1428571428571432</v>
      </c>
      <c r="AF102" s="70">
        <v>5.1428571428571432</v>
      </c>
      <c r="AG102" s="70">
        <v>5.1428571428571432</v>
      </c>
      <c r="AH102" s="70">
        <v>5.1428571428571432</v>
      </c>
      <c r="AI102" s="70">
        <v>6</v>
      </c>
      <c r="AJ102" s="70">
        <v>9</v>
      </c>
      <c r="AK102" s="70">
        <v>6</v>
      </c>
      <c r="AL102" s="70">
        <v>8.5</v>
      </c>
      <c r="AM102" s="70">
        <v>8.5</v>
      </c>
    </row>
    <row r="103" spans="5:39" x14ac:dyDescent="0.25">
      <c r="E103" s="335"/>
      <c r="F103" s="101" t="s">
        <v>239</v>
      </c>
      <c r="G103" s="70"/>
      <c r="H103" s="70" t="s">
        <v>1152</v>
      </c>
      <c r="I103" s="70" t="s">
        <v>1152</v>
      </c>
      <c r="J103" s="70"/>
      <c r="K103" s="70"/>
      <c r="L103" s="70">
        <v>5.4444999999999997</v>
      </c>
      <c r="M103" s="70">
        <v>5.4444999999999997</v>
      </c>
      <c r="N103" s="70" t="s">
        <v>1152</v>
      </c>
      <c r="O103" s="70">
        <v>7</v>
      </c>
      <c r="P103" s="70">
        <v>7.2</v>
      </c>
      <c r="Q103" s="70">
        <v>7.2</v>
      </c>
      <c r="R103" s="70" t="s">
        <v>1152</v>
      </c>
      <c r="S103" s="70" t="s">
        <v>1152</v>
      </c>
      <c r="T103" s="70" t="s">
        <v>1152</v>
      </c>
      <c r="U103" s="70" t="s">
        <v>1152</v>
      </c>
      <c r="V103" s="70" t="s">
        <v>1152</v>
      </c>
      <c r="W103" s="70" t="s">
        <v>1152</v>
      </c>
      <c r="X103" s="70" t="s">
        <v>1152</v>
      </c>
      <c r="Y103" s="70">
        <v>7.2</v>
      </c>
      <c r="Z103" s="70">
        <v>7.2</v>
      </c>
      <c r="AA103" s="70">
        <v>7.2</v>
      </c>
      <c r="AB103" s="70">
        <v>7.2</v>
      </c>
      <c r="AC103" s="70">
        <v>5.1428571428571432</v>
      </c>
      <c r="AD103" s="70">
        <v>5.1428571428571432</v>
      </c>
      <c r="AE103" s="70">
        <v>5.1428571428571432</v>
      </c>
      <c r="AF103" s="70">
        <v>5.1428571428571432</v>
      </c>
      <c r="AG103" s="70">
        <v>5.1428571428571432</v>
      </c>
      <c r="AH103" s="70">
        <v>5.1428571428571432</v>
      </c>
      <c r="AI103" s="70">
        <v>6</v>
      </c>
      <c r="AJ103" s="70" t="s">
        <v>1152</v>
      </c>
      <c r="AK103" s="70">
        <v>6.7569999999999997</v>
      </c>
      <c r="AL103" s="70">
        <v>8.4589999999999996</v>
      </c>
      <c r="AM103" s="70">
        <v>7.851</v>
      </c>
    </row>
    <row r="104" spans="5:39" x14ac:dyDescent="0.25">
      <c r="E104" s="335"/>
      <c r="F104" s="101" t="s">
        <v>240</v>
      </c>
      <c r="G104" s="70"/>
      <c r="H104" s="70" t="s">
        <v>1152</v>
      </c>
      <c r="I104" s="70" t="s">
        <v>1152</v>
      </c>
      <c r="J104" s="70"/>
      <c r="K104" s="70"/>
      <c r="L104" s="70">
        <v>5.4444999999999997</v>
      </c>
      <c r="M104" s="70">
        <v>5.4444999999999997</v>
      </c>
      <c r="N104" s="70" t="s">
        <v>1152</v>
      </c>
      <c r="O104" s="70" t="s">
        <v>1152</v>
      </c>
      <c r="P104" s="70" t="s">
        <v>1152</v>
      </c>
      <c r="Q104" s="70" t="s">
        <v>1152</v>
      </c>
      <c r="R104" s="70" t="s">
        <v>1152</v>
      </c>
      <c r="S104" s="70" t="s">
        <v>1152</v>
      </c>
      <c r="T104" s="70" t="s">
        <v>1152</v>
      </c>
      <c r="U104" s="70" t="s">
        <v>1152</v>
      </c>
      <c r="V104" s="70" t="s">
        <v>1152</v>
      </c>
      <c r="W104" s="70" t="s">
        <v>1152</v>
      </c>
      <c r="X104" s="70" t="s">
        <v>1152</v>
      </c>
      <c r="Y104" s="70" t="s">
        <v>1152</v>
      </c>
      <c r="Z104" s="70" t="s">
        <v>1152</v>
      </c>
      <c r="AA104" s="70" t="s">
        <v>1152</v>
      </c>
      <c r="AB104" s="70" t="s">
        <v>1152</v>
      </c>
      <c r="AC104" s="70">
        <v>5.1428571428571432</v>
      </c>
      <c r="AD104" s="70">
        <v>5.1428571428571432</v>
      </c>
      <c r="AE104" s="70">
        <v>5.1428571428571432</v>
      </c>
      <c r="AF104" s="70">
        <v>5.1428571428571432</v>
      </c>
      <c r="AG104" s="70">
        <v>5.1428571428571432</v>
      </c>
      <c r="AH104" s="70">
        <v>5.1428571428571432</v>
      </c>
      <c r="AI104" s="70">
        <v>6</v>
      </c>
      <c r="AJ104" s="70" t="s">
        <v>1152</v>
      </c>
      <c r="AK104" s="70">
        <v>6.7569999999999997</v>
      </c>
      <c r="AL104" s="70" t="s">
        <v>1152</v>
      </c>
      <c r="AM104" s="70">
        <v>7.851</v>
      </c>
    </row>
    <row r="105" spans="5:39" x14ac:dyDescent="0.25">
      <c r="E105" s="335"/>
      <c r="F105" s="101" t="s">
        <v>241</v>
      </c>
      <c r="G105" s="70"/>
      <c r="H105" s="70" t="s">
        <v>1152</v>
      </c>
      <c r="I105" s="70" t="s">
        <v>1152</v>
      </c>
      <c r="J105" s="70"/>
      <c r="K105" s="70"/>
      <c r="L105" s="70" t="s">
        <v>1152</v>
      </c>
      <c r="M105" s="70" t="s">
        <v>1152</v>
      </c>
      <c r="N105" s="70" t="s">
        <v>1152</v>
      </c>
      <c r="O105" s="70" t="s">
        <v>1152</v>
      </c>
      <c r="P105" s="70" t="s">
        <v>1152</v>
      </c>
      <c r="Q105" s="70" t="s">
        <v>1152</v>
      </c>
      <c r="R105" s="70" t="s">
        <v>1152</v>
      </c>
      <c r="S105" s="70" t="s">
        <v>1152</v>
      </c>
      <c r="T105" s="70" t="s">
        <v>1152</v>
      </c>
      <c r="U105" s="70" t="s">
        <v>1152</v>
      </c>
      <c r="V105" s="70" t="s">
        <v>1152</v>
      </c>
      <c r="W105" s="70" t="s">
        <v>1152</v>
      </c>
      <c r="X105" s="70" t="s">
        <v>1152</v>
      </c>
      <c r="Y105" s="70" t="s">
        <v>1152</v>
      </c>
      <c r="Z105" s="70" t="s">
        <v>1152</v>
      </c>
      <c r="AA105" s="70" t="s">
        <v>1152</v>
      </c>
      <c r="AB105" s="70" t="s">
        <v>1152</v>
      </c>
      <c r="AC105" s="70">
        <v>5.1428571428571432</v>
      </c>
      <c r="AD105" s="70">
        <v>5.1428571428571432</v>
      </c>
      <c r="AE105" s="70">
        <v>5.1428571428571432</v>
      </c>
      <c r="AF105" s="70">
        <v>5.1428571428571432</v>
      </c>
      <c r="AG105" s="70">
        <v>5.1428571428571432</v>
      </c>
      <c r="AH105" s="70">
        <v>5.1428571428571432</v>
      </c>
      <c r="AI105" s="70" t="s">
        <v>1152</v>
      </c>
      <c r="AJ105" s="70" t="s">
        <v>1152</v>
      </c>
      <c r="AK105" s="70" t="s">
        <v>1152</v>
      </c>
      <c r="AL105" s="70" t="s">
        <v>1152</v>
      </c>
      <c r="AM105" s="70" t="s">
        <v>1152</v>
      </c>
    </row>
    <row r="106" spans="5:39" x14ac:dyDescent="0.25">
      <c r="E106" s="335"/>
      <c r="F106" s="101" t="s">
        <v>242</v>
      </c>
      <c r="G106" s="70"/>
      <c r="H106" s="70" t="s">
        <v>1152</v>
      </c>
      <c r="I106" s="70" t="s">
        <v>1152</v>
      </c>
      <c r="J106" s="70"/>
      <c r="K106" s="70"/>
      <c r="L106" s="70" t="s">
        <v>1152</v>
      </c>
      <c r="M106" s="70" t="s">
        <v>1152</v>
      </c>
      <c r="N106" s="70" t="s">
        <v>1152</v>
      </c>
      <c r="O106" s="70" t="s">
        <v>1152</v>
      </c>
      <c r="P106" s="70" t="s">
        <v>1152</v>
      </c>
      <c r="Q106" s="70" t="s">
        <v>1152</v>
      </c>
      <c r="R106" s="70" t="s">
        <v>1152</v>
      </c>
      <c r="S106" s="70" t="s">
        <v>1152</v>
      </c>
      <c r="T106" s="70" t="s">
        <v>1152</v>
      </c>
      <c r="U106" s="70" t="s">
        <v>1152</v>
      </c>
      <c r="V106" s="70" t="s">
        <v>1152</v>
      </c>
      <c r="W106" s="70" t="s">
        <v>1152</v>
      </c>
      <c r="X106" s="70" t="s">
        <v>1152</v>
      </c>
      <c r="Y106" s="70" t="s">
        <v>1152</v>
      </c>
      <c r="Z106" s="70" t="s">
        <v>1152</v>
      </c>
      <c r="AA106" s="70" t="s">
        <v>1152</v>
      </c>
      <c r="AB106" s="70" t="s">
        <v>1152</v>
      </c>
      <c r="AC106" s="70" t="s">
        <v>1152</v>
      </c>
      <c r="AD106" s="70" t="s">
        <v>1152</v>
      </c>
      <c r="AE106" s="70" t="s">
        <v>1152</v>
      </c>
      <c r="AF106" s="70" t="s">
        <v>1152</v>
      </c>
      <c r="AG106" s="70" t="s">
        <v>1152</v>
      </c>
      <c r="AH106" s="70" t="s">
        <v>1152</v>
      </c>
      <c r="AI106" s="70" t="s">
        <v>1152</v>
      </c>
      <c r="AJ106" s="70" t="s">
        <v>1152</v>
      </c>
      <c r="AK106" s="70" t="s">
        <v>1152</v>
      </c>
      <c r="AL106" s="70" t="s">
        <v>1152</v>
      </c>
      <c r="AM106" s="70" t="s">
        <v>1152</v>
      </c>
    </row>
    <row r="107" spans="5:39" x14ac:dyDescent="0.25">
      <c r="E107" s="335"/>
      <c r="F107" s="101" t="s">
        <v>243</v>
      </c>
      <c r="G107" s="70"/>
      <c r="H107" s="70" t="s">
        <v>1152</v>
      </c>
      <c r="I107" s="70" t="s">
        <v>1152</v>
      </c>
      <c r="J107" s="70"/>
      <c r="K107" s="70"/>
      <c r="L107" s="70" t="s">
        <v>1152</v>
      </c>
      <c r="M107" s="70" t="s">
        <v>1152</v>
      </c>
      <c r="N107" s="70" t="s">
        <v>1152</v>
      </c>
      <c r="O107" s="70" t="s">
        <v>1152</v>
      </c>
      <c r="P107" s="70" t="s">
        <v>1152</v>
      </c>
      <c r="Q107" s="70" t="s">
        <v>1152</v>
      </c>
      <c r="R107" s="70" t="s">
        <v>1152</v>
      </c>
      <c r="S107" s="70" t="s">
        <v>1152</v>
      </c>
      <c r="T107" s="70" t="s">
        <v>1152</v>
      </c>
      <c r="U107" s="70" t="s">
        <v>1152</v>
      </c>
      <c r="V107" s="70" t="s">
        <v>1152</v>
      </c>
      <c r="W107" s="70" t="s">
        <v>1152</v>
      </c>
      <c r="X107" s="70" t="s">
        <v>1152</v>
      </c>
      <c r="Y107" s="70" t="s">
        <v>1152</v>
      </c>
      <c r="Z107" s="70" t="s">
        <v>1152</v>
      </c>
      <c r="AA107" s="70" t="s">
        <v>1152</v>
      </c>
      <c r="AB107" s="70" t="s">
        <v>1152</v>
      </c>
      <c r="AC107" s="70" t="s">
        <v>1152</v>
      </c>
      <c r="AD107" s="70" t="s">
        <v>1152</v>
      </c>
      <c r="AE107" s="70" t="s">
        <v>1152</v>
      </c>
      <c r="AF107" s="70" t="s">
        <v>1152</v>
      </c>
      <c r="AG107" s="70" t="s">
        <v>1152</v>
      </c>
      <c r="AH107" s="70" t="s">
        <v>1152</v>
      </c>
      <c r="AI107" s="70" t="s">
        <v>1152</v>
      </c>
      <c r="AJ107" s="70" t="s">
        <v>1152</v>
      </c>
      <c r="AK107" s="70" t="s">
        <v>1152</v>
      </c>
      <c r="AL107" s="70" t="s">
        <v>1152</v>
      </c>
      <c r="AM107" s="70" t="s">
        <v>1152</v>
      </c>
    </row>
    <row r="108" spans="5:39" x14ac:dyDescent="0.25">
      <c r="E108" s="335"/>
      <c r="F108" s="101" t="s">
        <v>244</v>
      </c>
      <c r="G108" s="70"/>
      <c r="H108" s="70" t="s">
        <v>1152</v>
      </c>
      <c r="I108" s="70" t="s">
        <v>1152</v>
      </c>
      <c r="J108" s="70"/>
      <c r="K108" s="70"/>
      <c r="L108" s="70" t="s">
        <v>1152</v>
      </c>
      <c r="M108" s="70" t="s">
        <v>1152</v>
      </c>
      <c r="N108" s="70" t="s">
        <v>1152</v>
      </c>
      <c r="O108" s="70" t="s">
        <v>1152</v>
      </c>
      <c r="P108" s="70" t="s">
        <v>1152</v>
      </c>
      <c r="Q108" s="70" t="s">
        <v>1152</v>
      </c>
      <c r="R108" s="70" t="s">
        <v>1152</v>
      </c>
      <c r="S108" s="70" t="s">
        <v>1152</v>
      </c>
      <c r="T108" s="70" t="s">
        <v>1152</v>
      </c>
      <c r="U108" s="70" t="s">
        <v>1152</v>
      </c>
      <c r="V108" s="70" t="s">
        <v>1152</v>
      </c>
      <c r="W108" s="70" t="s">
        <v>1152</v>
      </c>
      <c r="X108" s="70" t="s">
        <v>1152</v>
      </c>
      <c r="Y108" s="70" t="s">
        <v>1152</v>
      </c>
      <c r="Z108" s="70" t="s">
        <v>1152</v>
      </c>
      <c r="AA108" s="70" t="s">
        <v>1152</v>
      </c>
      <c r="AB108" s="70" t="s">
        <v>1152</v>
      </c>
      <c r="AC108" s="70" t="s">
        <v>1152</v>
      </c>
      <c r="AD108" s="70" t="s">
        <v>1152</v>
      </c>
      <c r="AE108" s="70" t="s">
        <v>1152</v>
      </c>
      <c r="AF108" s="70" t="s">
        <v>1152</v>
      </c>
      <c r="AG108" s="70" t="s">
        <v>1152</v>
      </c>
      <c r="AH108" s="70" t="s">
        <v>1152</v>
      </c>
      <c r="AI108" s="70" t="s">
        <v>1152</v>
      </c>
      <c r="AJ108" s="70" t="s">
        <v>1152</v>
      </c>
      <c r="AK108" s="70" t="s">
        <v>1152</v>
      </c>
      <c r="AL108" s="70" t="s">
        <v>1152</v>
      </c>
      <c r="AM108" s="70" t="s">
        <v>1152</v>
      </c>
    </row>
    <row r="109" spans="5:39" x14ac:dyDescent="0.25">
      <c r="E109" s="335"/>
      <c r="F109" s="101" t="s">
        <v>245</v>
      </c>
      <c r="G109" s="70"/>
      <c r="H109" s="70" t="s">
        <v>1152</v>
      </c>
      <c r="I109" s="70" t="s">
        <v>1152</v>
      </c>
      <c r="J109" s="70"/>
      <c r="K109" s="70"/>
      <c r="L109" s="70" t="s">
        <v>1152</v>
      </c>
      <c r="M109" s="70" t="s">
        <v>1152</v>
      </c>
      <c r="N109" s="70" t="s">
        <v>1152</v>
      </c>
      <c r="O109" s="70" t="s">
        <v>1152</v>
      </c>
      <c r="P109" s="70" t="s">
        <v>1152</v>
      </c>
      <c r="Q109" s="70" t="s">
        <v>1152</v>
      </c>
      <c r="R109" s="70" t="s">
        <v>1152</v>
      </c>
      <c r="S109" s="70" t="s">
        <v>1152</v>
      </c>
      <c r="T109" s="70" t="s">
        <v>1152</v>
      </c>
      <c r="U109" s="70" t="s">
        <v>1152</v>
      </c>
      <c r="V109" s="70" t="s">
        <v>1152</v>
      </c>
      <c r="W109" s="70" t="s">
        <v>1152</v>
      </c>
      <c r="X109" s="70" t="s">
        <v>1152</v>
      </c>
      <c r="Y109" s="70" t="s">
        <v>1152</v>
      </c>
      <c r="Z109" s="70" t="s">
        <v>1152</v>
      </c>
      <c r="AA109" s="70" t="s">
        <v>1152</v>
      </c>
      <c r="AB109" s="70" t="s">
        <v>1152</v>
      </c>
      <c r="AC109" s="70" t="s">
        <v>1152</v>
      </c>
      <c r="AD109" s="70" t="s">
        <v>1152</v>
      </c>
      <c r="AE109" s="70" t="s">
        <v>1152</v>
      </c>
      <c r="AF109" s="70" t="s">
        <v>1152</v>
      </c>
      <c r="AG109" s="70" t="s">
        <v>1152</v>
      </c>
      <c r="AH109" s="70" t="s">
        <v>1152</v>
      </c>
      <c r="AI109" s="70" t="s">
        <v>1152</v>
      </c>
      <c r="AJ109" s="70" t="s">
        <v>1152</v>
      </c>
      <c r="AK109" s="70" t="s">
        <v>1152</v>
      </c>
      <c r="AL109" s="70" t="s">
        <v>1152</v>
      </c>
      <c r="AM109" s="70" t="s">
        <v>1152</v>
      </c>
    </row>
    <row r="110" spans="5:39" x14ac:dyDescent="0.25">
      <c r="E110" s="335"/>
      <c r="F110" s="101" t="s">
        <v>246</v>
      </c>
      <c r="G110" s="70"/>
      <c r="H110" s="70" t="s">
        <v>1152</v>
      </c>
      <c r="I110" s="70" t="s">
        <v>1152</v>
      </c>
      <c r="J110" s="70"/>
      <c r="K110" s="70"/>
      <c r="L110" s="70" t="s">
        <v>1152</v>
      </c>
      <c r="M110" s="70" t="s">
        <v>1152</v>
      </c>
      <c r="N110" s="70" t="s">
        <v>1152</v>
      </c>
      <c r="O110" s="70" t="s">
        <v>1152</v>
      </c>
      <c r="P110" s="70" t="s">
        <v>1152</v>
      </c>
      <c r="Q110" s="70" t="s">
        <v>1152</v>
      </c>
      <c r="R110" s="70" t="s">
        <v>1152</v>
      </c>
      <c r="S110" s="70" t="s">
        <v>1152</v>
      </c>
      <c r="T110" s="70" t="s">
        <v>1152</v>
      </c>
      <c r="U110" s="70" t="s">
        <v>1152</v>
      </c>
      <c r="V110" s="70" t="s">
        <v>1152</v>
      </c>
      <c r="W110" s="70" t="s">
        <v>1152</v>
      </c>
      <c r="X110" s="70" t="s">
        <v>1152</v>
      </c>
      <c r="Y110" s="70" t="s">
        <v>1152</v>
      </c>
      <c r="Z110" s="70" t="s">
        <v>1152</v>
      </c>
      <c r="AA110" s="70" t="s">
        <v>1152</v>
      </c>
      <c r="AB110" s="70" t="s">
        <v>1152</v>
      </c>
      <c r="AC110" s="70" t="s">
        <v>1152</v>
      </c>
      <c r="AD110" s="70" t="s">
        <v>1152</v>
      </c>
      <c r="AE110" s="70" t="s">
        <v>1152</v>
      </c>
      <c r="AF110" s="70" t="s">
        <v>1152</v>
      </c>
      <c r="AG110" s="70" t="s">
        <v>1152</v>
      </c>
      <c r="AH110" s="70" t="s">
        <v>1152</v>
      </c>
      <c r="AI110" s="70" t="s">
        <v>1152</v>
      </c>
      <c r="AJ110" s="70" t="s">
        <v>1152</v>
      </c>
      <c r="AK110" s="70" t="s">
        <v>1152</v>
      </c>
      <c r="AL110" s="70" t="s">
        <v>1152</v>
      </c>
      <c r="AM110" s="70" t="s">
        <v>1152</v>
      </c>
    </row>
    <row r="111" spans="5:39" x14ac:dyDescent="0.25">
      <c r="E111" s="335"/>
      <c r="F111" s="101" t="s">
        <v>247</v>
      </c>
      <c r="G111" s="70"/>
      <c r="H111" s="70" t="s">
        <v>1152</v>
      </c>
      <c r="I111" s="70" t="s">
        <v>1152</v>
      </c>
      <c r="J111" s="70"/>
      <c r="K111" s="70"/>
      <c r="L111" s="70" t="s">
        <v>1152</v>
      </c>
      <c r="M111" s="70" t="s">
        <v>1152</v>
      </c>
      <c r="N111" s="70" t="s">
        <v>1152</v>
      </c>
      <c r="O111" s="70" t="s">
        <v>1152</v>
      </c>
      <c r="P111" s="70" t="s">
        <v>1152</v>
      </c>
      <c r="Q111" s="70" t="s">
        <v>1152</v>
      </c>
      <c r="R111" s="70" t="s">
        <v>1152</v>
      </c>
      <c r="S111" s="70" t="s">
        <v>1152</v>
      </c>
      <c r="T111" s="70" t="s">
        <v>1152</v>
      </c>
      <c r="U111" s="70" t="s">
        <v>1152</v>
      </c>
      <c r="V111" s="70" t="s">
        <v>1152</v>
      </c>
      <c r="W111" s="70" t="s">
        <v>1152</v>
      </c>
      <c r="X111" s="70" t="s">
        <v>1152</v>
      </c>
      <c r="Y111" s="70" t="s">
        <v>1152</v>
      </c>
      <c r="Z111" s="70" t="s">
        <v>1152</v>
      </c>
      <c r="AA111" s="70" t="s">
        <v>1152</v>
      </c>
      <c r="AB111" s="70" t="s">
        <v>1152</v>
      </c>
      <c r="AC111" s="70" t="s">
        <v>1152</v>
      </c>
      <c r="AD111" s="70" t="s">
        <v>1152</v>
      </c>
      <c r="AE111" s="70" t="s">
        <v>1152</v>
      </c>
      <c r="AF111" s="70" t="s">
        <v>1152</v>
      </c>
      <c r="AG111" s="70" t="s">
        <v>1152</v>
      </c>
      <c r="AH111" s="70" t="s">
        <v>1152</v>
      </c>
      <c r="AI111" s="70" t="s">
        <v>1152</v>
      </c>
      <c r="AJ111" s="70" t="s">
        <v>1152</v>
      </c>
      <c r="AK111" s="70" t="s">
        <v>1152</v>
      </c>
      <c r="AL111" s="70" t="s">
        <v>1152</v>
      </c>
      <c r="AM111" s="70" t="s">
        <v>1152</v>
      </c>
    </row>
    <row r="112" spans="5:39" x14ac:dyDescent="0.25">
      <c r="E112" s="335"/>
      <c r="F112" s="101" t="s">
        <v>248</v>
      </c>
      <c r="G112" s="70"/>
      <c r="H112" s="70" t="s">
        <v>1152</v>
      </c>
      <c r="I112" s="70" t="s">
        <v>1152</v>
      </c>
      <c r="J112" s="70"/>
      <c r="K112" s="70"/>
      <c r="L112" s="70" t="s">
        <v>1152</v>
      </c>
      <c r="M112" s="70" t="s">
        <v>1152</v>
      </c>
      <c r="N112" s="70" t="s">
        <v>1152</v>
      </c>
      <c r="O112" s="70" t="s">
        <v>1152</v>
      </c>
      <c r="P112" s="70" t="s">
        <v>1152</v>
      </c>
      <c r="Q112" s="70" t="s">
        <v>1152</v>
      </c>
      <c r="R112" s="70" t="s">
        <v>1152</v>
      </c>
      <c r="S112" s="70" t="s">
        <v>1152</v>
      </c>
      <c r="T112" s="70" t="s">
        <v>1152</v>
      </c>
      <c r="U112" s="70" t="s">
        <v>1152</v>
      </c>
      <c r="V112" s="70" t="s">
        <v>1152</v>
      </c>
      <c r="W112" s="70" t="s">
        <v>1152</v>
      </c>
      <c r="X112" s="70" t="s">
        <v>1152</v>
      </c>
      <c r="Y112" s="70" t="s">
        <v>1152</v>
      </c>
      <c r="Z112" s="70" t="s">
        <v>1152</v>
      </c>
      <c r="AA112" s="70" t="s">
        <v>1152</v>
      </c>
      <c r="AB112" s="70" t="s">
        <v>1152</v>
      </c>
      <c r="AC112" s="70" t="s">
        <v>1152</v>
      </c>
      <c r="AD112" s="70" t="s">
        <v>1152</v>
      </c>
      <c r="AE112" s="70" t="s">
        <v>1152</v>
      </c>
      <c r="AF112" s="70" t="s">
        <v>1152</v>
      </c>
      <c r="AG112" s="70" t="s">
        <v>1152</v>
      </c>
      <c r="AH112" s="70" t="s">
        <v>1152</v>
      </c>
      <c r="AI112" s="70" t="s">
        <v>1152</v>
      </c>
      <c r="AJ112" s="70" t="s">
        <v>1152</v>
      </c>
      <c r="AK112" s="70" t="s">
        <v>1152</v>
      </c>
      <c r="AL112" s="70" t="s">
        <v>1152</v>
      </c>
      <c r="AM112" s="70" t="s">
        <v>1152</v>
      </c>
    </row>
    <row r="113" spans="5:39" x14ac:dyDescent="0.25">
      <c r="E113" s="335"/>
      <c r="F113" s="101" t="s">
        <v>249</v>
      </c>
      <c r="G113" s="70"/>
      <c r="H113" s="70" t="s">
        <v>1152</v>
      </c>
      <c r="I113" s="70" t="s">
        <v>1152</v>
      </c>
      <c r="J113" s="70"/>
      <c r="K113" s="70"/>
      <c r="L113" s="70" t="s">
        <v>1152</v>
      </c>
      <c r="M113" s="70" t="s">
        <v>1152</v>
      </c>
      <c r="N113" s="70" t="s">
        <v>1152</v>
      </c>
      <c r="O113" s="70" t="s">
        <v>1152</v>
      </c>
      <c r="P113" s="70" t="s">
        <v>1152</v>
      </c>
      <c r="Q113" s="70" t="s">
        <v>1152</v>
      </c>
      <c r="R113" s="70" t="s">
        <v>1152</v>
      </c>
      <c r="S113" s="70" t="s">
        <v>1152</v>
      </c>
      <c r="T113" s="70" t="s">
        <v>1152</v>
      </c>
      <c r="U113" s="70" t="s">
        <v>1152</v>
      </c>
      <c r="V113" s="70" t="s">
        <v>1152</v>
      </c>
      <c r="W113" s="70" t="s">
        <v>1152</v>
      </c>
      <c r="X113" s="70" t="s">
        <v>1152</v>
      </c>
      <c r="Y113" s="70" t="s">
        <v>1152</v>
      </c>
      <c r="Z113" s="70" t="s">
        <v>1152</v>
      </c>
      <c r="AA113" s="70" t="s">
        <v>1152</v>
      </c>
      <c r="AB113" s="70" t="s">
        <v>1152</v>
      </c>
      <c r="AC113" s="70" t="s">
        <v>1152</v>
      </c>
      <c r="AD113" s="70" t="s">
        <v>1152</v>
      </c>
      <c r="AE113" s="70" t="s">
        <v>1152</v>
      </c>
      <c r="AF113" s="70" t="s">
        <v>1152</v>
      </c>
      <c r="AG113" s="70" t="s">
        <v>1152</v>
      </c>
      <c r="AH113" s="70" t="s">
        <v>1152</v>
      </c>
      <c r="AI113" s="70" t="s">
        <v>1152</v>
      </c>
      <c r="AJ113" s="70" t="s">
        <v>1152</v>
      </c>
      <c r="AK113" s="70" t="s">
        <v>1152</v>
      </c>
      <c r="AL113" s="70" t="s">
        <v>1152</v>
      </c>
      <c r="AM113" s="70" t="s">
        <v>1152</v>
      </c>
    </row>
    <row r="114" spans="5:39" x14ac:dyDescent="0.25">
      <c r="E114" s="335"/>
      <c r="F114" s="101" t="s">
        <v>250</v>
      </c>
      <c r="G114" s="70"/>
      <c r="H114" s="70" t="s">
        <v>1152</v>
      </c>
      <c r="I114" s="70" t="s">
        <v>1152</v>
      </c>
      <c r="J114" s="70"/>
      <c r="K114" s="70"/>
      <c r="L114" s="70" t="s">
        <v>1152</v>
      </c>
      <c r="M114" s="70" t="s">
        <v>1152</v>
      </c>
      <c r="N114" s="70" t="s">
        <v>1152</v>
      </c>
      <c r="O114" s="70" t="s">
        <v>1152</v>
      </c>
      <c r="P114" s="70" t="s">
        <v>1152</v>
      </c>
      <c r="Q114" s="70" t="s">
        <v>1152</v>
      </c>
      <c r="R114" s="70" t="s">
        <v>1152</v>
      </c>
      <c r="S114" s="70" t="s">
        <v>1152</v>
      </c>
      <c r="T114" s="70" t="s">
        <v>1152</v>
      </c>
      <c r="U114" s="70" t="s">
        <v>1152</v>
      </c>
      <c r="V114" s="70" t="s">
        <v>1152</v>
      </c>
      <c r="W114" s="70" t="s">
        <v>1152</v>
      </c>
      <c r="X114" s="70" t="s">
        <v>1152</v>
      </c>
      <c r="Y114" s="70" t="s">
        <v>1152</v>
      </c>
      <c r="Z114" s="70" t="s">
        <v>1152</v>
      </c>
      <c r="AA114" s="70" t="s">
        <v>1152</v>
      </c>
      <c r="AB114" s="70" t="s">
        <v>1152</v>
      </c>
      <c r="AC114" s="70" t="s">
        <v>1152</v>
      </c>
      <c r="AD114" s="70" t="s">
        <v>1152</v>
      </c>
      <c r="AE114" s="70" t="s">
        <v>1152</v>
      </c>
      <c r="AF114" s="70" t="s">
        <v>1152</v>
      </c>
      <c r="AG114" s="70" t="s">
        <v>1152</v>
      </c>
      <c r="AH114" s="70" t="s">
        <v>1152</v>
      </c>
      <c r="AI114" s="70" t="s">
        <v>1152</v>
      </c>
      <c r="AJ114" s="70" t="s">
        <v>1152</v>
      </c>
      <c r="AK114" s="70" t="s">
        <v>1152</v>
      </c>
      <c r="AL114" s="70" t="s">
        <v>1152</v>
      </c>
      <c r="AM114" s="70" t="s">
        <v>1152</v>
      </c>
    </row>
    <row r="115" spans="5:39" x14ac:dyDescent="0.25">
      <c r="E115" s="335"/>
      <c r="F115" s="101" t="s">
        <v>251</v>
      </c>
      <c r="G115" s="70"/>
      <c r="H115" s="70" t="s">
        <v>1152</v>
      </c>
      <c r="I115" s="70" t="s">
        <v>1152</v>
      </c>
      <c r="J115" s="70"/>
      <c r="K115" s="70"/>
      <c r="L115" s="70" t="s">
        <v>1152</v>
      </c>
      <c r="M115" s="70" t="s">
        <v>1152</v>
      </c>
      <c r="N115" s="70" t="s">
        <v>1152</v>
      </c>
      <c r="O115" s="70" t="s">
        <v>1152</v>
      </c>
      <c r="P115" s="70" t="s">
        <v>1152</v>
      </c>
      <c r="Q115" s="70" t="s">
        <v>1152</v>
      </c>
      <c r="R115" s="70" t="s">
        <v>1152</v>
      </c>
      <c r="S115" s="70" t="s">
        <v>1152</v>
      </c>
      <c r="T115" s="70" t="s">
        <v>1152</v>
      </c>
      <c r="U115" s="70" t="s">
        <v>1152</v>
      </c>
      <c r="V115" s="70" t="s">
        <v>1152</v>
      </c>
      <c r="W115" s="70" t="s">
        <v>1152</v>
      </c>
      <c r="X115" s="70" t="s">
        <v>1152</v>
      </c>
      <c r="Y115" s="70" t="s">
        <v>1152</v>
      </c>
      <c r="Z115" s="70" t="s">
        <v>1152</v>
      </c>
      <c r="AA115" s="70" t="s">
        <v>1152</v>
      </c>
      <c r="AB115" s="70" t="s">
        <v>1152</v>
      </c>
      <c r="AC115" s="70" t="s">
        <v>1152</v>
      </c>
      <c r="AD115" s="70" t="s">
        <v>1152</v>
      </c>
      <c r="AE115" s="70" t="s">
        <v>1152</v>
      </c>
      <c r="AF115" s="70" t="s">
        <v>1152</v>
      </c>
      <c r="AG115" s="70" t="s">
        <v>1152</v>
      </c>
      <c r="AH115" s="70" t="s">
        <v>1152</v>
      </c>
      <c r="AI115" s="70" t="s">
        <v>1152</v>
      </c>
      <c r="AJ115" s="70" t="s">
        <v>1152</v>
      </c>
      <c r="AK115" s="70" t="s">
        <v>1152</v>
      </c>
      <c r="AL115" s="70" t="s">
        <v>1152</v>
      </c>
      <c r="AM115" s="70" t="s">
        <v>1152</v>
      </c>
    </row>
    <row r="116" spans="5:39" x14ac:dyDescent="0.25">
      <c r="E116" s="335"/>
      <c r="F116" s="101" t="s">
        <v>252</v>
      </c>
      <c r="G116" s="70"/>
      <c r="H116" s="70" t="s">
        <v>1152</v>
      </c>
      <c r="I116" s="70" t="s">
        <v>1152</v>
      </c>
      <c r="J116" s="70"/>
      <c r="K116" s="70"/>
      <c r="L116" s="70" t="s">
        <v>1152</v>
      </c>
      <c r="M116" s="70" t="s">
        <v>1152</v>
      </c>
      <c r="N116" s="70" t="s">
        <v>1152</v>
      </c>
      <c r="O116" s="70" t="s">
        <v>1152</v>
      </c>
      <c r="P116" s="70" t="s">
        <v>1152</v>
      </c>
      <c r="Q116" s="70" t="s">
        <v>1152</v>
      </c>
      <c r="R116" s="70" t="s">
        <v>1152</v>
      </c>
      <c r="S116" s="70" t="s">
        <v>1152</v>
      </c>
      <c r="T116" s="70" t="s">
        <v>1152</v>
      </c>
      <c r="U116" s="70" t="s">
        <v>1152</v>
      </c>
      <c r="V116" s="70" t="s">
        <v>1152</v>
      </c>
      <c r="W116" s="70" t="s">
        <v>1152</v>
      </c>
      <c r="X116" s="70" t="s">
        <v>1152</v>
      </c>
      <c r="Y116" s="70" t="s">
        <v>1152</v>
      </c>
      <c r="Z116" s="70" t="s">
        <v>1152</v>
      </c>
      <c r="AA116" s="70" t="s">
        <v>1152</v>
      </c>
      <c r="AB116" s="70" t="s">
        <v>1152</v>
      </c>
      <c r="AC116" s="70" t="s">
        <v>1152</v>
      </c>
      <c r="AD116" s="70" t="s">
        <v>1152</v>
      </c>
      <c r="AE116" s="70" t="s">
        <v>1152</v>
      </c>
      <c r="AF116" s="70" t="s">
        <v>1152</v>
      </c>
      <c r="AG116" s="70" t="s">
        <v>1152</v>
      </c>
      <c r="AH116" s="70" t="s">
        <v>1152</v>
      </c>
      <c r="AI116" s="70" t="s">
        <v>1152</v>
      </c>
      <c r="AJ116" s="70" t="s">
        <v>1152</v>
      </c>
      <c r="AK116" s="70" t="s">
        <v>1152</v>
      </c>
      <c r="AL116" s="70" t="s">
        <v>1152</v>
      </c>
      <c r="AM116" s="70" t="s">
        <v>1152</v>
      </c>
    </row>
    <row r="117" spans="5:39" ht="15.75" thickBot="1" x14ac:dyDescent="0.3">
      <c r="E117" s="336"/>
      <c r="F117" s="102" t="s">
        <v>253</v>
      </c>
      <c r="G117" s="70"/>
      <c r="H117" s="70" t="s">
        <v>1152</v>
      </c>
      <c r="I117" s="70" t="s">
        <v>1152</v>
      </c>
      <c r="J117" s="70"/>
      <c r="K117" s="70"/>
      <c r="L117" s="70" t="s">
        <v>1152</v>
      </c>
      <c r="M117" s="70" t="s">
        <v>1152</v>
      </c>
      <c r="N117" s="70" t="s">
        <v>1152</v>
      </c>
      <c r="O117" s="70" t="s">
        <v>1152</v>
      </c>
      <c r="P117" s="70" t="s">
        <v>1152</v>
      </c>
      <c r="Q117" s="70" t="s">
        <v>1152</v>
      </c>
      <c r="R117" s="70" t="s">
        <v>1152</v>
      </c>
      <c r="S117" s="70" t="s">
        <v>1152</v>
      </c>
      <c r="T117" s="70" t="s">
        <v>1152</v>
      </c>
      <c r="U117" s="70" t="s">
        <v>1152</v>
      </c>
      <c r="V117" s="70" t="s">
        <v>1152</v>
      </c>
      <c r="W117" s="70" t="s">
        <v>1152</v>
      </c>
      <c r="X117" s="70" t="s">
        <v>1152</v>
      </c>
      <c r="Y117" s="70" t="s">
        <v>1152</v>
      </c>
      <c r="Z117" s="70" t="s">
        <v>1152</v>
      </c>
      <c r="AA117" s="70" t="s">
        <v>1152</v>
      </c>
      <c r="AB117" s="70" t="s">
        <v>1152</v>
      </c>
      <c r="AC117" s="70" t="s">
        <v>1152</v>
      </c>
      <c r="AD117" s="70" t="s">
        <v>1152</v>
      </c>
      <c r="AE117" s="70" t="s">
        <v>1152</v>
      </c>
      <c r="AF117" s="70" t="s">
        <v>1152</v>
      </c>
      <c r="AG117" s="70" t="s">
        <v>1152</v>
      </c>
      <c r="AH117" s="70" t="s">
        <v>1152</v>
      </c>
      <c r="AI117" s="70" t="s">
        <v>1152</v>
      </c>
      <c r="AJ117" s="70" t="s">
        <v>1152</v>
      </c>
      <c r="AK117" s="70" t="s">
        <v>1152</v>
      </c>
      <c r="AL117" s="70" t="s">
        <v>1152</v>
      </c>
      <c r="AM117" s="70" t="s">
        <v>1152</v>
      </c>
    </row>
    <row r="118" spans="5:39" x14ac:dyDescent="0.25">
      <c r="E118" s="334" t="s">
        <v>179</v>
      </c>
      <c r="F118" s="100" t="s">
        <v>181</v>
      </c>
      <c r="G118" s="70">
        <v>5</v>
      </c>
      <c r="H118" s="70">
        <v>5</v>
      </c>
      <c r="I118" s="70">
        <v>5</v>
      </c>
      <c r="J118" s="70">
        <v>5</v>
      </c>
      <c r="K118" s="70">
        <v>5</v>
      </c>
      <c r="L118" s="70">
        <v>5</v>
      </c>
      <c r="M118" s="70">
        <v>5</v>
      </c>
      <c r="N118" s="70">
        <v>5</v>
      </c>
      <c r="O118" s="70">
        <v>6</v>
      </c>
      <c r="P118" s="70">
        <v>6</v>
      </c>
      <c r="Q118" s="70">
        <v>8</v>
      </c>
      <c r="R118" s="70">
        <v>5</v>
      </c>
      <c r="S118" s="70">
        <v>5</v>
      </c>
      <c r="T118" s="70">
        <v>5</v>
      </c>
      <c r="U118" s="70">
        <v>5</v>
      </c>
      <c r="V118" s="70">
        <v>5</v>
      </c>
      <c r="W118" s="70">
        <v>5</v>
      </c>
      <c r="X118" s="70">
        <v>5</v>
      </c>
      <c r="Y118" s="70">
        <v>6</v>
      </c>
      <c r="Z118" s="70">
        <v>5</v>
      </c>
      <c r="AA118" s="70">
        <v>5</v>
      </c>
      <c r="AB118" s="70">
        <v>5</v>
      </c>
      <c r="AC118" s="70">
        <v>5</v>
      </c>
      <c r="AD118" s="70">
        <v>5</v>
      </c>
      <c r="AE118" s="70">
        <v>5</v>
      </c>
      <c r="AF118" s="70">
        <v>5</v>
      </c>
      <c r="AG118" s="70">
        <v>5</v>
      </c>
      <c r="AH118" s="70">
        <v>6</v>
      </c>
      <c r="AI118" s="70">
        <v>5</v>
      </c>
      <c r="AJ118" s="70">
        <v>5</v>
      </c>
      <c r="AK118" s="70">
        <v>6</v>
      </c>
      <c r="AL118" s="70">
        <v>7</v>
      </c>
      <c r="AM118" s="70">
        <v>8</v>
      </c>
    </row>
    <row r="119" spans="5:39" x14ac:dyDescent="0.25">
      <c r="E119" s="335"/>
      <c r="F119" s="101" t="s">
        <v>177</v>
      </c>
      <c r="G119" s="70">
        <v>2</v>
      </c>
      <c r="H119" s="70">
        <v>2</v>
      </c>
      <c r="I119" s="70">
        <v>2</v>
      </c>
      <c r="J119" s="70">
        <v>3</v>
      </c>
      <c r="K119" s="70">
        <v>2</v>
      </c>
      <c r="L119" s="70">
        <v>2</v>
      </c>
      <c r="M119" s="70">
        <v>2</v>
      </c>
      <c r="N119" s="70">
        <v>2</v>
      </c>
      <c r="O119" s="70">
        <v>2.8333333333333335</v>
      </c>
      <c r="P119" s="70">
        <v>2.8333333333333335</v>
      </c>
      <c r="Q119" s="70">
        <v>2.8333333333333335</v>
      </c>
      <c r="R119" s="70">
        <v>2.8333333333333335</v>
      </c>
      <c r="S119" s="70">
        <v>2.8333333333333335</v>
      </c>
      <c r="T119" s="70">
        <v>2.8333333333333335</v>
      </c>
      <c r="U119" s="70">
        <v>2.8333333333333335</v>
      </c>
      <c r="V119" s="70">
        <v>2.8333333333333335</v>
      </c>
      <c r="W119" s="70">
        <v>2.8333333333333335</v>
      </c>
      <c r="X119" s="70">
        <v>2.8333333333333335</v>
      </c>
      <c r="Y119" s="70">
        <v>2.8333333333333335</v>
      </c>
      <c r="Z119" s="70">
        <v>2.8333333333333335</v>
      </c>
      <c r="AA119" s="70">
        <v>2.8333333333333335</v>
      </c>
      <c r="AB119" s="70">
        <v>2.8333333333333335</v>
      </c>
      <c r="AC119" s="70">
        <v>2.8333333333333335</v>
      </c>
      <c r="AD119" s="70">
        <v>2.8333333333333335</v>
      </c>
      <c r="AE119" s="70">
        <v>2.8333333333333335</v>
      </c>
      <c r="AF119" s="70">
        <v>2.8333333333333335</v>
      </c>
      <c r="AG119" s="70">
        <v>2.8333333333333335</v>
      </c>
      <c r="AH119" s="70">
        <v>2.8333333333333335</v>
      </c>
      <c r="AI119" s="70">
        <v>2.8333333333333335</v>
      </c>
      <c r="AJ119" s="70">
        <v>2.8333333333333335</v>
      </c>
      <c r="AK119" s="70">
        <v>2.8333333333333335</v>
      </c>
      <c r="AL119" s="70">
        <v>2.8333333333333335</v>
      </c>
      <c r="AM119" s="70">
        <v>2.8333333333333335</v>
      </c>
    </row>
    <row r="120" spans="5:39" x14ac:dyDescent="0.25">
      <c r="E120" s="335"/>
      <c r="F120" s="101" t="s">
        <v>178</v>
      </c>
      <c r="G120" s="70">
        <v>8.5</v>
      </c>
      <c r="H120" s="70">
        <v>8.5</v>
      </c>
      <c r="I120" s="70">
        <v>8.5</v>
      </c>
      <c r="J120" s="70">
        <v>8.5</v>
      </c>
      <c r="K120" s="70">
        <v>8.5</v>
      </c>
      <c r="L120" s="70">
        <v>8.5</v>
      </c>
      <c r="M120" s="70">
        <v>8.5</v>
      </c>
      <c r="N120" s="70">
        <v>8.5</v>
      </c>
      <c r="O120" s="70">
        <v>7.2</v>
      </c>
      <c r="P120" s="70">
        <v>7.2</v>
      </c>
      <c r="Q120" s="70">
        <v>5.1428571428571432</v>
      </c>
      <c r="R120" s="70">
        <v>9</v>
      </c>
      <c r="S120" s="70">
        <v>9</v>
      </c>
      <c r="T120" s="70">
        <v>9</v>
      </c>
      <c r="U120" s="70">
        <v>9</v>
      </c>
      <c r="V120" s="70">
        <v>9</v>
      </c>
      <c r="W120" s="70">
        <v>9</v>
      </c>
      <c r="X120" s="70">
        <v>9</v>
      </c>
      <c r="Y120" s="70">
        <v>7.2</v>
      </c>
      <c r="Z120" s="70">
        <v>9</v>
      </c>
      <c r="AA120" s="70">
        <v>9</v>
      </c>
      <c r="AB120" s="70">
        <v>9</v>
      </c>
      <c r="AC120" s="70">
        <v>9</v>
      </c>
      <c r="AD120" s="70">
        <v>9</v>
      </c>
      <c r="AE120" s="70">
        <v>9</v>
      </c>
      <c r="AF120" s="70">
        <v>9</v>
      </c>
      <c r="AG120" s="70">
        <v>9</v>
      </c>
      <c r="AH120" s="70">
        <v>7.2</v>
      </c>
      <c r="AI120" s="70">
        <v>9</v>
      </c>
      <c r="AJ120" s="70">
        <v>9</v>
      </c>
      <c r="AK120" s="70">
        <v>8.5</v>
      </c>
      <c r="AL120" s="70">
        <v>8.5</v>
      </c>
      <c r="AM120" s="70">
        <v>8.5</v>
      </c>
    </row>
    <row r="121" spans="5:39" x14ac:dyDescent="0.25">
      <c r="E121" s="335"/>
      <c r="F121" s="101" t="s">
        <v>236</v>
      </c>
      <c r="G121" s="70">
        <v>8.5</v>
      </c>
      <c r="H121" s="70">
        <v>8.5</v>
      </c>
      <c r="I121" s="70">
        <v>8.5</v>
      </c>
      <c r="J121" s="70">
        <v>8.5</v>
      </c>
      <c r="K121" s="70">
        <v>8.5</v>
      </c>
      <c r="L121" s="70">
        <v>8.5</v>
      </c>
      <c r="M121" s="70">
        <v>8.5</v>
      </c>
      <c r="N121" s="70">
        <v>8.5</v>
      </c>
      <c r="O121" s="70">
        <v>7.2</v>
      </c>
      <c r="P121" s="70">
        <v>7.2</v>
      </c>
      <c r="Q121" s="70">
        <v>5.1428571428571432</v>
      </c>
      <c r="R121" s="70">
        <v>9</v>
      </c>
      <c r="S121" s="70">
        <v>9</v>
      </c>
      <c r="T121" s="70">
        <v>9</v>
      </c>
      <c r="U121" s="70">
        <v>9</v>
      </c>
      <c r="V121" s="70">
        <v>9</v>
      </c>
      <c r="W121" s="70">
        <v>9</v>
      </c>
      <c r="X121" s="70">
        <v>9</v>
      </c>
      <c r="Y121" s="70">
        <v>7.2</v>
      </c>
      <c r="Z121" s="70">
        <v>9</v>
      </c>
      <c r="AA121" s="70">
        <v>9</v>
      </c>
      <c r="AB121" s="70">
        <v>9</v>
      </c>
      <c r="AC121" s="70">
        <v>9</v>
      </c>
      <c r="AD121" s="70">
        <v>9</v>
      </c>
      <c r="AE121" s="70">
        <v>9</v>
      </c>
      <c r="AF121" s="70">
        <v>9</v>
      </c>
      <c r="AG121" s="70">
        <v>9</v>
      </c>
      <c r="AH121" s="70">
        <v>7.2</v>
      </c>
      <c r="AI121" s="70">
        <v>9</v>
      </c>
      <c r="AJ121" s="70">
        <v>9</v>
      </c>
      <c r="AK121" s="70">
        <v>8.5</v>
      </c>
      <c r="AL121" s="70">
        <v>8.5</v>
      </c>
      <c r="AM121" s="70">
        <v>8.5</v>
      </c>
    </row>
    <row r="122" spans="5:39" x14ac:dyDescent="0.25">
      <c r="E122" s="335"/>
      <c r="F122" s="101" t="s">
        <v>237</v>
      </c>
      <c r="G122" s="70">
        <v>8.5</v>
      </c>
      <c r="H122" s="70">
        <v>8.5</v>
      </c>
      <c r="I122" s="70">
        <v>8.5</v>
      </c>
      <c r="J122" s="70">
        <v>8.5</v>
      </c>
      <c r="K122" s="70">
        <v>8.5</v>
      </c>
      <c r="L122" s="70">
        <v>8.5</v>
      </c>
      <c r="M122" s="70">
        <v>8.5</v>
      </c>
      <c r="N122" s="70">
        <v>8.5</v>
      </c>
      <c r="O122" s="70">
        <v>7.2</v>
      </c>
      <c r="P122" s="70">
        <v>7.2</v>
      </c>
      <c r="Q122" s="70">
        <v>5.1428571428571432</v>
      </c>
      <c r="R122" s="70">
        <v>9</v>
      </c>
      <c r="S122" s="70">
        <v>9</v>
      </c>
      <c r="T122" s="70">
        <v>9</v>
      </c>
      <c r="U122" s="70">
        <v>9</v>
      </c>
      <c r="V122" s="70">
        <v>9</v>
      </c>
      <c r="W122" s="70">
        <v>9</v>
      </c>
      <c r="X122" s="70">
        <v>9</v>
      </c>
      <c r="Y122" s="70">
        <v>7.2</v>
      </c>
      <c r="Z122" s="70">
        <v>9</v>
      </c>
      <c r="AA122" s="70">
        <v>9</v>
      </c>
      <c r="AB122" s="70">
        <v>9</v>
      </c>
      <c r="AC122" s="70">
        <v>9</v>
      </c>
      <c r="AD122" s="70">
        <v>9</v>
      </c>
      <c r="AE122" s="70">
        <v>9</v>
      </c>
      <c r="AF122" s="70">
        <v>9</v>
      </c>
      <c r="AG122" s="70">
        <v>9</v>
      </c>
      <c r="AH122" s="70">
        <v>7.2</v>
      </c>
      <c r="AI122" s="70">
        <v>9</v>
      </c>
      <c r="AJ122" s="70">
        <v>9</v>
      </c>
      <c r="AK122" s="70">
        <v>8.5</v>
      </c>
      <c r="AL122" s="70">
        <v>8.5</v>
      </c>
      <c r="AM122" s="70">
        <v>8.5</v>
      </c>
    </row>
    <row r="123" spans="5:39" x14ac:dyDescent="0.25">
      <c r="E123" s="335"/>
      <c r="F123" s="101" t="s">
        <v>238</v>
      </c>
      <c r="G123" s="70">
        <v>8.5</v>
      </c>
      <c r="H123" s="70">
        <v>8.5</v>
      </c>
      <c r="I123" s="70">
        <v>8.5</v>
      </c>
      <c r="J123" s="70">
        <v>8.5</v>
      </c>
      <c r="K123" s="70">
        <v>8.5</v>
      </c>
      <c r="L123" s="70">
        <v>8.5</v>
      </c>
      <c r="M123" s="70">
        <v>8.5</v>
      </c>
      <c r="N123" s="70">
        <v>8.5</v>
      </c>
      <c r="O123" s="70">
        <v>7.2</v>
      </c>
      <c r="P123" s="70">
        <v>7.2</v>
      </c>
      <c r="Q123" s="70">
        <v>5.1428571428571432</v>
      </c>
      <c r="R123" s="70">
        <v>9</v>
      </c>
      <c r="S123" s="70">
        <v>9</v>
      </c>
      <c r="T123" s="70">
        <v>9</v>
      </c>
      <c r="U123" s="70">
        <v>9</v>
      </c>
      <c r="V123" s="70">
        <v>9</v>
      </c>
      <c r="W123" s="70">
        <v>9</v>
      </c>
      <c r="X123" s="70">
        <v>9</v>
      </c>
      <c r="Y123" s="70">
        <v>7.2</v>
      </c>
      <c r="Z123" s="70">
        <v>9</v>
      </c>
      <c r="AA123" s="70">
        <v>9</v>
      </c>
      <c r="AB123" s="70">
        <v>9</v>
      </c>
      <c r="AC123" s="70">
        <v>9</v>
      </c>
      <c r="AD123" s="70">
        <v>9</v>
      </c>
      <c r="AE123" s="70">
        <v>9</v>
      </c>
      <c r="AF123" s="70">
        <v>9</v>
      </c>
      <c r="AG123" s="70">
        <v>9</v>
      </c>
      <c r="AH123" s="70">
        <v>7.2</v>
      </c>
      <c r="AI123" s="70">
        <v>9</v>
      </c>
      <c r="AJ123" s="70">
        <v>9</v>
      </c>
      <c r="AK123" s="70">
        <v>8.5</v>
      </c>
      <c r="AL123" s="70">
        <v>8.5</v>
      </c>
      <c r="AM123" s="70">
        <v>8.5</v>
      </c>
    </row>
    <row r="124" spans="5:39" x14ac:dyDescent="0.25">
      <c r="E124" s="335"/>
      <c r="F124" s="101" t="s">
        <v>239</v>
      </c>
      <c r="G124" s="70"/>
      <c r="H124" s="70" t="s">
        <v>1152</v>
      </c>
      <c r="I124" s="70" t="s">
        <v>1152</v>
      </c>
      <c r="J124" s="70"/>
      <c r="K124" s="70"/>
      <c r="L124" s="70" t="s">
        <v>1152</v>
      </c>
      <c r="M124" s="70" t="s">
        <v>1152</v>
      </c>
      <c r="N124" s="70" t="s">
        <v>1152</v>
      </c>
      <c r="O124" s="70">
        <v>7.2</v>
      </c>
      <c r="P124" s="70">
        <v>7.2</v>
      </c>
      <c r="Q124" s="70">
        <v>5.1428571428571432</v>
      </c>
      <c r="R124" s="70" t="s">
        <v>1152</v>
      </c>
      <c r="S124" s="70" t="s">
        <v>1152</v>
      </c>
      <c r="T124" s="70" t="s">
        <v>1152</v>
      </c>
      <c r="U124" s="70" t="s">
        <v>1152</v>
      </c>
      <c r="V124" s="70" t="s">
        <v>1152</v>
      </c>
      <c r="W124" s="70" t="s">
        <v>1152</v>
      </c>
      <c r="X124" s="70" t="s">
        <v>1152</v>
      </c>
      <c r="Y124" s="70">
        <v>7.2</v>
      </c>
      <c r="Z124" s="70" t="s">
        <v>1152</v>
      </c>
      <c r="AA124" s="70" t="s">
        <v>1152</v>
      </c>
      <c r="AB124" s="70" t="s">
        <v>1152</v>
      </c>
      <c r="AC124" s="70" t="s">
        <v>1152</v>
      </c>
      <c r="AD124" s="70" t="s">
        <v>1152</v>
      </c>
      <c r="AE124" s="70" t="s">
        <v>1152</v>
      </c>
      <c r="AF124" s="70" t="s">
        <v>1152</v>
      </c>
      <c r="AG124" s="70" t="s">
        <v>1152</v>
      </c>
      <c r="AH124" s="70">
        <v>7.2</v>
      </c>
      <c r="AI124" s="70" t="s">
        <v>1152</v>
      </c>
      <c r="AJ124" s="70" t="s">
        <v>1152</v>
      </c>
      <c r="AK124" s="70">
        <v>3.5139999999999998</v>
      </c>
      <c r="AL124" s="70">
        <v>4.2279999999999998</v>
      </c>
      <c r="AM124" s="70">
        <v>8.5</v>
      </c>
    </row>
    <row r="125" spans="5:39" x14ac:dyDescent="0.25">
      <c r="E125" s="335"/>
      <c r="F125" s="101" t="s">
        <v>240</v>
      </c>
      <c r="G125" s="70"/>
      <c r="H125" s="70" t="s">
        <v>1152</v>
      </c>
      <c r="I125" s="70" t="s">
        <v>1152</v>
      </c>
      <c r="J125" s="70"/>
      <c r="K125" s="70"/>
      <c r="L125" s="70" t="s">
        <v>1152</v>
      </c>
      <c r="M125" s="70" t="s">
        <v>1152</v>
      </c>
      <c r="N125" s="70" t="s">
        <v>1152</v>
      </c>
      <c r="O125" s="70" t="s">
        <v>1152</v>
      </c>
      <c r="P125" s="70" t="s">
        <v>1152</v>
      </c>
      <c r="Q125" s="70">
        <v>5.1428571428571432</v>
      </c>
      <c r="R125" s="70" t="s">
        <v>1152</v>
      </c>
      <c r="S125" s="70" t="s">
        <v>1152</v>
      </c>
      <c r="T125" s="70" t="s">
        <v>1152</v>
      </c>
      <c r="U125" s="70" t="s">
        <v>1152</v>
      </c>
      <c r="V125" s="70" t="s">
        <v>1152</v>
      </c>
      <c r="W125" s="70" t="s">
        <v>1152</v>
      </c>
      <c r="X125" s="70" t="s">
        <v>1152</v>
      </c>
      <c r="Y125" s="70" t="s">
        <v>1152</v>
      </c>
      <c r="Z125" s="70" t="s">
        <v>1152</v>
      </c>
      <c r="AA125" s="70" t="s">
        <v>1152</v>
      </c>
      <c r="AB125" s="70" t="s">
        <v>1152</v>
      </c>
      <c r="AC125" s="70" t="s">
        <v>1152</v>
      </c>
      <c r="AD125" s="70" t="s">
        <v>1152</v>
      </c>
      <c r="AE125" s="70" t="s">
        <v>1152</v>
      </c>
      <c r="AF125" s="70" t="s">
        <v>1152</v>
      </c>
      <c r="AG125" s="70" t="s">
        <v>1152</v>
      </c>
      <c r="AH125" s="70" t="s">
        <v>1152</v>
      </c>
      <c r="AI125" s="70" t="s">
        <v>1152</v>
      </c>
      <c r="AJ125" s="70" t="s">
        <v>1152</v>
      </c>
      <c r="AK125" s="70" t="s">
        <v>1152</v>
      </c>
      <c r="AL125" s="70">
        <v>4.2279999999999998</v>
      </c>
      <c r="AM125" s="70">
        <v>3.601</v>
      </c>
    </row>
    <row r="126" spans="5:39" x14ac:dyDescent="0.25">
      <c r="E126" s="335"/>
      <c r="F126" s="101" t="s">
        <v>241</v>
      </c>
      <c r="G126" s="70"/>
      <c r="H126" s="70" t="s">
        <v>1152</v>
      </c>
      <c r="I126" s="70" t="s">
        <v>1152</v>
      </c>
      <c r="J126" s="70"/>
      <c r="K126" s="70"/>
      <c r="L126" s="70" t="s">
        <v>1152</v>
      </c>
      <c r="M126" s="70" t="s">
        <v>1152</v>
      </c>
      <c r="N126" s="70" t="s">
        <v>1152</v>
      </c>
      <c r="O126" s="70" t="s">
        <v>1152</v>
      </c>
      <c r="P126" s="70" t="s">
        <v>1152</v>
      </c>
      <c r="Q126" s="70">
        <v>5.1428571428571432</v>
      </c>
      <c r="R126" s="70" t="s">
        <v>1152</v>
      </c>
      <c r="S126" s="70" t="s">
        <v>1152</v>
      </c>
      <c r="T126" s="70" t="s">
        <v>1152</v>
      </c>
      <c r="U126" s="70" t="s">
        <v>1152</v>
      </c>
      <c r="V126" s="70" t="s">
        <v>1152</v>
      </c>
      <c r="W126" s="70" t="s">
        <v>1152</v>
      </c>
      <c r="X126" s="70" t="s">
        <v>1152</v>
      </c>
      <c r="Y126" s="70" t="s">
        <v>1152</v>
      </c>
      <c r="Z126" s="70" t="s">
        <v>1152</v>
      </c>
      <c r="AA126" s="70" t="s">
        <v>1152</v>
      </c>
      <c r="AB126" s="70" t="s">
        <v>1152</v>
      </c>
      <c r="AC126" s="70" t="s">
        <v>1152</v>
      </c>
      <c r="AD126" s="70" t="s">
        <v>1152</v>
      </c>
      <c r="AE126" s="70" t="s">
        <v>1152</v>
      </c>
      <c r="AF126" s="70" t="s">
        <v>1152</v>
      </c>
      <c r="AG126" s="70" t="s">
        <v>1152</v>
      </c>
      <c r="AH126" s="70" t="s">
        <v>1152</v>
      </c>
      <c r="AI126" s="70" t="s">
        <v>1152</v>
      </c>
      <c r="AJ126" s="70" t="s">
        <v>1152</v>
      </c>
      <c r="AK126" s="70" t="s">
        <v>1152</v>
      </c>
      <c r="AL126" s="70" t="s">
        <v>1152</v>
      </c>
      <c r="AM126" s="70">
        <v>3.601</v>
      </c>
    </row>
    <row r="127" spans="5:39" x14ac:dyDescent="0.25">
      <c r="E127" s="335"/>
      <c r="F127" s="101" t="s">
        <v>242</v>
      </c>
      <c r="G127" s="70"/>
      <c r="H127" s="70" t="s">
        <v>1152</v>
      </c>
      <c r="I127" s="70" t="s">
        <v>1152</v>
      </c>
      <c r="J127" s="70"/>
      <c r="K127" s="70"/>
      <c r="L127" s="70" t="s">
        <v>1152</v>
      </c>
      <c r="M127" s="70" t="s">
        <v>1152</v>
      </c>
      <c r="N127" s="70" t="s">
        <v>1152</v>
      </c>
      <c r="O127" s="70" t="s">
        <v>1152</v>
      </c>
      <c r="P127" s="70" t="s">
        <v>1152</v>
      </c>
      <c r="Q127" s="70" t="s">
        <v>1152</v>
      </c>
      <c r="R127" s="70" t="s">
        <v>1152</v>
      </c>
      <c r="S127" s="70" t="s">
        <v>1152</v>
      </c>
      <c r="T127" s="70" t="s">
        <v>1152</v>
      </c>
      <c r="U127" s="70" t="s">
        <v>1152</v>
      </c>
      <c r="V127" s="70" t="s">
        <v>1152</v>
      </c>
      <c r="W127" s="70" t="s">
        <v>1152</v>
      </c>
      <c r="X127" s="70" t="s">
        <v>1152</v>
      </c>
      <c r="Y127" s="70" t="s">
        <v>1152</v>
      </c>
      <c r="Z127" s="70" t="s">
        <v>1152</v>
      </c>
      <c r="AA127" s="70" t="s">
        <v>1152</v>
      </c>
      <c r="AB127" s="70" t="s">
        <v>1152</v>
      </c>
      <c r="AC127" s="70" t="s">
        <v>1152</v>
      </c>
      <c r="AD127" s="70" t="s">
        <v>1152</v>
      </c>
      <c r="AE127" s="70" t="s">
        <v>1152</v>
      </c>
      <c r="AF127" s="70" t="s">
        <v>1152</v>
      </c>
      <c r="AG127" s="70" t="s">
        <v>1152</v>
      </c>
      <c r="AH127" s="70" t="s">
        <v>1152</v>
      </c>
      <c r="AI127" s="70" t="s">
        <v>1152</v>
      </c>
      <c r="AJ127" s="70" t="s">
        <v>1152</v>
      </c>
      <c r="AK127" s="70" t="s">
        <v>1152</v>
      </c>
      <c r="AL127" s="70" t="s">
        <v>1152</v>
      </c>
      <c r="AM127" s="70" t="s">
        <v>1152</v>
      </c>
    </row>
    <row r="128" spans="5:39" x14ac:dyDescent="0.25">
      <c r="E128" s="335"/>
      <c r="F128" s="101" t="s">
        <v>243</v>
      </c>
      <c r="G128" s="70"/>
      <c r="H128" s="70" t="s">
        <v>1152</v>
      </c>
      <c r="I128" s="70" t="s">
        <v>1152</v>
      </c>
      <c r="J128" s="70"/>
      <c r="K128" s="70"/>
      <c r="L128" s="70" t="s">
        <v>1152</v>
      </c>
      <c r="M128" s="70" t="s">
        <v>1152</v>
      </c>
      <c r="N128" s="70" t="s">
        <v>1152</v>
      </c>
      <c r="O128" s="70" t="s">
        <v>1152</v>
      </c>
      <c r="P128" s="70" t="s">
        <v>1152</v>
      </c>
      <c r="Q128" s="70" t="s">
        <v>1152</v>
      </c>
      <c r="R128" s="70" t="s">
        <v>1152</v>
      </c>
      <c r="S128" s="70" t="s">
        <v>1152</v>
      </c>
      <c r="T128" s="70" t="s">
        <v>1152</v>
      </c>
      <c r="U128" s="70" t="s">
        <v>1152</v>
      </c>
      <c r="V128" s="70" t="s">
        <v>1152</v>
      </c>
      <c r="W128" s="70" t="s">
        <v>1152</v>
      </c>
      <c r="X128" s="70" t="s">
        <v>1152</v>
      </c>
      <c r="Y128" s="70" t="s">
        <v>1152</v>
      </c>
      <c r="Z128" s="70" t="s">
        <v>1152</v>
      </c>
      <c r="AA128" s="70" t="s">
        <v>1152</v>
      </c>
      <c r="AB128" s="70" t="s">
        <v>1152</v>
      </c>
      <c r="AC128" s="70" t="s">
        <v>1152</v>
      </c>
      <c r="AD128" s="70" t="s">
        <v>1152</v>
      </c>
      <c r="AE128" s="70" t="s">
        <v>1152</v>
      </c>
      <c r="AF128" s="70" t="s">
        <v>1152</v>
      </c>
      <c r="AG128" s="70" t="s">
        <v>1152</v>
      </c>
      <c r="AH128" s="70" t="s">
        <v>1152</v>
      </c>
      <c r="AI128" s="70" t="s">
        <v>1152</v>
      </c>
      <c r="AJ128" s="70" t="s">
        <v>1152</v>
      </c>
      <c r="AK128" s="70" t="s">
        <v>1152</v>
      </c>
      <c r="AL128" s="70" t="s">
        <v>1152</v>
      </c>
      <c r="AM128" s="70" t="s">
        <v>1152</v>
      </c>
    </row>
    <row r="129" spans="5:39" x14ac:dyDescent="0.25">
      <c r="E129" s="335"/>
      <c r="F129" s="101" t="s">
        <v>244</v>
      </c>
      <c r="G129" s="70"/>
      <c r="H129" s="70" t="s">
        <v>1152</v>
      </c>
      <c r="I129" s="70" t="s">
        <v>1152</v>
      </c>
      <c r="J129" s="70"/>
      <c r="K129" s="70"/>
      <c r="L129" s="70" t="s">
        <v>1152</v>
      </c>
      <c r="M129" s="70" t="s">
        <v>1152</v>
      </c>
      <c r="N129" s="70" t="s">
        <v>1152</v>
      </c>
      <c r="O129" s="70" t="s">
        <v>1152</v>
      </c>
      <c r="P129" s="70" t="s">
        <v>1152</v>
      </c>
      <c r="Q129" s="70" t="s">
        <v>1152</v>
      </c>
      <c r="R129" s="70" t="s">
        <v>1152</v>
      </c>
      <c r="S129" s="70" t="s">
        <v>1152</v>
      </c>
      <c r="T129" s="70" t="s">
        <v>1152</v>
      </c>
      <c r="U129" s="70" t="s">
        <v>1152</v>
      </c>
      <c r="V129" s="70" t="s">
        <v>1152</v>
      </c>
      <c r="W129" s="70" t="s">
        <v>1152</v>
      </c>
      <c r="X129" s="70" t="s">
        <v>1152</v>
      </c>
      <c r="Y129" s="70" t="s">
        <v>1152</v>
      </c>
      <c r="Z129" s="70" t="s">
        <v>1152</v>
      </c>
      <c r="AA129" s="70" t="s">
        <v>1152</v>
      </c>
      <c r="AB129" s="70" t="s">
        <v>1152</v>
      </c>
      <c r="AC129" s="70" t="s">
        <v>1152</v>
      </c>
      <c r="AD129" s="70" t="s">
        <v>1152</v>
      </c>
      <c r="AE129" s="70" t="s">
        <v>1152</v>
      </c>
      <c r="AF129" s="70" t="s">
        <v>1152</v>
      </c>
      <c r="AG129" s="70" t="s">
        <v>1152</v>
      </c>
      <c r="AH129" s="70" t="s">
        <v>1152</v>
      </c>
      <c r="AI129" s="70" t="s">
        <v>1152</v>
      </c>
      <c r="AJ129" s="70" t="s">
        <v>1152</v>
      </c>
      <c r="AK129" s="70" t="s">
        <v>1152</v>
      </c>
      <c r="AL129" s="70" t="s">
        <v>1152</v>
      </c>
      <c r="AM129" s="70" t="s">
        <v>1152</v>
      </c>
    </row>
    <row r="130" spans="5:39" x14ac:dyDescent="0.25">
      <c r="E130" s="335"/>
      <c r="F130" s="101" t="s">
        <v>245</v>
      </c>
      <c r="G130" s="70"/>
      <c r="H130" s="70" t="s">
        <v>1152</v>
      </c>
      <c r="I130" s="70" t="s">
        <v>1152</v>
      </c>
      <c r="J130" s="70"/>
      <c r="K130" s="70"/>
      <c r="L130" s="70" t="s">
        <v>1152</v>
      </c>
      <c r="M130" s="70" t="s">
        <v>1152</v>
      </c>
      <c r="N130" s="70" t="s">
        <v>1152</v>
      </c>
      <c r="O130" s="70" t="s">
        <v>1152</v>
      </c>
      <c r="P130" s="70" t="s">
        <v>1152</v>
      </c>
      <c r="Q130" s="70" t="s">
        <v>1152</v>
      </c>
      <c r="R130" s="70" t="s">
        <v>1152</v>
      </c>
      <c r="S130" s="70" t="s">
        <v>1152</v>
      </c>
      <c r="T130" s="70" t="s">
        <v>1152</v>
      </c>
      <c r="U130" s="70" t="s">
        <v>1152</v>
      </c>
      <c r="V130" s="70" t="s">
        <v>1152</v>
      </c>
      <c r="W130" s="70" t="s">
        <v>1152</v>
      </c>
      <c r="X130" s="70" t="s">
        <v>1152</v>
      </c>
      <c r="Y130" s="70" t="s">
        <v>1152</v>
      </c>
      <c r="Z130" s="70" t="s">
        <v>1152</v>
      </c>
      <c r="AA130" s="70" t="s">
        <v>1152</v>
      </c>
      <c r="AB130" s="70" t="s">
        <v>1152</v>
      </c>
      <c r="AC130" s="70" t="s">
        <v>1152</v>
      </c>
      <c r="AD130" s="70" t="s">
        <v>1152</v>
      </c>
      <c r="AE130" s="70" t="s">
        <v>1152</v>
      </c>
      <c r="AF130" s="70" t="s">
        <v>1152</v>
      </c>
      <c r="AG130" s="70" t="s">
        <v>1152</v>
      </c>
      <c r="AH130" s="70" t="s">
        <v>1152</v>
      </c>
      <c r="AI130" s="70" t="s">
        <v>1152</v>
      </c>
      <c r="AJ130" s="70" t="s">
        <v>1152</v>
      </c>
      <c r="AK130" s="70" t="s">
        <v>1152</v>
      </c>
      <c r="AL130" s="70" t="s">
        <v>1152</v>
      </c>
      <c r="AM130" s="70" t="s">
        <v>1152</v>
      </c>
    </row>
    <row r="131" spans="5:39" x14ac:dyDescent="0.25">
      <c r="E131" s="335"/>
      <c r="F131" s="101" t="s">
        <v>246</v>
      </c>
      <c r="G131" s="70"/>
      <c r="H131" s="70" t="s">
        <v>1152</v>
      </c>
      <c r="I131" s="70" t="s">
        <v>1152</v>
      </c>
      <c r="J131" s="70"/>
      <c r="K131" s="70"/>
      <c r="L131" s="70" t="s">
        <v>1152</v>
      </c>
      <c r="M131" s="70" t="s">
        <v>1152</v>
      </c>
      <c r="N131" s="70" t="s">
        <v>1152</v>
      </c>
      <c r="O131" s="70" t="s">
        <v>1152</v>
      </c>
      <c r="P131" s="70" t="s">
        <v>1152</v>
      </c>
      <c r="Q131" s="70" t="s">
        <v>1152</v>
      </c>
      <c r="R131" s="70" t="s">
        <v>1152</v>
      </c>
      <c r="S131" s="70" t="s">
        <v>1152</v>
      </c>
      <c r="T131" s="70" t="s">
        <v>1152</v>
      </c>
      <c r="U131" s="70" t="s">
        <v>1152</v>
      </c>
      <c r="V131" s="70" t="s">
        <v>1152</v>
      </c>
      <c r="W131" s="70" t="s">
        <v>1152</v>
      </c>
      <c r="X131" s="70" t="s">
        <v>1152</v>
      </c>
      <c r="Y131" s="70" t="s">
        <v>1152</v>
      </c>
      <c r="Z131" s="70" t="s">
        <v>1152</v>
      </c>
      <c r="AA131" s="70" t="s">
        <v>1152</v>
      </c>
      <c r="AB131" s="70" t="s">
        <v>1152</v>
      </c>
      <c r="AC131" s="70" t="s">
        <v>1152</v>
      </c>
      <c r="AD131" s="70" t="s">
        <v>1152</v>
      </c>
      <c r="AE131" s="70" t="s">
        <v>1152</v>
      </c>
      <c r="AF131" s="70" t="s">
        <v>1152</v>
      </c>
      <c r="AG131" s="70" t="s">
        <v>1152</v>
      </c>
      <c r="AH131" s="70" t="s">
        <v>1152</v>
      </c>
      <c r="AI131" s="70" t="s">
        <v>1152</v>
      </c>
      <c r="AJ131" s="70" t="s">
        <v>1152</v>
      </c>
      <c r="AK131" s="70" t="s">
        <v>1152</v>
      </c>
      <c r="AL131" s="70" t="s">
        <v>1152</v>
      </c>
      <c r="AM131" s="70" t="s">
        <v>1152</v>
      </c>
    </row>
    <row r="132" spans="5:39" x14ac:dyDescent="0.25">
      <c r="E132" s="335"/>
      <c r="F132" s="101" t="s">
        <v>247</v>
      </c>
      <c r="G132" s="70"/>
      <c r="H132" s="70" t="s">
        <v>1152</v>
      </c>
      <c r="I132" s="70" t="s">
        <v>1152</v>
      </c>
      <c r="J132" s="70"/>
      <c r="K132" s="70"/>
      <c r="L132" s="70" t="s">
        <v>1152</v>
      </c>
      <c r="M132" s="70" t="s">
        <v>1152</v>
      </c>
      <c r="N132" s="70" t="s">
        <v>1152</v>
      </c>
      <c r="O132" s="70" t="s">
        <v>1152</v>
      </c>
      <c r="P132" s="70" t="s">
        <v>1152</v>
      </c>
      <c r="Q132" s="70" t="s">
        <v>1152</v>
      </c>
      <c r="R132" s="70" t="s">
        <v>1152</v>
      </c>
      <c r="S132" s="70" t="s">
        <v>1152</v>
      </c>
      <c r="T132" s="70" t="s">
        <v>1152</v>
      </c>
      <c r="U132" s="70" t="s">
        <v>1152</v>
      </c>
      <c r="V132" s="70" t="s">
        <v>1152</v>
      </c>
      <c r="W132" s="70" t="s">
        <v>1152</v>
      </c>
      <c r="X132" s="70" t="s">
        <v>1152</v>
      </c>
      <c r="Y132" s="70" t="s">
        <v>1152</v>
      </c>
      <c r="Z132" s="70" t="s">
        <v>1152</v>
      </c>
      <c r="AA132" s="70" t="s">
        <v>1152</v>
      </c>
      <c r="AB132" s="70" t="s">
        <v>1152</v>
      </c>
      <c r="AC132" s="70" t="s">
        <v>1152</v>
      </c>
      <c r="AD132" s="70" t="s">
        <v>1152</v>
      </c>
      <c r="AE132" s="70" t="s">
        <v>1152</v>
      </c>
      <c r="AF132" s="70" t="s">
        <v>1152</v>
      </c>
      <c r="AG132" s="70" t="s">
        <v>1152</v>
      </c>
      <c r="AH132" s="70" t="s">
        <v>1152</v>
      </c>
      <c r="AI132" s="70" t="s">
        <v>1152</v>
      </c>
      <c r="AJ132" s="70" t="s">
        <v>1152</v>
      </c>
      <c r="AK132" s="70" t="s">
        <v>1152</v>
      </c>
      <c r="AL132" s="70" t="s">
        <v>1152</v>
      </c>
      <c r="AM132" s="70" t="s">
        <v>1152</v>
      </c>
    </row>
    <row r="133" spans="5:39" x14ac:dyDescent="0.25">
      <c r="E133" s="335"/>
      <c r="F133" s="101" t="s">
        <v>248</v>
      </c>
      <c r="G133" s="70"/>
      <c r="H133" s="70" t="s">
        <v>1152</v>
      </c>
      <c r="I133" s="70" t="s">
        <v>1152</v>
      </c>
      <c r="J133" s="70"/>
      <c r="K133" s="70"/>
      <c r="L133" s="70" t="s">
        <v>1152</v>
      </c>
      <c r="M133" s="70" t="s">
        <v>1152</v>
      </c>
      <c r="N133" s="70" t="s">
        <v>1152</v>
      </c>
      <c r="O133" s="70" t="s">
        <v>1152</v>
      </c>
      <c r="P133" s="70" t="s">
        <v>1152</v>
      </c>
      <c r="Q133" s="70" t="s">
        <v>1152</v>
      </c>
      <c r="R133" s="70" t="s">
        <v>1152</v>
      </c>
      <c r="S133" s="70" t="s">
        <v>1152</v>
      </c>
      <c r="T133" s="70" t="s">
        <v>1152</v>
      </c>
      <c r="U133" s="70" t="s">
        <v>1152</v>
      </c>
      <c r="V133" s="70" t="s">
        <v>1152</v>
      </c>
      <c r="W133" s="70" t="s">
        <v>1152</v>
      </c>
      <c r="X133" s="70" t="s">
        <v>1152</v>
      </c>
      <c r="Y133" s="70" t="s">
        <v>1152</v>
      </c>
      <c r="Z133" s="70" t="s">
        <v>1152</v>
      </c>
      <c r="AA133" s="70" t="s">
        <v>1152</v>
      </c>
      <c r="AB133" s="70" t="s">
        <v>1152</v>
      </c>
      <c r="AC133" s="70" t="s">
        <v>1152</v>
      </c>
      <c r="AD133" s="70" t="s">
        <v>1152</v>
      </c>
      <c r="AE133" s="70" t="s">
        <v>1152</v>
      </c>
      <c r="AF133" s="70" t="s">
        <v>1152</v>
      </c>
      <c r="AG133" s="70" t="s">
        <v>1152</v>
      </c>
      <c r="AH133" s="70" t="s">
        <v>1152</v>
      </c>
      <c r="AI133" s="70" t="s">
        <v>1152</v>
      </c>
      <c r="AJ133" s="70" t="s">
        <v>1152</v>
      </c>
      <c r="AK133" s="70" t="s">
        <v>1152</v>
      </c>
      <c r="AL133" s="70" t="s">
        <v>1152</v>
      </c>
      <c r="AM133" s="70" t="s">
        <v>1152</v>
      </c>
    </row>
    <row r="134" spans="5:39" x14ac:dyDescent="0.25">
      <c r="E134" s="335"/>
      <c r="F134" s="101" t="s">
        <v>249</v>
      </c>
      <c r="G134" s="70"/>
      <c r="H134" s="70" t="s">
        <v>1152</v>
      </c>
      <c r="I134" s="70" t="s">
        <v>1152</v>
      </c>
      <c r="J134" s="70"/>
      <c r="K134" s="70"/>
      <c r="L134" s="70" t="s">
        <v>1152</v>
      </c>
      <c r="M134" s="70" t="s">
        <v>1152</v>
      </c>
      <c r="N134" s="70" t="s">
        <v>1152</v>
      </c>
      <c r="O134" s="70" t="s">
        <v>1152</v>
      </c>
      <c r="P134" s="70" t="s">
        <v>1152</v>
      </c>
      <c r="Q134" s="70" t="s">
        <v>1152</v>
      </c>
      <c r="R134" s="70" t="s">
        <v>1152</v>
      </c>
      <c r="S134" s="70" t="s">
        <v>1152</v>
      </c>
      <c r="T134" s="70" t="s">
        <v>1152</v>
      </c>
      <c r="U134" s="70" t="s">
        <v>1152</v>
      </c>
      <c r="V134" s="70" t="s">
        <v>1152</v>
      </c>
      <c r="W134" s="70" t="s">
        <v>1152</v>
      </c>
      <c r="X134" s="70" t="s">
        <v>1152</v>
      </c>
      <c r="Y134" s="70" t="s">
        <v>1152</v>
      </c>
      <c r="Z134" s="70" t="s">
        <v>1152</v>
      </c>
      <c r="AA134" s="70" t="s">
        <v>1152</v>
      </c>
      <c r="AB134" s="70" t="s">
        <v>1152</v>
      </c>
      <c r="AC134" s="70" t="s">
        <v>1152</v>
      </c>
      <c r="AD134" s="70" t="s">
        <v>1152</v>
      </c>
      <c r="AE134" s="70" t="s">
        <v>1152</v>
      </c>
      <c r="AF134" s="70" t="s">
        <v>1152</v>
      </c>
      <c r="AG134" s="70" t="s">
        <v>1152</v>
      </c>
      <c r="AH134" s="70" t="s">
        <v>1152</v>
      </c>
      <c r="AI134" s="70" t="s">
        <v>1152</v>
      </c>
      <c r="AJ134" s="70" t="s">
        <v>1152</v>
      </c>
      <c r="AK134" s="70" t="s">
        <v>1152</v>
      </c>
      <c r="AL134" s="70" t="s">
        <v>1152</v>
      </c>
      <c r="AM134" s="70" t="s">
        <v>1152</v>
      </c>
    </row>
    <row r="135" spans="5:39" x14ac:dyDescent="0.25">
      <c r="E135" s="335"/>
      <c r="F135" s="101" t="s">
        <v>250</v>
      </c>
      <c r="G135" s="70"/>
      <c r="H135" s="70" t="s">
        <v>1152</v>
      </c>
      <c r="I135" s="70" t="s">
        <v>1152</v>
      </c>
      <c r="J135" s="70"/>
      <c r="K135" s="70"/>
      <c r="L135" s="70" t="s">
        <v>1152</v>
      </c>
      <c r="M135" s="70" t="s">
        <v>1152</v>
      </c>
      <c r="N135" s="70" t="s">
        <v>1152</v>
      </c>
      <c r="O135" s="70" t="s">
        <v>1152</v>
      </c>
      <c r="P135" s="70" t="s">
        <v>1152</v>
      </c>
      <c r="Q135" s="70" t="s">
        <v>1152</v>
      </c>
      <c r="R135" s="70" t="s">
        <v>1152</v>
      </c>
      <c r="S135" s="70" t="s">
        <v>1152</v>
      </c>
      <c r="T135" s="70" t="s">
        <v>1152</v>
      </c>
      <c r="U135" s="70" t="s">
        <v>1152</v>
      </c>
      <c r="V135" s="70" t="s">
        <v>1152</v>
      </c>
      <c r="W135" s="70" t="s">
        <v>1152</v>
      </c>
      <c r="X135" s="70" t="s">
        <v>1152</v>
      </c>
      <c r="Y135" s="70" t="s">
        <v>1152</v>
      </c>
      <c r="Z135" s="70" t="s">
        <v>1152</v>
      </c>
      <c r="AA135" s="70" t="s">
        <v>1152</v>
      </c>
      <c r="AB135" s="70" t="s">
        <v>1152</v>
      </c>
      <c r="AC135" s="70" t="s">
        <v>1152</v>
      </c>
      <c r="AD135" s="70" t="s">
        <v>1152</v>
      </c>
      <c r="AE135" s="70" t="s">
        <v>1152</v>
      </c>
      <c r="AF135" s="70" t="s">
        <v>1152</v>
      </c>
      <c r="AG135" s="70" t="s">
        <v>1152</v>
      </c>
      <c r="AH135" s="70" t="s">
        <v>1152</v>
      </c>
      <c r="AI135" s="70" t="s">
        <v>1152</v>
      </c>
      <c r="AJ135" s="70" t="s">
        <v>1152</v>
      </c>
      <c r="AK135" s="70" t="s">
        <v>1152</v>
      </c>
      <c r="AL135" s="70" t="s">
        <v>1152</v>
      </c>
      <c r="AM135" s="70" t="s">
        <v>1152</v>
      </c>
    </row>
    <row r="136" spans="5:39" x14ac:dyDescent="0.25">
      <c r="E136" s="335"/>
      <c r="F136" s="101" t="s">
        <v>251</v>
      </c>
      <c r="G136" s="70"/>
      <c r="H136" s="70" t="s">
        <v>1152</v>
      </c>
      <c r="I136" s="70" t="s">
        <v>1152</v>
      </c>
      <c r="J136" s="70"/>
      <c r="K136" s="70"/>
      <c r="L136" s="70" t="s">
        <v>1152</v>
      </c>
      <c r="M136" s="70" t="s">
        <v>1152</v>
      </c>
      <c r="N136" s="70" t="s">
        <v>1152</v>
      </c>
      <c r="O136" s="70" t="s">
        <v>1152</v>
      </c>
      <c r="P136" s="70" t="s">
        <v>1152</v>
      </c>
      <c r="Q136" s="70" t="s">
        <v>1152</v>
      </c>
      <c r="R136" s="70" t="s">
        <v>1152</v>
      </c>
      <c r="S136" s="70" t="s">
        <v>1152</v>
      </c>
      <c r="T136" s="70" t="s">
        <v>1152</v>
      </c>
      <c r="U136" s="70" t="s">
        <v>1152</v>
      </c>
      <c r="V136" s="70" t="s">
        <v>1152</v>
      </c>
      <c r="W136" s="70" t="s">
        <v>1152</v>
      </c>
      <c r="X136" s="70" t="s">
        <v>1152</v>
      </c>
      <c r="Y136" s="70" t="s">
        <v>1152</v>
      </c>
      <c r="Z136" s="70" t="s">
        <v>1152</v>
      </c>
      <c r="AA136" s="70" t="s">
        <v>1152</v>
      </c>
      <c r="AB136" s="70" t="s">
        <v>1152</v>
      </c>
      <c r="AC136" s="70" t="s">
        <v>1152</v>
      </c>
      <c r="AD136" s="70" t="s">
        <v>1152</v>
      </c>
      <c r="AE136" s="70" t="s">
        <v>1152</v>
      </c>
      <c r="AF136" s="70" t="s">
        <v>1152</v>
      </c>
      <c r="AG136" s="70" t="s">
        <v>1152</v>
      </c>
      <c r="AH136" s="70" t="s">
        <v>1152</v>
      </c>
      <c r="AI136" s="70" t="s">
        <v>1152</v>
      </c>
      <c r="AJ136" s="70" t="s">
        <v>1152</v>
      </c>
      <c r="AK136" s="70" t="s">
        <v>1152</v>
      </c>
      <c r="AL136" s="70" t="s">
        <v>1152</v>
      </c>
      <c r="AM136" s="70" t="s">
        <v>1152</v>
      </c>
    </row>
    <row r="137" spans="5:39" x14ac:dyDescent="0.25">
      <c r="E137" s="335"/>
      <c r="F137" s="101" t="s">
        <v>252</v>
      </c>
      <c r="G137" s="70"/>
      <c r="H137" s="70" t="s">
        <v>1152</v>
      </c>
      <c r="I137" s="70" t="s">
        <v>1152</v>
      </c>
      <c r="J137" s="70"/>
      <c r="K137" s="70"/>
      <c r="L137" s="70" t="s">
        <v>1152</v>
      </c>
      <c r="M137" s="70" t="s">
        <v>1152</v>
      </c>
      <c r="N137" s="70" t="s">
        <v>1152</v>
      </c>
      <c r="O137" s="70" t="s">
        <v>1152</v>
      </c>
      <c r="P137" s="70" t="s">
        <v>1152</v>
      </c>
      <c r="Q137" s="70" t="s">
        <v>1152</v>
      </c>
      <c r="R137" s="70" t="s">
        <v>1152</v>
      </c>
      <c r="S137" s="70" t="s">
        <v>1152</v>
      </c>
      <c r="T137" s="70" t="s">
        <v>1152</v>
      </c>
      <c r="U137" s="70" t="s">
        <v>1152</v>
      </c>
      <c r="V137" s="70" t="s">
        <v>1152</v>
      </c>
      <c r="W137" s="70" t="s">
        <v>1152</v>
      </c>
      <c r="X137" s="70" t="s">
        <v>1152</v>
      </c>
      <c r="Y137" s="70" t="s">
        <v>1152</v>
      </c>
      <c r="Z137" s="70" t="s">
        <v>1152</v>
      </c>
      <c r="AA137" s="70" t="s">
        <v>1152</v>
      </c>
      <c r="AB137" s="70" t="s">
        <v>1152</v>
      </c>
      <c r="AC137" s="70" t="s">
        <v>1152</v>
      </c>
      <c r="AD137" s="70" t="s">
        <v>1152</v>
      </c>
      <c r="AE137" s="70" t="s">
        <v>1152</v>
      </c>
      <c r="AF137" s="70" t="s">
        <v>1152</v>
      </c>
      <c r="AG137" s="70" t="s">
        <v>1152</v>
      </c>
      <c r="AH137" s="70" t="s">
        <v>1152</v>
      </c>
      <c r="AI137" s="70" t="s">
        <v>1152</v>
      </c>
      <c r="AJ137" s="70" t="s">
        <v>1152</v>
      </c>
      <c r="AK137" s="70" t="s">
        <v>1152</v>
      </c>
      <c r="AL137" s="70" t="s">
        <v>1152</v>
      </c>
      <c r="AM137" s="70" t="s">
        <v>1152</v>
      </c>
    </row>
    <row r="138" spans="5:39" ht="15.75" thickBot="1" x14ac:dyDescent="0.3">
      <c r="E138" s="336"/>
      <c r="F138" s="102" t="s">
        <v>253</v>
      </c>
      <c r="G138" s="70"/>
      <c r="H138" s="70" t="s">
        <v>1152</v>
      </c>
      <c r="I138" s="70" t="s">
        <v>1152</v>
      </c>
      <c r="J138" s="70"/>
      <c r="K138" s="70"/>
      <c r="L138" s="70" t="s">
        <v>1152</v>
      </c>
      <c r="M138" s="70" t="s">
        <v>1152</v>
      </c>
      <c r="N138" s="70" t="s">
        <v>1152</v>
      </c>
      <c r="O138" s="70" t="s">
        <v>1152</v>
      </c>
      <c r="P138" s="70" t="s">
        <v>1152</v>
      </c>
      <c r="Q138" s="70" t="s">
        <v>1152</v>
      </c>
      <c r="R138" s="70" t="s">
        <v>1152</v>
      </c>
      <c r="S138" s="70" t="s">
        <v>1152</v>
      </c>
      <c r="T138" s="70" t="s">
        <v>1152</v>
      </c>
      <c r="U138" s="70" t="s">
        <v>1152</v>
      </c>
      <c r="V138" s="70" t="s">
        <v>1152</v>
      </c>
      <c r="W138" s="70" t="s">
        <v>1152</v>
      </c>
      <c r="X138" s="70" t="s">
        <v>1152</v>
      </c>
      <c r="Y138" s="70" t="s">
        <v>1152</v>
      </c>
      <c r="Z138" s="70" t="s">
        <v>1152</v>
      </c>
      <c r="AA138" s="70" t="s">
        <v>1152</v>
      </c>
      <c r="AB138" s="70" t="s">
        <v>1152</v>
      </c>
      <c r="AC138" s="70" t="s">
        <v>1152</v>
      </c>
      <c r="AD138" s="70" t="s">
        <v>1152</v>
      </c>
      <c r="AE138" s="70" t="s">
        <v>1152</v>
      </c>
      <c r="AF138" s="70" t="s">
        <v>1152</v>
      </c>
      <c r="AG138" s="70" t="s">
        <v>1152</v>
      </c>
      <c r="AH138" s="70" t="s">
        <v>1152</v>
      </c>
      <c r="AI138" s="70" t="s">
        <v>1152</v>
      </c>
      <c r="AJ138" s="70" t="s">
        <v>1152</v>
      </c>
      <c r="AK138" s="70" t="s">
        <v>1152</v>
      </c>
      <c r="AL138" s="70" t="s">
        <v>1152</v>
      </c>
      <c r="AM138" s="70" t="s">
        <v>1152</v>
      </c>
    </row>
    <row r="139" spans="5:39" x14ac:dyDescent="0.25">
      <c r="E139" s="334" t="s">
        <v>209</v>
      </c>
      <c r="F139" s="108" t="s">
        <v>183</v>
      </c>
      <c r="G139" s="70">
        <v>39</v>
      </c>
      <c r="H139" s="70">
        <v>39</v>
      </c>
      <c r="I139" s="70">
        <v>39</v>
      </c>
      <c r="J139" s="70">
        <v>46</v>
      </c>
      <c r="K139" s="70">
        <v>39</v>
      </c>
      <c r="L139" s="70">
        <v>39</v>
      </c>
      <c r="M139" s="70">
        <v>39</v>
      </c>
      <c r="N139" s="70">
        <v>39</v>
      </c>
      <c r="O139" s="70">
        <v>42.835000000000001</v>
      </c>
      <c r="P139" s="70" t="s">
        <v>1152</v>
      </c>
      <c r="Q139" s="70" t="s">
        <v>1152</v>
      </c>
      <c r="R139" s="70" t="s">
        <v>1152</v>
      </c>
      <c r="S139" s="70" t="s">
        <v>1152</v>
      </c>
      <c r="T139" s="70" t="s">
        <v>1152</v>
      </c>
      <c r="U139" s="70" t="s">
        <v>1152</v>
      </c>
      <c r="V139" s="70" t="s">
        <v>1152</v>
      </c>
      <c r="W139" s="70" t="s">
        <v>1152</v>
      </c>
      <c r="X139" s="70" t="s">
        <v>1152</v>
      </c>
      <c r="Y139" s="70" t="s">
        <v>1152</v>
      </c>
      <c r="Z139" s="70" t="s">
        <v>1152</v>
      </c>
      <c r="AA139" s="70" t="s">
        <v>1152</v>
      </c>
      <c r="AB139" s="70" t="s">
        <v>1152</v>
      </c>
      <c r="AC139" s="70" t="s">
        <v>1152</v>
      </c>
      <c r="AD139" s="70" t="s">
        <v>1152</v>
      </c>
      <c r="AE139" s="70" t="s">
        <v>1152</v>
      </c>
      <c r="AF139" s="70" t="s">
        <v>1152</v>
      </c>
      <c r="AG139" s="70" t="s">
        <v>1152</v>
      </c>
      <c r="AH139" s="70" t="s">
        <v>1152</v>
      </c>
      <c r="AI139" s="70" t="s">
        <v>1152</v>
      </c>
      <c r="AJ139" s="70" t="s">
        <v>1152</v>
      </c>
      <c r="AK139" s="70">
        <v>42.424479166666664</v>
      </c>
      <c r="AL139" s="70">
        <v>45.648416666666662</v>
      </c>
      <c r="AM139" s="70">
        <v>51.743479166666667</v>
      </c>
    </row>
    <row r="140" spans="5:39" x14ac:dyDescent="0.25">
      <c r="E140" s="335"/>
      <c r="F140" s="2" t="s">
        <v>184</v>
      </c>
      <c r="G140" s="70">
        <v>39</v>
      </c>
      <c r="H140" s="70">
        <v>39</v>
      </c>
      <c r="I140" s="70">
        <v>39</v>
      </c>
      <c r="J140" s="70">
        <v>46</v>
      </c>
      <c r="K140" s="70">
        <v>39</v>
      </c>
      <c r="L140" s="70">
        <v>39</v>
      </c>
      <c r="M140" s="70">
        <v>39</v>
      </c>
      <c r="N140" s="70">
        <v>39</v>
      </c>
      <c r="O140" s="70">
        <v>41.666666666666664</v>
      </c>
      <c r="P140" s="70" t="s">
        <v>1152</v>
      </c>
      <c r="Q140" s="70" t="s">
        <v>1152</v>
      </c>
      <c r="R140" s="70" t="s">
        <v>1152</v>
      </c>
      <c r="S140" s="70" t="s">
        <v>1152</v>
      </c>
      <c r="T140" s="70" t="s">
        <v>1152</v>
      </c>
      <c r="U140" s="70" t="s">
        <v>1152</v>
      </c>
      <c r="V140" s="70" t="s">
        <v>1152</v>
      </c>
      <c r="W140" s="70" t="s">
        <v>1152</v>
      </c>
      <c r="X140" s="70" t="s">
        <v>1152</v>
      </c>
      <c r="Y140" s="70" t="s">
        <v>1152</v>
      </c>
      <c r="Z140" s="70" t="s">
        <v>1152</v>
      </c>
      <c r="AA140" s="70" t="s">
        <v>1152</v>
      </c>
      <c r="AB140" s="70" t="s">
        <v>1152</v>
      </c>
      <c r="AC140" s="70" t="s">
        <v>1152</v>
      </c>
      <c r="AD140" s="70" t="s">
        <v>1152</v>
      </c>
      <c r="AE140" s="70" t="s">
        <v>1152</v>
      </c>
      <c r="AF140" s="70" t="s">
        <v>1152</v>
      </c>
      <c r="AG140" s="70" t="s">
        <v>1152</v>
      </c>
      <c r="AH140" s="70" t="s">
        <v>1152</v>
      </c>
      <c r="AI140" s="70" t="s">
        <v>1152</v>
      </c>
      <c r="AJ140" s="70" t="s">
        <v>1152</v>
      </c>
      <c r="AK140" s="70">
        <v>45.644520833333331</v>
      </c>
      <c r="AL140" s="70">
        <v>51.743479166666667</v>
      </c>
      <c r="AM140" s="70">
        <v>60.190104166666671</v>
      </c>
    </row>
    <row r="141" spans="5:39" x14ac:dyDescent="0.25">
      <c r="E141" s="335"/>
      <c r="F141" s="2" t="s">
        <v>185</v>
      </c>
      <c r="G141" s="70">
        <v>39</v>
      </c>
      <c r="H141" s="70">
        <v>39</v>
      </c>
      <c r="I141" s="70">
        <v>39</v>
      </c>
      <c r="J141" s="70">
        <v>46</v>
      </c>
      <c r="K141" s="70">
        <v>39</v>
      </c>
      <c r="L141" s="70">
        <v>39</v>
      </c>
      <c r="M141" s="70">
        <v>39</v>
      </c>
      <c r="N141" s="70">
        <v>39</v>
      </c>
      <c r="O141" s="70">
        <v>41.666666666666664</v>
      </c>
      <c r="P141" s="70" t="s">
        <v>1152</v>
      </c>
      <c r="Q141" s="70" t="s">
        <v>1152</v>
      </c>
      <c r="R141" s="70" t="s">
        <v>1152</v>
      </c>
      <c r="S141" s="70" t="s">
        <v>1152</v>
      </c>
      <c r="T141" s="70" t="s">
        <v>1152</v>
      </c>
      <c r="U141" s="70" t="s">
        <v>1152</v>
      </c>
      <c r="V141" s="70" t="s">
        <v>1152</v>
      </c>
      <c r="W141" s="70" t="s">
        <v>1152</v>
      </c>
      <c r="X141" s="70" t="s">
        <v>1152</v>
      </c>
      <c r="Y141" s="70" t="s">
        <v>1152</v>
      </c>
      <c r="Z141" s="70" t="s">
        <v>1152</v>
      </c>
      <c r="AA141" s="70" t="s">
        <v>1152</v>
      </c>
      <c r="AB141" s="70" t="s">
        <v>1152</v>
      </c>
      <c r="AC141" s="70" t="s">
        <v>1152</v>
      </c>
      <c r="AD141" s="70" t="s">
        <v>1152</v>
      </c>
      <c r="AE141" s="70" t="s">
        <v>1152</v>
      </c>
      <c r="AF141" s="70" t="s">
        <v>1152</v>
      </c>
      <c r="AG141" s="70" t="s">
        <v>1152</v>
      </c>
      <c r="AH141" s="70" t="s">
        <v>1152</v>
      </c>
      <c r="AI141" s="70" t="s">
        <v>1152</v>
      </c>
      <c r="AJ141" s="70" t="s">
        <v>1152</v>
      </c>
      <c r="AK141" s="70">
        <v>43.182291666666664</v>
      </c>
      <c r="AL141" s="70">
        <v>48.106749999999998</v>
      </c>
      <c r="AM141" s="70">
        <v>55.380208333333336</v>
      </c>
    </row>
    <row r="142" spans="5:39" x14ac:dyDescent="0.25">
      <c r="E142" s="335"/>
      <c r="F142" s="2" t="s">
        <v>186</v>
      </c>
      <c r="G142" s="70" t="s">
        <v>64</v>
      </c>
      <c r="H142" s="70" t="s">
        <v>64</v>
      </c>
      <c r="I142" s="70" t="s">
        <v>64</v>
      </c>
      <c r="J142" s="70" t="s">
        <v>64</v>
      </c>
      <c r="K142" s="70" t="s">
        <v>64</v>
      </c>
      <c r="L142" s="70" t="s">
        <v>64</v>
      </c>
      <c r="M142" s="70" t="s">
        <v>64</v>
      </c>
      <c r="N142" s="70" t="s">
        <v>64</v>
      </c>
      <c r="O142" s="70" t="s">
        <v>64</v>
      </c>
      <c r="P142" s="70" t="s">
        <v>1152</v>
      </c>
      <c r="Q142" s="70" t="s">
        <v>1152</v>
      </c>
      <c r="R142" s="70" t="s">
        <v>1152</v>
      </c>
      <c r="S142" s="70" t="s">
        <v>1152</v>
      </c>
      <c r="T142" s="70" t="s">
        <v>1152</v>
      </c>
      <c r="U142" s="70" t="s">
        <v>1152</v>
      </c>
      <c r="V142" s="70" t="s">
        <v>1152</v>
      </c>
      <c r="W142" s="70" t="s">
        <v>1152</v>
      </c>
      <c r="X142" s="70" t="s">
        <v>1152</v>
      </c>
      <c r="Y142" s="70" t="s">
        <v>1152</v>
      </c>
      <c r="Z142" s="70" t="s">
        <v>1152</v>
      </c>
      <c r="AA142" s="70" t="s">
        <v>1152</v>
      </c>
      <c r="AB142" s="70" t="s">
        <v>1152</v>
      </c>
      <c r="AC142" s="70" t="s">
        <v>1152</v>
      </c>
      <c r="AD142" s="70" t="s">
        <v>1152</v>
      </c>
      <c r="AE142" s="70" t="s">
        <v>1152</v>
      </c>
      <c r="AF142" s="70" t="s">
        <v>1152</v>
      </c>
      <c r="AG142" s="70" t="s">
        <v>1152</v>
      </c>
      <c r="AH142" s="70" t="s">
        <v>1152</v>
      </c>
      <c r="AI142" s="70" t="s">
        <v>1152</v>
      </c>
      <c r="AJ142" s="70" t="s">
        <v>1152</v>
      </c>
      <c r="AK142" s="70" t="s">
        <v>64</v>
      </c>
      <c r="AL142" s="70" t="s">
        <v>64</v>
      </c>
      <c r="AM142" s="70" t="s">
        <v>64</v>
      </c>
    </row>
    <row r="143" spans="5:39" x14ac:dyDescent="0.25">
      <c r="E143" s="335"/>
      <c r="F143" s="2" t="s">
        <v>187</v>
      </c>
      <c r="G143" s="70">
        <v>0</v>
      </c>
      <c r="H143" s="70">
        <v>0</v>
      </c>
      <c r="I143" s="70">
        <v>0</v>
      </c>
      <c r="J143" s="70">
        <v>0</v>
      </c>
      <c r="K143" s="70">
        <v>0</v>
      </c>
      <c r="L143" s="70">
        <v>0</v>
      </c>
      <c r="M143" s="70">
        <v>0</v>
      </c>
      <c r="N143" s="70">
        <v>0</v>
      </c>
      <c r="O143" s="70">
        <v>0</v>
      </c>
      <c r="P143" s="70" t="s">
        <v>1152</v>
      </c>
      <c r="Q143" s="70" t="s">
        <v>1152</v>
      </c>
      <c r="R143" s="70" t="s">
        <v>1152</v>
      </c>
      <c r="S143" s="70" t="s">
        <v>1152</v>
      </c>
      <c r="T143" s="70" t="s">
        <v>1152</v>
      </c>
      <c r="U143" s="70" t="s">
        <v>1152</v>
      </c>
      <c r="V143" s="70" t="s">
        <v>1152</v>
      </c>
      <c r="W143" s="70" t="s">
        <v>1152</v>
      </c>
      <c r="X143" s="70" t="s">
        <v>1152</v>
      </c>
      <c r="Y143" s="70" t="s">
        <v>1152</v>
      </c>
      <c r="Z143" s="70" t="s">
        <v>1152</v>
      </c>
      <c r="AA143" s="70" t="s">
        <v>1152</v>
      </c>
      <c r="AB143" s="70" t="s">
        <v>1152</v>
      </c>
      <c r="AC143" s="70" t="s">
        <v>1152</v>
      </c>
      <c r="AD143" s="70" t="s">
        <v>1152</v>
      </c>
      <c r="AE143" s="70" t="s">
        <v>1152</v>
      </c>
      <c r="AF143" s="70" t="s">
        <v>1152</v>
      </c>
      <c r="AG143" s="70" t="s">
        <v>1152</v>
      </c>
      <c r="AH143" s="70" t="s">
        <v>1152</v>
      </c>
      <c r="AI143" s="70" t="s">
        <v>1152</v>
      </c>
      <c r="AJ143" s="70" t="s">
        <v>1152</v>
      </c>
      <c r="AK143" s="70">
        <v>0</v>
      </c>
      <c r="AL143" s="70">
        <v>0</v>
      </c>
      <c r="AM143" s="70">
        <v>0</v>
      </c>
    </row>
    <row r="144" spans="5:39" ht="15.75" thickBot="1" x14ac:dyDescent="0.3">
      <c r="E144" s="336"/>
      <c r="F144" s="109" t="s">
        <v>189</v>
      </c>
      <c r="G144" s="70">
        <v>28</v>
      </c>
      <c r="H144" s="70">
        <v>28</v>
      </c>
      <c r="I144" s="70">
        <v>28</v>
      </c>
      <c r="J144" s="70">
        <v>23</v>
      </c>
      <c r="K144" s="70">
        <v>28</v>
      </c>
      <c r="L144" s="70">
        <v>28</v>
      </c>
      <c r="M144" s="70">
        <v>28</v>
      </c>
      <c r="N144" s="70">
        <v>28</v>
      </c>
      <c r="O144" s="70">
        <v>6.833333333333333</v>
      </c>
      <c r="P144" s="70" t="s">
        <v>1152</v>
      </c>
      <c r="Q144" s="70" t="s">
        <v>1152</v>
      </c>
      <c r="R144" s="70" t="s">
        <v>1152</v>
      </c>
      <c r="S144" s="70" t="s">
        <v>1152</v>
      </c>
      <c r="T144" s="70" t="s">
        <v>1152</v>
      </c>
      <c r="U144" s="70" t="s">
        <v>1152</v>
      </c>
      <c r="V144" s="70" t="s">
        <v>1152</v>
      </c>
      <c r="W144" s="70" t="s">
        <v>1152</v>
      </c>
      <c r="X144" s="70" t="s">
        <v>1152</v>
      </c>
      <c r="Y144" s="70" t="s">
        <v>1152</v>
      </c>
      <c r="Z144" s="70" t="s">
        <v>1152</v>
      </c>
      <c r="AA144" s="70" t="s">
        <v>1152</v>
      </c>
      <c r="AB144" s="70" t="s">
        <v>1152</v>
      </c>
      <c r="AC144" s="70" t="s">
        <v>1152</v>
      </c>
      <c r="AD144" s="70" t="s">
        <v>1152</v>
      </c>
      <c r="AE144" s="70" t="s">
        <v>1152</v>
      </c>
      <c r="AF144" s="70" t="s">
        <v>1152</v>
      </c>
      <c r="AG144" s="70" t="s">
        <v>1152</v>
      </c>
      <c r="AH144" s="70" t="s">
        <v>1152</v>
      </c>
      <c r="AI144" s="70" t="s">
        <v>1152</v>
      </c>
      <c r="AJ144" s="70" t="s">
        <v>1152</v>
      </c>
      <c r="AK144" s="70">
        <v>6.833333333333333</v>
      </c>
      <c r="AL144" s="70">
        <v>6.833333333333333</v>
      </c>
      <c r="AM144" s="70">
        <v>6.833333333333333</v>
      </c>
    </row>
    <row r="145" spans="5:39" x14ac:dyDescent="0.25">
      <c r="E145" s="334" t="s">
        <v>211</v>
      </c>
      <c r="F145" s="108" t="s">
        <v>897</v>
      </c>
      <c r="G145" s="70">
        <v>-26</v>
      </c>
      <c r="H145" s="70">
        <v>-26</v>
      </c>
      <c r="I145" s="70">
        <v>-26</v>
      </c>
      <c r="J145" s="70">
        <v>-20</v>
      </c>
      <c r="K145" s="70">
        <v>-26</v>
      </c>
      <c r="L145" s="70">
        <v>-26</v>
      </c>
      <c r="M145" s="70">
        <v>-26</v>
      </c>
      <c r="N145" s="70">
        <v>-26</v>
      </c>
      <c r="O145" s="70">
        <v>-4</v>
      </c>
      <c r="P145" s="70" t="s">
        <v>1152</v>
      </c>
      <c r="Q145" s="70" t="s">
        <v>1152</v>
      </c>
      <c r="R145" s="70" t="s">
        <v>1152</v>
      </c>
      <c r="S145" s="70" t="s">
        <v>1152</v>
      </c>
      <c r="T145" s="70" t="s">
        <v>1152</v>
      </c>
      <c r="U145" s="70" t="s">
        <v>1152</v>
      </c>
      <c r="V145" s="70" t="s">
        <v>1152</v>
      </c>
      <c r="W145" s="70" t="s">
        <v>1152</v>
      </c>
      <c r="X145" s="70" t="s">
        <v>1152</v>
      </c>
      <c r="Y145" s="70" t="s">
        <v>1152</v>
      </c>
      <c r="Z145" s="70" t="s">
        <v>1152</v>
      </c>
      <c r="AA145" s="70" t="s">
        <v>1152</v>
      </c>
      <c r="AB145" s="70" t="s">
        <v>1152</v>
      </c>
      <c r="AC145" s="70" t="s">
        <v>1152</v>
      </c>
      <c r="AD145" s="70" t="s">
        <v>1152</v>
      </c>
      <c r="AE145" s="70" t="s">
        <v>1152</v>
      </c>
      <c r="AF145" s="70" t="s">
        <v>1152</v>
      </c>
      <c r="AG145" s="70" t="s">
        <v>1152</v>
      </c>
      <c r="AH145" s="70" t="s">
        <v>1152</v>
      </c>
      <c r="AI145" s="70" t="s">
        <v>1152</v>
      </c>
      <c r="AJ145" s="70" t="s">
        <v>1152</v>
      </c>
      <c r="AK145" s="70">
        <v>-4</v>
      </c>
      <c r="AL145" s="70">
        <v>-4</v>
      </c>
      <c r="AM145" s="70">
        <v>-4</v>
      </c>
    </row>
    <row r="146" spans="5:39" x14ac:dyDescent="0.25">
      <c r="E146" s="335"/>
      <c r="F146" s="2" t="s">
        <v>896</v>
      </c>
      <c r="G146" s="70">
        <v>8.1669999999999998</v>
      </c>
      <c r="H146" s="70">
        <v>8.1669999999999998</v>
      </c>
      <c r="I146" s="70">
        <v>8.1669999999999998</v>
      </c>
      <c r="J146" s="70">
        <v>10</v>
      </c>
      <c r="K146" s="70">
        <v>8.1669999999999998</v>
      </c>
      <c r="L146" s="70">
        <v>8.1669999999999998</v>
      </c>
      <c r="M146" s="70">
        <v>8.1669999999999998</v>
      </c>
      <c r="N146" s="70">
        <v>8.1669999999999998</v>
      </c>
      <c r="O146" s="70">
        <v>7.3</v>
      </c>
      <c r="P146" s="70" t="s">
        <v>1152</v>
      </c>
      <c r="Q146" s="70" t="s">
        <v>1152</v>
      </c>
      <c r="R146" s="70" t="s">
        <v>1152</v>
      </c>
      <c r="S146" s="70" t="s">
        <v>1152</v>
      </c>
      <c r="T146" s="70" t="s">
        <v>1152</v>
      </c>
      <c r="U146" s="70" t="s">
        <v>1152</v>
      </c>
      <c r="V146" s="70" t="s">
        <v>1152</v>
      </c>
      <c r="W146" s="70" t="s">
        <v>1152</v>
      </c>
      <c r="X146" s="70" t="s">
        <v>1152</v>
      </c>
      <c r="Y146" s="70" t="s">
        <v>1152</v>
      </c>
      <c r="Z146" s="70" t="s">
        <v>1152</v>
      </c>
      <c r="AA146" s="70" t="s">
        <v>1152</v>
      </c>
      <c r="AB146" s="70" t="s">
        <v>1152</v>
      </c>
      <c r="AC146" s="70" t="s">
        <v>1152</v>
      </c>
      <c r="AD146" s="70" t="s">
        <v>1152</v>
      </c>
      <c r="AE146" s="70" t="s">
        <v>1152</v>
      </c>
      <c r="AF146" s="70" t="s">
        <v>1152</v>
      </c>
      <c r="AG146" s="70" t="s">
        <v>1152</v>
      </c>
      <c r="AH146" s="70" t="s">
        <v>1152</v>
      </c>
      <c r="AI146" s="70" t="s">
        <v>1152</v>
      </c>
      <c r="AJ146" s="70" t="s">
        <v>1152</v>
      </c>
      <c r="AK146" s="70">
        <v>6</v>
      </c>
      <c r="AL146" s="70">
        <v>8.5</v>
      </c>
      <c r="AM146" s="70">
        <v>8.5</v>
      </c>
    </row>
    <row r="147" spans="5:39" x14ac:dyDescent="0.25">
      <c r="E147" s="335"/>
      <c r="F147" s="2" t="s">
        <v>895</v>
      </c>
      <c r="G147" s="70">
        <v>8.1669999999999998</v>
      </c>
      <c r="H147" s="70">
        <v>8.1669999999999998</v>
      </c>
      <c r="I147" s="70">
        <v>8.1669999999999998</v>
      </c>
      <c r="J147" s="70">
        <v>10</v>
      </c>
      <c r="K147" s="70">
        <v>8.1669999999999998</v>
      </c>
      <c r="L147" s="70">
        <v>8.1669999999999998</v>
      </c>
      <c r="M147" s="70">
        <v>8.1669999999999998</v>
      </c>
      <c r="N147" s="70">
        <v>8.1669999999999998</v>
      </c>
      <c r="O147" s="70">
        <v>7.3</v>
      </c>
      <c r="P147" s="70" t="s">
        <v>1152</v>
      </c>
      <c r="Q147" s="70" t="s">
        <v>1152</v>
      </c>
      <c r="R147" s="70" t="s">
        <v>1152</v>
      </c>
      <c r="S147" s="70" t="s">
        <v>1152</v>
      </c>
      <c r="T147" s="70" t="s">
        <v>1152</v>
      </c>
      <c r="U147" s="70" t="s">
        <v>1152</v>
      </c>
      <c r="V147" s="70" t="s">
        <v>1152</v>
      </c>
      <c r="W147" s="70" t="s">
        <v>1152</v>
      </c>
      <c r="X147" s="70" t="s">
        <v>1152</v>
      </c>
      <c r="Y147" s="70" t="s">
        <v>1152</v>
      </c>
      <c r="Z147" s="70" t="s">
        <v>1152</v>
      </c>
      <c r="AA147" s="70" t="s">
        <v>1152</v>
      </c>
      <c r="AB147" s="70" t="s">
        <v>1152</v>
      </c>
      <c r="AC147" s="70" t="s">
        <v>1152</v>
      </c>
      <c r="AD147" s="70" t="s">
        <v>1152</v>
      </c>
      <c r="AE147" s="70" t="s">
        <v>1152</v>
      </c>
      <c r="AF147" s="70" t="s">
        <v>1152</v>
      </c>
      <c r="AG147" s="70" t="s">
        <v>1152</v>
      </c>
      <c r="AH147" s="70" t="s">
        <v>1152</v>
      </c>
      <c r="AI147" s="70" t="s">
        <v>1152</v>
      </c>
      <c r="AJ147" s="70" t="s">
        <v>1152</v>
      </c>
      <c r="AK147" s="70">
        <v>6</v>
      </c>
      <c r="AL147" s="70">
        <v>8.5</v>
      </c>
      <c r="AM147" s="70">
        <v>8.5</v>
      </c>
    </row>
    <row r="148" spans="5:39" x14ac:dyDescent="0.25">
      <c r="E148" s="335"/>
      <c r="F148" s="2" t="s">
        <v>894</v>
      </c>
      <c r="G148" s="70">
        <v>8.1669999999999998</v>
      </c>
      <c r="H148" s="70">
        <v>8.1669999999999998</v>
      </c>
      <c r="I148" s="70">
        <v>8.1669999999999998</v>
      </c>
      <c r="J148" s="70">
        <v>10</v>
      </c>
      <c r="K148" s="70">
        <v>8.1669999999999998</v>
      </c>
      <c r="L148" s="70">
        <v>8.1669999999999998</v>
      </c>
      <c r="M148" s="70">
        <v>8.1669999999999998</v>
      </c>
      <c r="N148" s="70">
        <v>8.1669999999999998</v>
      </c>
      <c r="O148" s="70">
        <v>7.3</v>
      </c>
      <c r="P148" s="70" t="s">
        <v>1152</v>
      </c>
      <c r="Q148" s="70" t="s">
        <v>1152</v>
      </c>
      <c r="R148" s="70" t="s">
        <v>1152</v>
      </c>
      <c r="S148" s="70" t="s">
        <v>1152</v>
      </c>
      <c r="T148" s="70" t="s">
        <v>1152</v>
      </c>
      <c r="U148" s="70" t="s">
        <v>1152</v>
      </c>
      <c r="V148" s="70" t="s">
        <v>1152</v>
      </c>
      <c r="W148" s="70" t="s">
        <v>1152</v>
      </c>
      <c r="X148" s="70" t="s">
        <v>1152</v>
      </c>
      <c r="Y148" s="70" t="s">
        <v>1152</v>
      </c>
      <c r="Z148" s="70" t="s">
        <v>1152</v>
      </c>
      <c r="AA148" s="70" t="s">
        <v>1152</v>
      </c>
      <c r="AB148" s="70" t="s">
        <v>1152</v>
      </c>
      <c r="AC148" s="70" t="s">
        <v>1152</v>
      </c>
      <c r="AD148" s="70" t="s">
        <v>1152</v>
      </c>
      <c r="AE148" s="70" t="s">
        <v>1152</v>
      </c>
      <c r="AF148" s="70" t="s">
        <v>1152</v>
      </c>
      <c r="AG148" s="70" t="s">
        <v>1152</v>
      </c>
      <c r="AH148" s="70" t="s">
        <v>1152</v>
      </c>
      <c r="AI148" s="70" t="s">
        <v>1152</v>
      </c>
      <c r="AJ148" s="70" t="s">
        <v>1152</v>
      </c>
      <c r="AK148" s="70">
        <v>6</v>
      </c>
      <c r="AL148" s="70">
        <v>8.5</v>
      </c>
      <c r="AM148" s="70">
        <v>8.5</v>
      </c>
    </row>
    <row r="149" spans="5:39" x14ac:dyDescent="0.25">
      <c r="E149" s="335"/>
      <c r="F149" s="2" t="s">
        <v>893</v>
      </c>
      <c r="G149" s="70">
        <v>8.1669999999999998</v>
      </c>
      <c r="H149" s="70">
        <v>8.1669999999999998</v>
      </c>
      <c r="I149" s="70">
        <v>8.1669999999999998</v>
      </c>
      <c r="J149" s="70">
        <v>10</v>
      </c>
      <c r="K149" s="70">
        <v>8.1669999999999998</v>
      </c>
      <c r="L149" s="70">
        <v>8.1669999999999998</v>
      </c>
      <c r="M149" s="70">
        <v>8.1669999999999998</v>
      </c>
      <c r="N149" s="70">
        <v>8.1669999999999998</v>
      </c>
      <c r="O149" s="70">
        <v>7</v>
      </c>
      <c r="P149" s="70" t="s">
        <v>1152</v>
      </c>
      <c r="Q149" s="70" t="s">
        <v>1152</v>
      </c>
      <c r="R149" s="70" t="s">
        <v>1152</v>
      </c>
      <c r="S149" s="70" t="s">
        <v>1152</v>
      </c>
      <c r="T149" s="70" t="s">
        <v>1152</v>
      </c>
      <c r="U149" s="70" t="s">
        <v>1152</v>
      </c>
      <c r="V149" s="70" t="s">
        <v>1152</v>
      </c>
      <c r="W149" s="70" t="s">
        <v>1152</v>
      </c>
      <c r="X149" s="70" t="s">
        <v>1152</v>
      </c>
      <c r="Y149" s="70" t="s">
        <v>1152</v>
      </c>
      <c r="Z149" s="70" t="s">
        <v>1152</v>
      </c>
      <c r="AA149" s="70" t="s">
        <v>1152</v>
      </c>
      <c r="AB149" s="70" t="s">
        <v>1152</v>
      </c>
      <c r="AC149" s="70" t="s">
        <v>1152</v>
      </c>
      <c r="AD149" s="70" t="s">
        <v>1152</v>
      </c>
      <c r="AE149" s="70" t="s">
        <v>1152</v>
      </c>
      <c r="AF149" s="70" t="s">
        <v>1152</v>
      </c>
      <c r="AG149" s="70" t="s">
        <v>1152</v>
      </c>
      <c r="AH149" s="70" t="s">
        <v>1152</v>
      </c>
      <c r="AI149" s="70" t="s">
        <v>1152</v>
      </c>
      <c r="AJ149" s="70" t="s">
        <v>1152</v>
      </c>
      <c r="AK149" s="70">
        <v>6</v>
      </c>
      <c r="AL149" s="70">
        <v>8.5</v>
      </c>
      <c r="AM149" s="70">
        <v>8.5</v>
      </c>
    </row>
    <row r="150" spans="5:39" x14ac:dyDescent="0.25">
      <c r="E150" s="335"/>
      <c r="F150" s="2" t="s">
        <v>254</v>
      </c>
      <c r="G150" s="70"/>
      <c r="H150" s="70" t="s">
        <v>1152</v>
      </c>
      <c r="I150" s="70" t="s">
        <v>1152</v>
      </c>
      <c r="J150" s="70"/>
      <c r="K150" s="70"/>
      <c r="L150" s="70" t="s">
        <v>1152</v>
      </c>
      <c r="M150" s="70" t="s">
        <v>1152</v>
      </c>
      <c r="N150" s="70" t="s">
        <v>1152</v>
      </c>
      <c r="O150" s="70">
        <v>7</v>
      </c>
      <c r="P150" s="70" t="s">
        <v>1152</v>
      </c>
      <c r="Q150" s="70" t="s">
        <v>1152</v>
      </c>
      <c r="R150" s="70" t="s">
        <v>1152</v>
      </c>
      <c r="S150" s="70" t="s">
        <v>1152</v>
      </c>
      <c r="T150" s="70" t="s">
        <v>1152</v>
      </c>
      <c r="U150" s="70" t="s">
        <v>1152</v>
      </c>
      <c r="V150" s="70" t="s">
        <v>1152</v>
      </c>
      <c r="W150" s="70" t="s">
        <v>1152</v>
      </c>
      <c r="X150" s="70" t="s">
        <v>1152</v>
      </c>
      <c r="Y150" s="70" t="s">
        <v>1152</v>
      </c>
      <c r="Z150" s="70" t="s">
        <v>1152</v>
      </c>
      <c r="AA150" s="70" t="s">
        <v>1152</v>
      </c>
      <c r="AB150" s="70" t="s">
        <v>1152</v>
      </c>
      <c r="AC150" s="70" t="s">
        <v>1152</v>
      </c>
      <c r="AD150" s="70" t="s">
        <v>1152</v>
      </c>
      <c r="AE150" s="70" t="s">
        <v>1152</v>
      </c>
      <c r="AF150" s="70" t="s">
        <v>1152</v>
      </c>
      <c r="AG150" s="70" t="s">
        <v>1152</v>
      </c>
      <c r="AH150" s="70" t="s">
        <v>1152</v>
      </c>
      <c r="AI150" s="70" t="s">
        <v>1152</v>
      </c>
      <c r="AJ150" s="70" t="s">
        <v>1152</v>
      </c>
      <c r="AK150" s="70">
        <v>6.7569999999999997</v>
      </c>
      <c r="AL150" s="70">
        <v>8.4589999999999996</v>
      </c>
      <c r="AM150" s="70">
        <v>7.851</v>
      </c>
    </row>
    <row r="151" spans="5:39" x14ac:dyDescent="0.25">
      <c r="E151" s="335"/>
      <c r="F151" s="2" t="s">
        <v>255</v>
      </c>
      <c r="G151" s="70"/>
      <c r="H151" s="70" t="s">
        <v>1152</v>
      </c>
      <c r="I151" s="70" t="s">
        <v>1152</v>
      </c>
      <c r="J151" s="70"/>
      <c r="K151" s="70"/>
      <c r="L151" s="70" t="s">
        <v>1152</v>
      </c>
      <c r="M151" s="70" t="s">
        <v>1152</v>
      </c>
      <c r="N151" s="70" t="s">
        <v>1152</v>
      </c>
      <c r="O151" s="70" t="s">
        <v>1152</v>
      </c>
      <c r="P151" s="70" t="s">
        <v>1152</v>
      </c>
      <c r="Q151" s="70" t="s">
        <v>1152</v>
      </c>
      <c r="R151" s="70" t="s">
        <v>1152</v>
      </c>
      <c r="S151" s="70" t="s">
        <v>1152</v>
      </c>
      <c r="T151" s="70" t="s">
        <v>1152</v>
      </c>
      <c r="U151" s="70" t="s">
        <v>1152</v>
      </c>
      <c r="V151" s="70" t="s">
        <v>1152</v>
      </c>
      <c r="W151" s="70" t="s">
        <v>1152</v>
      </c>
      <c r="X151" s="70" t="s">
        <v>1152</v>
      </c>
      <c r="Y151" s="70" t="s">
        <v>1152</v>
      </c>
      <c r="Z151" s="70" t="s">
        <v>1152</v>
      </c>
      <c r="AA151" s="70" t="s">
        <v>1152</v>
      </c>
      <c r="AB151" s="70" t="s">
        <v>1152</v>
      </c>
      <c r="AC151" s="70" t="s">
        <v>1152</v>
      </c>
      <c r="AD151" s="70" t="s">
        <v>1152</v>
      </c>
      <c r="AE151" s="70" t="s">
        <v>1152</v>
      </c>
      <c r="AF151" s="70" t="s">
        <v>1152</v>
      </c>
      <c r="AG151" s="70" t="s">
        <v>1152</v>
      </c>
      <c r="AH151" s="70" t="s">
        <v>1152</v>
      </c>
      <c r="AI151" s="70" t="s">
        <v>1152</v>
      </c>
      <c r="AJ151" s="70" t="s">
        <v>1152</v>
      </c>
      <c r="AK151" s="70">
        <v>6.7569999999999997</v>
      </c>
      <c r="AL151" s="70" t="s">
        <v>1152</v>
      </c>
      <c r="AM151" s="70">
        <v>7.851</v>
      </c>
    </row>
    <row r="152" spans="5:39" x14ac:dyDescent="0.25">
      <c r="E152" s="335"/>
      <c r="F152" s="2" t="s">
        <v>256</v>
      </c>
      <c r="G152" s="70"/>
      <c r="H152" s="70" t="s">
        <v>1152</v>
      </c>
      <c r="I152" s="70" t="s">
        <v>1152</v>
      </c>
      <c r="J152" s="70"/>
      <c r="K152" s="70"/>
      <c r="L152" s="70" t="s">
        <v>1152</v>
      </c>
      <c r="M152" s="70" t="s">
        <v>1152</v>
      </c>
      <c r="N152" s="70" t="s">
        <v>1152</v>
      </c>
      <c r="O152" s="70" t="s">
        <v>1152</v>
      </c>
      <c r="P152" s="70" t="s">
        <v>1152</v>
      </c>
      <c r="Q152" s="70" t="s">
        <v>1152</v>
      </c>
      <c r="R152" s="70" t="s">
        <v>1152</v>
      </c>
      <c r="S152" s="70" t="s">
        <v>1152</v>
      </c>
      <c r="T152" s="70" t="s">
        <v>1152</v>
      </c>
      <c r="U152" s="70" t="s">
        <v>1152</v>
      </c>
      <c r="V152" s="70" t="s">
        <v>1152</v>
      </c>
      <c r="W152" s="70" t="s">
        <v>1152</v>
      </c>
      <c r="X152" s="70" t="s">
        <v>1152</v>
      </c>
      <c r="Y152" s="70" t="s">
        <v>1152</v>
      </c>
      <c r="Z152" s="70" t="s">
        <v>1152</v>
      </c>
      <c r="AA152" s="70" t="s">
        <v>1152</v>
      </c>
      <c r="AB152" s="70" t="s">
        <v>1152</v>
      </c>
      <c r="AC152" s="70" t="s">
        <v>1152</v>
      </c>
      <c r="AD152" s="70" t="s">
        <v>1152</v>
      </c>
      <c r="AE152" s="70" t="s">
        <v>1152</v>
      </c>
      <c r="AF152" s="70" t="s">
        <v>1152</v>
      </c>
      <c r="AG152" s="70" t="s">
        <v>1152</v>
      </c>
      <c r="AH152" s="70" t="s">
        <v>1152</v>
      </c>
      <c r="AI152" s="70" t="s">
        <v>1152</v>
      </c>
      <c r="AJ152" s="70" t="s">
        <v>1152</v>
      </c>
      <c r="AK152" s="70" t="s">
        <v>1152</v>
      </c>
      <c r="AL152" s="70" t="s">
        <v>1152</v>
      </c>
      <c r="AM152" s="70" t="s">
        <v>1152</v>
      </c>
    </row>
    <row r="153" spans="5:39" x14ac:dyDescent="0.25">
      <c r="E153" s="335"/>
      <c r="F153" s="2" t="s">
        <v>257</v>
      </c>
      <c r="G153" s="70"/>
      <c r="H153" s="70" t="s">
        <v>1152</v>
      </c>
      <c r="I153" s="70" t="s">
        <v>1152</v>
      </c>
      <c r="J153" s="70"/>
      <c r="K153" s="70"/>
      <c r="L153" s="70" t="s">
        <v>1152</v>
      </c>
      <c r="M153" s="70" t="s">
        <v>1152</v>
      </c>
      <c r="N153" s="70" t="s">
        <v>1152</v>
      </c>
      <c r="O153" s="70" t="s">
        <v>1152</v>
      </c>
      <c r="P153" s="70" t="s">
        <v>1152</v>
      </c>
      <c r="Q153" s="70" t="s">
        <v>1152</v>
      </c>
      <c r="R153" s="70" t="s">
        <v>1152</v>
      </c>
      <c r="S153" s="70" t="s">
        <v>1152</v>
      </c>
      <c r="T153" s="70" t="s">
        <v>1152</v>
      </c>
      <c r="U153" s="70" t="s">
        <v>1152</v>
      </c>
      <c r="V153" s="70" t="s">
        <v>1152</v>
      </c>
      <c r="W153" s="70" t="s">
        <v>1152</v>
      </c>
      <c r="X153" s="70" t="s">
        <v>1152</v>
      </c>
      <c r="Y153" s="70" t="s">
        <v>1152</v>
      </c>
      <c r="Z153" s="70" t="s">
        <v>1152</v>
      </c>
      <c r="AA153" s="70" t="s">
        <v>1152</v>
      </c>
      <c r="AB153" s="70" t="s">
        <v>1152</v>
      </c>
      <c r="AC153" s="70" t="s">
        <v>1152</v>
      </c>
      <c r="AD153" s="70" t="s">
        <v>1152</v>
      </c>
      <c r="AE153" s="70" t="s">
        <v>1152</v>
      </c>
      <c r="AF153" s="70" t="s">
        <v>1152</v>
      </c>
      <c r="AG153" s="70" t="s">
        <v>1152</v>
      </c>
      <c r="AH153" s="70" t="s">
        <v>1152</v>
      </c>
      <c r="AI153" s="70" t="s">
        <v>1152</v>
      </c>
      <c r="AJ153" s="70" t="s">
        <v>1152</v>
      </c>
      <c r="AK153" s="70" t="s">
        <v>1152</v>
      </c>
      <c r="AL153" s="70" t="s">
        <v>1152</v>
      </c>
      <c r="AM153" s="70" t="s">
        <v>1152</v>
      </c>
    </row>
    <row r="154" spans="5:39" x14ac:dyDescent="0.25">
      <c r="E154" s="335"/>
      <c r="F154" s="2" t="s">
        <v>258</v>
      </c>
      <c r="G154" s="70"/>
      <c r="H154" s="70" t="s">
        <v>1152</v>
      </c>
      <c r="I154" s="70" t="s">
        <v>1152</v>
      </c>
      <c r="J154" s="70"/>
      <c r="K154" s="70"/>
      <c r="L154" s="70" t="s">
        <v>1152</v>
      </c>
      <c r="M154" s="70" t="s">
        <v>1152</v>
      </c>
      <c r="N154" s="70" t="s">
        <v>1152</v>
      </c>
      <c r="O154" s="70" t="s">
        <v>1152</v>
      </c>
      <c r="P154" s="70" t="s">
        <v>1152</v>
      </c>
      <c r="Q154" s="70" t="s">
        <v>1152</v>
      </c>
      <c r="R154" s="70" t="s">
        <v>1152</v>
      </c>
      <c r="S154" s="70" t="s">
        <v>1152</v>
      </c>
      <c r="T154" s="70" t="s">
        <v>1152</v>
      </c>
      <c r="U154" s="70" t="s">
        <v>1152</v>
      </c>
      <c r="V154" s="70" t="s">
        <v>1152</v>
      </c>
      <c r="W154" s="70" t="s">
        <v>1152</v>
      </c>
      <c r="X154" s="70" t="s">
        <v>1152</v>
      </c>
      <c r="Y154" s="70" t="s">
        <v>1152</v>
      </c>
      <c r="Z154" s="70" t="s">
        <v>1152</v>
      </c>
      <c r="AA154" s="70" t="s">
        <v>1152</v>
      </c>
      <c r="AB154" s="70" t="s">
        <v>1152</v>
      </c>
      <c r="AC154" s="70" t="s">
        <v>1152</v>
      </c>
      <c r="AD154" s="70" t="s">
        <v>1152</v>
      </c>
      <c r="AE154" s="70" t="s">
        <v>1152</v>
      </c>
      <c r="AF154" s="70" t="s">
        <v>1152</v>
      </c>
      <c r="AG154" s="70" t="s">
        <v>1152</v>
      </c>
      <c r="AH154" s="70" t="s">
        <v>1152</v>
      </c>
      <c r="AI154" s="70" t="s">
        <v>1152</v>
      </c>
      <c r="AJ154" s="70" t="s">
        <v>1152</v>
      </c>
      <c r="AK154" s="70" t="s">
        <v>1152</v>
      </c>
      <c r="AL154" s="70" t="s">
        <v>1152</v>
      </c>
      <c r="AM154" s="70" t="s">
        <v>1152</v>
      </c>
    </row>
    <row r="155" spans="5:39" x14ac:dyDescent="0.25">
      <c r="E155" s="335"/>
      <c r="F155" s="2" t="s">
        <v>259</v>
      </c>
      <c r="G155" s="70"/>
      <c r="H155" s="70" t="s">
        <v>1152</v>
      </c>
      <c r="I155" s="70" t="s">
        <v>1152</v>
      </c>
      <c r="J155" s="70"/>
      <c r="K155" s="70"/>
      <c r="L155" s="70" t="s">
        <v>1152</v>
      </c>
      <c r="M155" s="70" t="s">
        <v>1152</v>
      </c>
      <c r="N155" s="70" t="s">
        <v>1152</v>
      </c>
      <c r="O155" s="70" t="s">
        <v>1152</v>
      </c>
      <c r="P155" s="70" t="s">
        <v>1152</v>
      </c>
      <c r="Q155" s="70" t="s">
        <v>1152</v>
      </c>
      <c r="R155" s="70" t="s">
        <v>1152</v>
      </c>
      <c r="S155" s="70" t="s">
        <v>1152</v>
      </c>
      <c r="T155" s="70" t="s">
        <v>1152</v>
      </c>
      <c r="U155" s="70" t="s">
        <v>1152</v>
      </c>
      <c r="V155" s="70" t="s">
        <v>1152</v>
      </c>
      <c r="W155" s="70" t="s">
        <v>1152</v>
      </c>
      <c r="X155" s="70" t="s">
        <v>1152</v>
      </c>
      <c r="Y155" s="70" t="s">
        <v>1152</v>
      </c>
      <c r="Z155" s="70" t="s">
        <v>1152</v>
      </c>
      <c r="AA155" s="70" t="s">
        <v>1152</v>
      </c>
      <c r="AB155" s="70" t="s">
        <v>1152</v>
      </c>
      <c r="AC155" s="70" t="s">
        <v>1152</v>
      </c>
      <c r="AD155" s="70" t="s">
        <v>1152</v>
      </c>
      <c r="AE155" s="70" t="s">
        <v>1152</v>
      </c>
      <c r="AF155" s="70" t="s">
        <v>1152</v>
      </c>
      <c r="AG155" s="70" t="s">
        <v>1152</v>
      </c>
      <c r="AH155" s="70" t="s">
        <v>1152</v>
      </c>
      <c r="AI155" s="70" t="s">
        <v>1152</v>
      </c>
      <c r="AJ155" s="70" t="s">
        <v>1152</v>
      </c>
      <c r="AK155" s="70" t="s">
        <v>1152</v>
      </c>
      <c r="AL155" s="70" t="s">
        <v>1152</v>
      </c>
      <c r="AM155" s="70" t="s">
        <v>1152</v>
      </c>
    </row>
    <row r="156" spans="5:39" x14ac:dyDescent="0.25">
      <c r="E156" s="335"/>
      <c r="F156" s="2" t="s">
        <v>260</v>
      </c>
      <c r="G156" s="70"/>
      <c r="H156" s="70" t="s">
        <v>1152</v>
      </c>
      <c r="I156" s="70" t="s">
        <v>1152</v>
      </c>
      <c r="J156" s="70"/>
      <c r="K156" s="70"/>
      <c r="L156" s="70" t="s">
        <v>1152</v>
      </c>
      <c r="M156" s="70" t="s">
        <v>1152</v>
      </c>
      <c r="N156" s="70" t="s">
        <v>1152</v>
      </c>
      <c r="O156" s="70" t="s">
        <v>1152</v>
      </c>
      <c r="P156" s="70" t="s">
        <v>1152</v>
      </c>
      <c r="Q156" s="70" t="s">
        <v>1152</v>
      </c>
      <c r="R156" s="70" t="s">
        <v>1152</v>
      </c>
      <c r="S156" s="70" t="s">
        <v>1152</v>
      </c>
      <c r="T156" s="70" t="s">
        <v>1152</v>
      </c>
      <c r="U156" s="70" t="s">
        <v>1152</v>
      </c>
      <c r="V156" s="70" t="s">
        <v>1152</v>
      </c>
      <c r="W156" s="70" t="s">
        <v>1152</v>
      </c>
      <c r="X156" s="70" t="s">
        <v>1152</v>
      </c>
      <c r="Y156" s="70" t="s">
        <v>1152</v>
      </c>
      <c r="Z156" s="70" t="s">
        <v>1152</v>
      </c>
      <c r="AA156" s="70" t="s">
        <v>1152</v>
      </c>
      <c r="AB156" s="70" t="s">
        <v>1152</v>
      </c>
      <c r="AC156" s="70" t="s">
        <v>1152</v>
      </c>
      <c r="AD156" s="70" t="s">
        <v>1152</v>
      </c>
      <c r="AE156" s="70" t="s">
        <v>1152</v>
      </c>
      <c r="AF156" s="70" t="s">
        <v>1152</v>
      </c>
      <c r="AG156" s="70" t="s">
        <v>1152</v>
      </c>
      <c r="AH156" s="70" t="s">
        <v>1152</v>
      </c>
      <c r="AI156" s="70" t="s">
        <v>1152</v>
      </c>
      <c r="AJ156" s="70" t="s">
        <v>1152</v>
      </c>
      <c r="AK156" s="70" t="s">
        <v>1152</v>
      </c>
      <c r="AL156" s="70" t="s">
        <v>1152</v>
      </c>
      <c r="AM156" s="70" t="s">
        <v>1152</v>
      </c>
    </row>
    <row r="157" spans="5:39" x14ac:dyDescent="0.25">
      <c r="E157" s="335"/>
      <c r="F157" s="2" t="s">
        <v>261</v>
      </c>
      <c r="G157" s="70"/>
      <c r="H157" s="70" t="s">
        <v>1152</v>
      </c>
      <c r="I157" s="70" t="s">
        <v>1152</v>
      </c>
      <c r="J157" s="70"/>
      <c r="K157" s="70"/>
      <c r="L157" s="70" t="s">
        <v>1152</v>
      </c>
      <c r="M157" s="70" t="s">
        <v>1152</v>
      </c>
      <c r="N157" s="70" t="s">
        <v>1152</v>
      </c>
      <c r="O157" s="70" t="s">
        <v>1152</v>
      </c>
      <c r="P157" s="70" t="s">
        <v>1152</v>
      </c>
      <c r="Q157" s="70" t="s">
        <v>1152</v>
      </c>
      <c r="R157" s="70" t="s">
        <v>1152</v>
      </c>
      <c r="S157" s="70" t="s">
        <v>1152</v>
      </c>
      <c r="T157" s="70" t="s">
        <v>1152</v>
      </c>
      <c r="U157" s="70" t="s">
        <v>1152</v>
      </c>
      <c r="V157" s="70" t="s">
        <v>1152</v>
      </c>
      <c r="W157" s="70" t="s">
        <v>1152</v>
      </c>
      <c r="X157" s="70" t="s">
        <v>1152</v>
      </c>
      <c r="Y157" s="70" t="s">
        <v>1152</v>
      </c>
      <c r="Z157" s="70" t="s">
        <v>1152</v>
      </c>
      <c r="AA157" s="70" t="s">
        <v>1152</v>
      </c>
      <c r="AB157" s="70" t="s">
        <v>1152</v>
      </c>
      <c r="AC157" s="70" t="s">
        <v>1152</v>
      </c>
      <c r="AD157" s="70" t="s">
        <v>1152</v>
      </c>
      <c r="AE157" s="70" t="s">
        <v>1152</v>
      </c>
      <c r="AF157" s="70" t="s">
        <v>1152</v>
      </c>
      <c r="AG157" s="70" t="s">
        <v>1152</v>
      </c>
      <c r="AH157" s="70" t="s">
        <v>1152</v>
      </c>
      <c r="AI157" s="70" t="s">
        <v>1152</v>
      </c>
      <c r="AJ157" s="70" t="s">
        <v>1152</v>
      </c>
      <c r="AK157" s="70" t="s">
        <v>1152</v>
      </c>
      <c r="AL157" s="70" t="s">
        <v>1152</v>
      </c>
      <c r="AM157" s="70" t="s">
        <v>1152</v>
      </c>
    </row>
    <row r="158" spans="5:39" x14ac:dyDescent="0.25">
      <c r="E158" s="335"/>
      <c r="F158" s="2" t="s">
        <v>262</v>
      </c>
      <c r="G158" s="70"/>
      <c r="H158" s="70" t="s">
        <v>1152</v>
      </c>
      <c r="I158" s="70" t="s">
        <v>1152</v>
      </c>
      <c r="J158" s="70"/>
      <c r="K158" s="70"/>
      <c r="L158" s="70" t="s">
        <v>1152</v>
      </c>
      <c r="M158" s="70" t="s">
        <v>1152</v>
      </c>
      <c r="N158" s="70" t="s">
        <v>1152</v>
      </c>
      <c r="O158" s="70" t="s">
        <v>1152</v>
      </c>
      <c r="P158" s="70" t="s">
        <v>1152</v>
      </c>
      <c r="Q158" s="70" t="s">
        <v>1152</v>
      </c>
      <c r="R158" s="70" t="s">
        <v>1152</v>
      </c>
      <c r="S158" s="70" t="s">
        <v>1152</v>
      </c>
      <c r="T158" s="70" t="s">
        <v>1152</v>
      </c>
      <c r="U158" s="70" t="s">
        <v>1152</v>
      </c>
      <c r="V158" s="70" t="s">
        <v>1152</v>
      </c>
      <c r="W158" s="70" t="s">
        <v>1152</v>
      </c>
      <c r="X158" s="70" t="s">
        <v>1152</v>
      </c>
      <c r="Y158" s="70" t="s">
        <v>1152</v>
      </c>
      <c r="Z158" s="70" t="s">
        <v>1152</v>
      </c>
      <c r="AA158" s="70" t="s">
        <v>1152</v>
      </c>
      <c r="AB158" s="70" t="s">
        <v>1152</v>
      </c>
      <c r="AC158" s="70" t="s">
        <v>1152</v>
      </c>
      <c r="AD158" s="70" t="s">
        <v>1152</v>
      </c>
      <c r="AE158" s="70" t="s">
        <v>1152</v>
      </c>
      <c r="AF158" s="70" t="s">
        <v>1152</v>
      </c>
      <c r="AG158" s="70" t="s">
        <v>1152</v>
      </c>
      <c r="AH158" s="70" t="s">
        <v>1152</v>
      </c>
      <c r="AI158" s="70" t="s">
        <v>1152</v>
      </c>
      <c r="AJ158" s="70" t="s">
        <v>1152</v>
      </c>
      <c r="AK158" s="70" t="s">
        <v>1152</v>
      </c>
      <c r="AL158" s="70" t="s">
        <v>1152</v>
      </c>
      <c r="AM158" s="70" t="s">
        <v>1152</v>
      </c>
    </row>
    <row r="159" spans="5:39" x14ac:dyDescent="0.25">
      <c r="E159" s="335"/>
      <c r="F159" s="2" t="s">
        <v>263</v>
      </c>
      <c r="G159" s="70"/>
      <c r="H159" s="70" t="s">
        <v>1152</v>
      </c>
      <c r="I159" s="70" t="s">
        <v>1152</v>
      </c>
      <c r="J159" s="70"/>
      <c r="K159" s="70"/>
      <c r="L159" s="70" t="s">
        <v>1152</v>
      </c>
      <c r="M159" s="70" t="s">
        <v>1152</v>
      </c>
      <c r="N159" s="70" t="s">
        <v>1152</v>
      </c>
      <c r="O159" s="70" t="s">
        <v>1152</v>
      </c>
      <c r="P159" s="70" t="s">
        <v>1152</v>
      </c>
      <c r="Q159" s="70" t="s">
        <v>1152</v>
      </c>
      <c r="R159" s="70" t="s">
        <v>1152</v>
      </c>
      <c r="S159" s="70" t="s">
        <v>1152</v>
      </c>
      <c r="T159" s="70" t="s">
        <v>1152</v>
      </c>
      <c r="U159" s="70" t="s">
        <v>1152</v>
      </c>
      <c r="V159" s="70" t="s">
        <v>1152</v>
      </c>
      <c r="W159" s="70" t="s">
        <v>1152</v>
      </c>
      <c r="X159" s="70" t="s">
        <v>1152</v>
      </c>
      <c r="Y159" s="70" t="s">
        <v>1152</v>
      </c>
      <c r="Z159" s="70" t="s">
        <v>1152</v>
      </c>
      <c r="AA159" s="70" t="s">
        <v>1152</v>
      </c>
      <c r="AB159" s="70" t="s">
        <v>1152</v>
      </c>
      <c r="AC159" s="70" t="s">
        <v>1152</v>
      </c>
      <c r="AD159" s="70" t="s">
        <v>1152</v>
      </c>
      <c r="AE159" s="70" t="s">
        <v>1152</v>
      </c>
      <c r="AF159" s="70" t="s">
        <v>1152</v>
      </c>
      <c r="AG159" s="70" t="s">
        <v>1152</v>
      </c>
      <c r="AH159" s="70" t="s">
        <v>1152</v>
      </c>
      <c r="AI159" s="70" t="s">
        <v>1152</v>
      </c>
      <c r="AJ159" s="70" t="s">
        <v>1152</v>
      </c>
      <c r="AK159" s="70" t="s">
        <v>1152</v>
      </c>
      <c r="AL159" s="70" t="s">
        <v>1152</v>
      </c>
      <c r="AM159" s="70" t="s">
        <v>1152</v>
      </c>
    </row>
    <row r="160" spans="5:39" x14ac:dyDescent="0.25">
      <c r="E160" s="335"/>
      <c r="F160" s="2" t="s">
        <v>264</v>
      </c>
      <c r="G160" s="70"/>
      <c r="H160" s="70" t="s">
        <v>1152</v>
      </c>
      <c r="I160" s="70" t="s">
        <v>1152</v>
      </c>
      <c r="J160" s="70"/>
      <c r="K160" s="70"/>
      <c r="L160" s="70" t="s">
        <v>1152</v>
      </c>
      <c r="M160" s="70" t="s">
        <v>1152</v>
      </c>
      <c r="N160" s="70" t="s">
        <v>1152</v>
      </c>
      <c r="O160" s="70" t="s">
        <v>1152</v>
      </c>
      <c r="P160" s="70" t="s">
        <v>1152</v>
      </c>
      <c r="Q160" s="70" t="s">
        <v>1152</v>
      </c>
      <c r="R160" s="70" t="s">
        <v>1152</v>
      </c>
      <c r="S160" s="70" t="s">
        <v>1152</v>
      </c>
      <c r="T160" s="70" t="s">
        <v>1152</v>
      </c>
      <c r="U160" s="70" t="s">
        <v>1152</v>
      </c>
      <c r="V160" s="70" t="s">
        <v>1152</v>
      </c>
      <c r="W160" s="70" t="s">
        <v>1152</v>
      </c>
      <c r="X160" s="70" t="s">
        <v>1152</v>
      </c>
      <c r="Y160" s="70" t="s">
        <v>1152</v>
      </c>
      <c r="Z160" s="70" t="s">
        <v>1152</v>
      </c>
      <c r="AA160" s="70" t="s">
        <v>1152</v>
      </c>
      <c r="AB160" s="70" t="s">
        <v>1152</v>
      </c>
      <c r="AC160" s="70" t="s">
        <v>1152</v>
      </c>
      <c r="AD160" s="70" t="s">
        <v>1152</v>
      </c>
      <c r="AE160" s="70" t="s">
        <v>1152</v>
      </c>
      <c r="AF160" s="70" t="s">
        <v>1152</v>
      </c>
      <c r="AG160" s="70" t="s">
        <v>1152</v>
      </c>
      <c r="AH160" s="70" t="s">
        <v>1152</v>
      </c>
      <c r="AI160" s="70" t="s">
        <v>1152</v>
      </c>
      <c r="AJ160" s="70" t="s">
        <v>1152</v>
      </c>
      <c r="AK160" s="70" t="s">
        <v>1152</v>
      </c>
      <c r="AL160" s="70" t="s">
        <v>1152</v>
      </c>
      <c r="AM160" s="70" t="s">
        <v>1152</v>
      </c>
    </row>
    <row r="161" spans="5:39" x14ac:dyDescent="0.25">
      <c r="E161" s="335"/>
      <c r="F161" s="2" t="s">
        <v>265</v>
      </c>
      <c r="G161" s="70"/>
      <c r="H161" s="70" t="s">
        <v>1152</v>
      </c>
      <c r="I161" s="70" t="s">
        <v>1152</v>
      </c>
      <c r="J161" s="70"/>
      <c r="K161" s="70"/>
      <c r="L161" s="70" t="s">
        <v>1152</v>
      </c>
      <c r="M161" s="70" t="s">
        <v>1152</v>
      </c>
      <c r="N161" s="70" t="s">
        <v>1152</v>
      </c>
      <c r="O161" s="70" t="s">
        <v>1152</v>
      </c>
      <c r="P161" s="70" t="s">
        <v>1152</v>
      </c>
      <c r="Q161" s="70" t="s">
        <v>1152</v>
      </c>
      <c r="R161" s="70" t="s">
        <v>1152</v>
      </c>
      <c r="S161" s="70" t="s">
        <v>1152</v>
      </c>
      <c r="T161" s="70" t="s">
        <v>1152</v>
      </c>
      <c r="U161" s="70" t="s">
        <v>1152</v>
      </c>
      <c r="V161" s="70" t="s">
        <v>1152</v>
      </c>
      <c r="W161" s="70" t="s">
        <v>1152</v>
      </c>
      <c r="X161" s="70" t="s">
        <v>1152</v>
      </c>
      <c r="Y161" s="70" t="s">
        <v>1152</v>
      </c>
      <c r="Z161" s="70" t="s">
        <v>1152</v>
      </c>
      <c r="AA161" s="70" t="s">
        <v>1152</v>
      </c>
      <c r="AB161" s="70" t="s">
        <v>1152</v>
      </c>
      <c r="AC161" s="70" t="s">
        <v>1152</v>
      </c>
      <c r="AD161" s="70" t="s">
        <v>1152</v>
      </c>
      <c r="AE161" s="70" t="s">
        <v>1152</v>
      </c>
      <c r="AF161" s="70" t="s">
        <v>1152</v>
      </c>
      <c r="AG161" s="70" t="s">
        <v>1152</v>
      </c>
      <c r="AH161" s="70" t="s">
        <v>1152</v>
      </c>
      <c r="AI161" s="70" t="s">
        <v>1152</v>
      </c>
      <c r="AJ161" s="70" t="s">
        <v>1152</v>
      </c>
      <c r="AK161" s="70" t="s">
        <v>1152</v>
      </c>
      <c r="AL161" s="70" t="s">
        <v>1152</v>
      </c>
      <c r="AM161" s="70" t="s">
        <v>1152</v>
      </c>
    </row>
    <row r="162" spans="5:39" x14ac:dyDescent="0.25">
      <c r="E162" s="335"/>
      <c r="F162" s="2" t="s">
        <v>266</v>
      </c>
      <c r="G162" s="70"/>
      <c r="H162" s="70" t="s">
        <v>1152</v>
      </c>
      <c r="I162" s="70" t="s">
        <v>1152</v>
      </c>
      <c r="J162" s="70"/>
      <c r="K162" s="70"/>
      <c r="L162" s="70" t="s">
        <v>1152</v>
      </c>
      <c r="M162" s="70" t="s">
        <v>1152</v>
      </c>
      <c r="N162" s="70" t="s">
        <v>1152</v>
      </c>
      <c r="O162" s="70" t="s">
        <v>1152</v>
      </c>
      <c r="P162" s="70" t="s">
        <v>1152</v>
      </c>
      <c r="Q162" s="70" t="s">
        <v>1152</v>
      </c>
      <c r="R162" s="70" t="s">
        <v>1152</v>
      </c>
      <c r="S162" s="70" t="s">
        <v>1152</v>
      </c>
      <c r="T162" s="70" t="s">
        <v>1152</v>
      </c>
      <c r="U162" s="70" t="s">
        <v>1152</v>
      </c>
      <c r="V162" s="70" t="s">
        <v>1152</v>
      </c>
      <c r="W162" s="70" t="s">
        <v>1152</v>
      </c>
      <c r="X162" s="70" t="s">
        <v>1152</v>
      </c>
      <c r="Y162" s="70" t="s">
        <v>1152</v>
      </c>
      <c r="Z162" s="70" t="s">
        <v>1152</v>
      </c>
      <c r="AA162" s="70" t="s">
        <v>1152</v>
      </c>
      <c r="AB162" s="70" t="s">
        <v>1152</v>
      </c>
      <c r="AC162" s="70" t="s">
        <v>1152</v>
      </c>
      <c r="AD162" s="70" t="s">
        <v>1152</v>
      </c>
      <c r="AE162" s="70" t="s">
        <v>1152</v>
      </c>
      <c r="AF162" s="70" t="s">
        <v>1152</v>
      </c>
      <c r="AG162" s="70" t="s">
        <v>1152</v>
      </c>
      <c r="AH162" s="70" t="s">
        <v>1152</v>
      </c>
      <c r="AI162" s="70" t="s">
        <v>1152</v>
      </c>
      <c r="AJ162" s="70" t="s">
        <v>1152</v>
      </c>
      <c r="AK162" s="70" t="s">
        <v>1152</v>
      </c>
      <c r="AL162" s="70" t="s">
        <v>1152</v>
      </c>
      <c r="AM162" s="70" t="s">
        <v>1152</v>
      </c>
    </row>
    <row r="163" spans="5:39" x14ac:dyDescent="0.25">
      <c r="E163" s="335"/>
      <c r="F163" s="2" t="s">
        <v>267</v>
      </c>
      <c r="G163" s="70"/>
      <c r="H163" s="70" t="s">
        <v>1152</v>
      </c>
      <c r="I163" s="70" t="s">
        <v>1152</v>
      </c>
      <c r="J163" s="70"/>
      <c r="K163" s="70"/>
      <c r="L163" s="70" t="s">
        <v>1152</v>
      </c>
      <c r="M163" s="70" t="s">
        <v>1152</v>
      </c>
      <c r="N163" s="70" t="s">
        <v>1152</v>
      </c>
      <c r="O163" s="70" t="s">
        <v>1152</v>
      </c>
      <c r="P163" s="70" t="s">
        <v>1152</v>
      </c>
      <c r="Q163" s="70" t="s">
        <v>1152</v>
      </c>
      <c r="R163" s="70" t="s">
        <v>1152</v>
      </c>
      <c r="S163" s="70" t="s">
        <v>1152</v>
      </c>
      <c r="T163" s="70" t="s">
        <v>1152</v>
      </c>
      <c r="U163" s="70" t="s">
        <v>1152</v>
      </c>
      <c r="V163" s="70" t="s">
        <v>1152</v>
      </c>
      <c r="W163" s="70" t="s">
        <v>1152</v>
      </c>
      <c r="X163" s="70" t="s">
        <v>1152</v>
      </c>
      <c r="Y163" s="70" t="s">
        <v>1152</v>
      </c>
      <c r="Z163" s="70" t="s">
        <v>1152</v>
      </c>
      <c r="AA163" s="70" t="s">
        <v>1152</v>
      </c>
      <c r="AB163" s="70" t="s">
        <v>1152</v>
      </c>
      <c r="AC163" s="70" t="s">
        <v>1152</v>
      </c>
      <c r="AD163" s="70" t="s">
        <v>1152</v>
      </c>
      <c r="AE163" s="70" t="s">
        <v>1152</v>
      </c>
      <c r="AF163" s="70" t="s">
        <v>1152</v>
      </c>
      <c r="AG163" s="70" t="s">
        <v>1152</v>
      </c>
      <c r="AH163" s="70" t="s">
        <v>1152</v>
      </c>
      <c r="AI163" s="70" t="s">
        <v>1152</v>
      </c>
      <c r="AJ163" s="70" t="s">
        <v>1152</v>
      </c>
      <c r="AK163" s="70" t="s">
        <v>1152</v>
      </c>
      <c r="AL163" s="70" t="s">
        <v>1152</v>
      </c>
      <c r="AM163" s="70" t="s">
        <v>1152</v>
      </c>
    </row>
    <row r="164" spans="5:39" ht="15.75" thickBot="1" x14ac:dyDescent="0.3">
      <c r="E164" s="336"/>
      <c r="F164" s="109" t="s">
        <v>268</v>
      </c>
      <c r="G164" s="70"/>
      <c r="H164" s="70" t="s">
        <v>1152</v>
      </c>
      <c r="I164" s="70" t="s">
        <v>1152</v>
      </c>
      <c r="J164" s="70"/>
      <c r="K164" s="70"/>
      <c r="L164" s="70" t="s">
        <v>1152</v>
      </c>
      <c r="M164" s="70" t="s">
        <v>1152</v>
      </c>
      <c r="N164" s="70" t="s">
        <v>1152</v>
      </c>
      <c r="O164" s="70" t="s">
        <v>1152</v>
      </c>
      <c r="P164" s="70" t="s">
        <v>1152</v>
      </c>
      <c r="Q164" s="70" t="s">
        <v>1152</v>
      </c>
      <c r="R164" s="70" t="s">
        <v>1152</v>
      </c>
      <c r="S164" s="70" t="s">
        <v>1152</v>
      </c>
      <c r="T164" s="70" t="s">
        <v>1152</v>
      </c>
      <c r="U164" s="70" t="s">
        <v>1152</v>
      </c>
      <c r="V164" s="70" t="s">
        <v>1152</v>
      </c>
      <c r="W164" s="70" t="s">
        <v>1152</v>
      </c>
      <c r="X164" s="70" t="s">
        <v>1152</v>
      </c>
      <c r="Y164" s="70" t="s">
        <v>1152</v>
      </c>
      <c r="Z164" s="70" t="s">
        <v>1152</v>
      </c>
      <c r="AA164" s="70" t="s">
        <v>1152</v>
      </c>
      <c r="AB164" s="70" t="s">
        <v>1152</v>
      </c>
      <c r="AC164" s="70" t="s">
        <v>1152</v>
      </c>
      <c r="AD164" s="70" t="s">
        <v>1152</v>
      </c>
      <c r="AE164" s="70" t="s">
        <v>1152</v>
      </c>
      <c r="AF164" s="70" t="s">
        <v>1152</v>
      </c>
      <c r="AG164" s="70" t="s">
        <v>1152</v>
      </c>
      <c r="AH164" s="70" t="s">
        <v>1152</v>
      </c>
      <c r="AI164" s="70" t="s">
        <v>1152</v>
      </c>
      <c r="AJ164" s="70" t="s">
        <v>1152</v>
      </c>
      <c r="AK164" s="70" t="s">
        <v>1152</v>
      </c>
      <c r="AL164" s="70" t="s">
        <v>1152</v>
      </c>
      <c r="AM164" s="70" t="s">
        <v>1152</v>
      </c>
    </row>
    <row r="165" spans="5:39" ht="15" customHeight="1" x14ac:dyDescent="0.25">
      <c r="E165" s="334" t="s">
        <v>846</v>
      </c>
      <c r="F165" s="107" t="s">
        <v>891</v>
      </c>
      <c r="G165" s="70">
        <v>116.917</v>
      </c>
      <c r="H165" s="70">
        <v>116.917</v>
      </c>
      <c r="I165" s="70">
        <v>116.917</v>
      </c>
      <c r="J165" s="70">
        <v>120</v>
      </c>
      <c r="K165" s="70">
        <v>116.917</v>
      </c>
      <c r="L165" s="70">
        <v>116.917</v>
      </c>
      <c r="M165" s="70">
        <v>116.917</v>
      </c>
      <c r="N165" s="70">
        <v>116.917</v>
      </c>
      <c r="O165" s="70">
        <v>87.5</v>
      </c>
      <c r="P165" s="70" t="s">
        <v>1152</v>
      </c>
      <c r="Q165" s="70" t="s">
        <v>1152</v>
      </c>
      <c r="R165" s="70" t="s">
        <v>1152</v>
      </c>
      <c r="S165" s="70" t="s">
        <v>1152</v>
      </c>
      <c r="T165" s="70" t="s">
        <v>1152</v>
      </c>
      <c r="U165" s="70" t="s">
        <v>1152</v>
      </c>
      <c r="V165" s="70" t="s">
        <v>1152</v>
      </c>
      <c r="W165" s="70" t="s">
        <v>1152</v>
      </c>
      <c r="X165" s="70" t="s">
        <v>1152</v>
      </c>
      <c r="Y165" s="70" t="s">
        <v>1152</v>
      </c>
      <c r="Z165" s="70" t="s">
        <v>1152</v>
      </c>
      <c r="AA165" s="70" t="s">
        <v>1152</v>
      </c>
      <c r="AB165" s="70" t="s">
        <v>1152</v>
      </c>
      <c r="AC165" s="70" t="s">
        <v>1152</v>
      </c>
      <c r="AD165" s="70" t="s">
        <v>1152</v>
      </c>
      <c r="AE165" s="70" t="s">
        <v>1152</v>
      </c>
      <c r="AF165" s="70" t="s">
        <v>1152</v>
      </c>
      <c r="AG165" s="70" t="s">
        <v>1152</v>
      </c>
      <c r="AH165" s="70" t="s">
        <v>1152</v>
      </c>
      <c r="AI165" s="70" t="s">
        <v>1152</v>
      </c>
      <c r="AJ165" s="70" t="s">
        <v>1152</v>
      </c>
      <c r="AK165" s="70">
        <v>122.54300000000001</v>
      </c>
      <c r="AL165" s="70">
        <v>112.54</v>
      </c>
      <c r="AM165" s="70">
        <v>99.215000000000003</v>
      </c>
    </row>
    <row r="166" spans="5:39" x14ac:dyDescent="0.25">
      <c r="E166" s="335"/>
      <c r="F166" s="110" t="s">
        <v>892</v>
      </c>
      <c r="G166" s="70">
        <v>117.833</v>
      </c>
      <c r="H166" s="70">
        <v>117.833</v>
      </c>
      <c r="I166" s="70">
        <v>117.833</v>
      </c>
      <c r="J166" s="70">
        <v>120</v>
      </c>
      <c r="K166" s="70">
        <v>117.833</v>
      </c>
      <c r="L166" s="70">
        <v>117.833</v>
      </c>
      <c r="M166" s="70">
        <v>117.833</v>
      </c>
      <c r="N166" s="70">
        <v>117.833</v>
      </c>
      <c r="O166" s="70">
        <v>87.5</v>
      </c>
      <c r="P166" s="70" t="s">
        <v>1152</v>
      </c>
      <c r="Q166" s="70" t="s">
        <v>1152</v>
      </c>
      <c r="R166" s="70" t="s">
        <v>1152</v>
      </c>
      <c r="S166" s="70" t="s">
        <v>1152</v>
      </c>
      <c r="T166" s="70" t="s">
        <v>1152</v>
      </c>
      <c r="U166" s="70" t="s">
        <v>1152</v>
      </c>
      <c r="V166" s="70" t="s">
        <v>1152</v>
      </c>
      <c r="W166" s="70" t="s">
        <v>1152</v>
      </c>
      <c r="X166" s="70" t="s">
        <v>1152</v>
      </c>
      <c r="Y166" s="70" t="s">
        <v>1152</v>
      </c>
      <c r="Z166" s="70" t="s">
        <v>1152</v>
      </c>
      <c r="AA166" s="70" t="s">
        <v>1152</v>
      </c>
      <c r="AB166" s="70" t="s">
        <v>1152</v>
      </c>
      <c r="AC166" s="70" t="s">
        <v>1152</v>
      </c>
      <c r="AD166" s="70" t="s">
        <v>1152</v>
      </c>
      <c r="AE166" s="70" t="s">
        <v>1152</v>
      </c>
      <c r="AF166" s="70" t="s">
        <v>1152</v>
      </c>
      <c r="AG166" s="70" t="s">
        <v>1152</v>
      </c>
      <c r="AH166" s="70" t="s">
        <v>1152</v>
      </c>
      <c r="AI166" s="70" t="s">
        <v>1152</v>
      </c>
      <c r="AJ166" s="70" t="s">
        <v>1152</v>
      </c>
      <c r="AK166" s="70">
        <v>122.47799999999999</v>
      </c>
      <c r="AL166" s="70">
        <v>112.45399999999999</v>
      </c>
      <c r="AM166" s="70">
        <v>99.14</v>
      </c>
    </row>
    <row r="167" spans="5:39" x14ac:dyDescent="0.25">
      <c r="E167" s="335"/>
      <c r="F167" s="110" t="s">
        <v>191</v>
      </c>
      <c r="G167" s="70">
        <v>118.749</v>
      </c>
      <c r="H167" s="70">
        <v>118.749</v>
      </c>
      <c r="I167" s="70">
        <v>118.749</v>
      </c>
      <c r="J167" s="70">
        <v>120</v>
      </c>
      <c r="K167" s="70">
        <v>118.749</v>
      </c>
      <c r="L167" s="70">
        <v>118.749</v>
      </c>
      <c r="M167" s="70">
        <v>118.749</v>
      </c>
      <c r="N167" s="70">
        <v>118.749</v>
      </c>
      <c r="O167" s="70">
        <v>87.5</v>
      </c>
      <c r="P167" s="70" t="s">
        <v>1152</v>
      </c>
      <c r="Q167" s="70" t="s">
        <v>1152</v>
      </c>
      <c r="R167" s="70" t="s">
        <v>1152</v>
      </c>
      <c r="S167" s="70" t="s">
        <v>1152</v>
      </c>
      <c r="T167" s="70" t="s">
        <v>1152</v>
      </c>
      <c r="U167" s="70" t="s">
        <v>1152</v>
      </c>
      <c r="V167" s="70" t="s">
        <v>1152</v>
      </c>
      <c r="W167" s="70" t="s">
        <v>1152</v>
      </c>
      <c r="X167" s="70" t="s">
        <v>1152</v>
      </c>
      <c r="Y167" s="70" t="s">
        <v>1152</v>
      </c>
      <c r="Z167" s="70" t="s">
        <v>1152</v>
      </c>
      <c r="AA167" s="70" t="s">
        <v>1152</v>
      </c>
      <c r="AB167" s="70" t="s">
        <v>1152</v>
      </c>
      <c r="AC167" s="70" t="s">
        <v>1152</v>
      </c>
      <c r="AD167" s="70" t="s">
        <v>1152</v>
      </c>
      <c r="AE167" s="70" t="s">
        <v>1152</v>
      </c>
      <c r="AF167" s="70" t="s">
        <v>1152</v>
      </c>
      <c r="AG167" s="70" t="s">
        <v>1152</v>
      </c>
      <c r="AH167" s="70" t="s">
        <v>1152</v>
      </c>
      <c r="AI167" s="70" t="s">
        <v>1152</v>
      </c>
      <c r="AJ167" s="70" t="s">
        <v>1152</v>
      </c>
      <c r="AK167" s="70">
        <v>122.41200000000001</v>
      </c>
      <c r="AL167" s="70">
        <v>112.369</v>
      </c>
      <c r="AM167" s="70">
        <v>99.064999999999998</v>
      </c>
    </row>
    <row r="168" spans="5:39" x14ac:dyDescent="0.25">
      <c r="E168" s="335"/>
      <c r="F168" s="110" t="s">
        <v>192</v>
      </c>
      <c r="G168" s="70">
        <v>119.666</v>
      </c>
      <c r="H168" s="70">
        <v>119.666</v>
      </c>
      <c r="I168" s="70">
        <v>119.666</v>
      </c>
      <c r="J168" s="70">
        <v>120</v>
      </c>
      <c r="K168" s="70">
        <v>119.666</v>
      </c>
      <c r="L168" s="70">
        <v>119.666</v>
      </c>
      <c r="M168" s="70">
        <v>119.666</v>
      </c>
      <c r="N168" s="70">
        <v>119.666</v>
      </c>
      <c r="O168" s="70">
        <v>87.5</v>
      </c>
      <c r="P168" s="70" t="s">
        <v>1152</v>
      </c>
      <c r="Q168" s="70" t="s">
        <v>1152</v>
      </c>
      <c r="R168" s="70" t="s">
        <v>1152</v>
      </c>
      <c r="S168" s="70" t="s">
        <v>1152</v>
      </c>
      <c r="T168" s="70" t="s">
        <v>1152</v>
      </c>
      <c r="U168" s="70" t="s">
        <v>1152</v>
      </c>
      <c r="V168" s="70" t="s">
        <v>1152</v>
      </c>
      <c r="W168" s="70" t="s">
        <v>1152</v>
      </c>
      <c r="X168" s="70" t="s">
        <v>1152</v>
      </c>
      <c r="Y168" s="70" t="s">
        <v>1152</v>
      </c>
      <c r="Z168" s="70" t="s">
        <v>1152</v>
      </c>
      <c r="AA168" s="70" t="s">
        <v>1152</v>
      </c>
      <c r="AB168" s="70" t="s">
        <v>1152</v>
      </c>
      <c r="AC168" s="70" t="s">
        <v>1152</v>
      </c>
      <c r="AD168" s="70" t="s">
        <v>1152</v>
      </c>
      <c r="AE168" s="70" t="s">
        <v>1152</v>
      </c>
      <c r="AF168" s="70" t="s">
        <v>1152</v>
      </c>
      <c r="AG168" s="70" t="s">
        <v>1152</v>
      </c>
      <c r="AH168" s="70" t="s">
        <v>1152</v>
      </c>
      <c r="AI168" s="70" t="s">
        <v>1152</v>
      </c>
      <c r="AJ168" s="70" t="s">
        <v>1152</v>
      </c>
      <c r="AK168" s="70">
        <v>122.34699999999999</v>
      </c>
      <c r="AL168" s="70">
        <v>112.28400000000001</v>
      </c>
      <c r="AM168" s="70">
        <v>98.989000000000004</v>
      </c>
    </row>
    <row r="169" spans="5:39" x14ac:dyDescent="0.25">
      <c r="E169" s="335"/>
      <c r="F169" s="110" t="s">
        <v>193</v>
      </c>
      <c r="G169" s="70">
        <v>120.583</v>
      </c>
      <c r="H169" s="70">
        <v>120.583</v>
      </c>
      <c r="I169" s="70">
        <v>120.583</v>
      </c>
      <c r="J169" s="70">
        <v>120</v>
      </c>
      <c r="K169" s="70">
        <v>120.583</v>
      </c>
      <c r="L169" s="70">
        <v>120.583</v>
      </c>
      <c r="M169" s="70">
        <v>120.583</v>
      </c>
      <c r="N169" s="70">
        <v>120.583</v>
      </c>
      <c r="O169" s="70">
        <v>87.507999999999996</v>
      </c>
      <c r="P169" s="70" t="s">
        <v>1152</v>
      </c>
      <c r="Q169" s="70" t="s">
        <v>1152</v>
      </c>
      <c r="R169" s="70" t="s">
        <v>1152</v>
      </c>
      <c r="S169" s="70" t="s">
        <v>1152</v>
      </c>
      <c r="T169" s="70" t="s">
        <v>1152</v>
      </c>
      <c r="U169" s="70" t="s">
        <v>1152</v>
      </c>
      <c r="V169" s="70" t="s">
        <v>1152</v>
      </c>
      <c r="W169" s="70" t="s">
        <v>1152</v>
      </c>
      <c r="X169" s="70" t="s">
        <v>1152</v>
      </c>
      <c r="Y169" s="70" t="s">
        <v>1152</v>
      </c>
      <c r="Z169" s="70" t="s">
        <v>1152</v>
      </c>
      <c r="AA169" s="70" t="s">
        <v>1152</v>
      </c>
      <c r="AB169" s="70" t="s">
        <v>1152</v>
      </c>
      <c r="AC169" s="70" t="s">
        <v>1152</v>
      </c>
      <c r="AD169" s="70" t="s">
        <v>1152</v>
      </c>
      <c r="AE169" s="70" t="s">
        <v>1152</v>
      </c>
      <c r="AF169" s="70" t="s">
        <v>1152</v>
      </c>
      <c r="AG169" s="70" t="s">
        <v>1152</v>
      </c>
      <c r="AH169" s="70" t="s">
        <v>1152</v>
      </c>
      <c r="AI169" s="70" t="s">
        <v>1152</v>
      </c>
      <c r="AJ169" s="70" t="s">
        <v>1152</v>
      </c>
      <c r="AK169" s="70">
        <v>122.28100000000001</v>
      </c>
      <c r="AL169" s="70">
        <v>112.19799999999999</v>
      </c>
      <c r="AM169" s="70">
        <v>98.914000000000001</v>
      </c>
    </row>
    <row r="170" spans="5:39" x14ac:dyDescent="0.25">
      <c r="E170" s="335"/>
      <c r="F170" s="110" t="s">
        <v>194</v>
      </c>
      <c r="G170" s="70"/>
      <c r="H170" s="70" t="s">
        <v>1152</v>
      </c>
      <c r="I170" s="70" t="s">
        <v>1152</v>
      </c>
      <c r="J170" s="70"/>
      <c r="K170" s="70"/>
      <c r="L170" s="70" t="s">
        <v>1152</v>
      </c>
      <c r="M170" s="70" t="s">
        <v>1152</v>
      </c>
      <c r="N170" s="70" t="s">
        <v>1152</v>
      </c>
      <c r="O170" s="70">
        <v>87.531999999999996</v>
      </c>
      <c r="P170" s="70" t="s">
        <v>1152</v>
      </c>
      <c r="Q170" s="70" t="s">
        <v>1152</v>
      </c>
      <c r="R170" s="70" t="s">
        <v>1152</v>
      </c>
      <c r="S170" s="70" t="s">
        <v>1152</v>
      </c>
      <c r="T170" s="70" t="s">
        <v>1152</v>
      </c>
      <c r="U170" s="70" t="s">
        <v>1152</v>
      </c>
      <c r="V170" s="70" t="s">
        <v>1152</v>
      </c>
      <c r="W170" s="70" t="s">
        <v>1152</v>
      </c>
      <c r="X170" s="70" t="s">
        <v>1152</v>
      </c>
      <c r="Y170" s="70" t="s">
        <v>1152</v>
      </c>
      <c r="Z170" s="70" t="s">
        <v>1152</v>
      </c>
      <c r="AA170" s="70" t="s">
        <v>1152</v>
      </c>
      <c r="AB170" s="70" t="s">
        <v>1152</v>
      </c>
      <c r="AC170" s="70" t="s">
        <v>1152</v>
      </c>
      <c r="AD170" s="70" t="s">
        <v>1152</v>
      </c>
      <c r="AE170" s="70" t="s">
        <v>1152</v>
      </c>
      <c r="AF170" s="70" t="s">
        <v>1152</v>
      </c>
      <c r="AG170" s="70" t="s">
        <v>1152</v>
      </c>
      <c r="AH170" s="70" t="s">
        <v>1152</v>
      </c>
      <c r="AI170" s="70" t="s">
        <v>1152</v>
      </c>
      <c r="AJ170" s="70" t="s">
        <v>1152</v>
      </c>
      <c r="AK170" s="70">
        <v>122.214</v>
      </c>
      <c r="AL170" s="70">
        <v>112.24299999999999</v>
      </c>
      <c r="AM170" s="70">
        <v>98.923000000000002</v>
      </c>
    </row>
    <row r="171" spans="5:39" x14ac:dyDescent="0.25">
      <c r="E171" s="335"/>
      <c r="F171" s="110" t="s">
        <v>195</v>
      </c>
      <c r="G171" s="70"/>
      <c r="H171" s="70" t="s">
        <v>1152</v>
      </c>
      <c r="I171" s="70" t="s">
        <v>1152</v>
      </c>
      <c r="J171" s="70"/>
      <c r="K171" s="70"/>
      <c r="L171" s="70" t="s">
        <v>1152</v>
      </c>
      <c r="M171" s="70" t="s">
        <v>1152</v>
      </c>
      <c r="N171" s="70" t="s">
        <v>1152</v>
      </c>
      <c r="O171" s="70" t="s">
        <v>1152</v>
      </c>
      <c r="P171" s="70" t="s">
        <v>1152</v>
      </c>
      <c r="Q171" s="70" t="s">
        <v>1152</v>
      </c>
      <c r="R171" s="70" t="s">
        <v>1152</v>
      </c>
      <c r="S171" s="70" t="s">
        <v>1152</v>
      </c>
      <c r="T171" s="70" t="s">
        <v>1152</v>
      </c>
      <c r="U171" s="70" t="s">
        <v>1152</v>
      </c>
      <c r="V171" s="70" t="s">
        <v>1152</v>
      </c>
      <c r="W171" s="70" t="s">
        <v>1152</v>
      </c>
      <c r="X171" s="70" t="s">
        <v>1152</v>
      </c>
      <c r="Y171" s="70" t="s">
        <v>1152</v>
      </c>
      <c r="Z171" s="70" t="s">
        <v>1152</v>
      </c>
      <c r="AA171" s="70" t="s">
        <v>1152</v>
      </c>
      <c r="AB171" s="70" t="s">
        <v>1152</v>
      </c>
      <c r="AC171" s="70" t="s">
        <v>1152</v>
      </c>
      <c r="AD171" s="70" t="s">
        <v>1152</v>
      </c>
      <c r="AE171" s="70" t="s">
        <v>1152</v>
      </c>
      <c r="AF171" s="70" t="s">
        <v>1152</v>
      </c>
      <c r="AG171" s="70" t="s">
        <v>1152</v>
      </c>
      <c r="AH171" s="70" t="s">
        <v>1152</v>
      </c>
      <c r="AI171" s="70" t="s">
        <v>1152</v>
      </c>
      <c r="AJ171" s="70" t="s">
        <v>1152</v>
      </c>
      <c r="AK171" s="70">
        <v>122.151</v>
      </c>
      <c r="AL171" s="70" t="s">
        <v>1152</v>
      </c>
      <c r="AM171" s="70">
        <v>99.058999999999997</v>
      </c>
    </row>
    <row r="172" spans="5:39" x14ac:dyDescent="0.25">
      <c r="E172" s="335"/>
      <c r="F172" s="110" t="s">
        <v>196</v>
      </c>
      <c r="G172" s="70"/>
      <c r="H172" s="70" t="s">
        <v>1152</v>
      </c>
      <c r="I172" s="70" t="s">
        <v>1152</v>
      </c>
      <c r="J172" s="70"/>
      <c r="K172" s="70"/>
      <c r="L172" s="70" t="s">
        <v>1152</v>
      </c>
      <c r="M172" s="70" t="s">
        <v>1152</v>
      </c>
      <c r="N172" s="70" t="s">
        <v>1152</v>
      </c>
      <c r="O172" s="70" t="s">
        <v>1152</v>
      </c>
      <c r="P172" s="70" t="s">
        <v>1152</v>
      </c>
      <c r="Q172" s="70" t="s">
        <v>1152</v>
      </c>
      <c r="R172" s="70" t="s">
        <v>1152</v>
      </c>
      <c r="S172" s="70" t="s">
        <v>1152</v>
      </c>
      <c r="T172" s="70" t="s">
        <v>1152</v>
      </c>
      <c r="U172" s="70" t="s">
        <v>1152</v>
      </c>
      <c r="V172" s="70" t="s">
        <v>1152</v>
      </c>
      <c r="W172" s="70" t="s">
        <v>1152</v>
      </c>
      <c r="X172" s="70" t="s">
        <v>1152</v>
      </c>
      <c r="Y172" s="70" t="s">
        <v>1152</v>
      </c>
      <c r="Z172" s="70" t="s">
        <v>1152</v>
      </c>
      <c r="AA172" s="70" t="s">
        <v>1152</v>
      </c>
      <c r="AB172" s="70" t="s">
        <v>1152</v>
      </c>
      <c r="AC172" s="70" t="s">
        <v>1152</v>
      </c>
      <c r="AD172" s="70" t="s">
        <v>1152</v>
      </c>
      <c r="AE172" s="70" t="s">
        <v>1152</v>
      </c>
      <c r="AF172" s="70" t="s">
        <v>1152</v>
      </c>
      <c r="AG172" s="70" t="s">
        <v>1152</v>
      </c>
      <c r="AH172" s="70" t="s">
        <v>1152</v>
      </c>
      <c r="AI172" s="70" t="s">
        <v>1152</v>
      </c>
      <c r="AJ172" s="70" t="s">
        <v>1152</v>
      </c>
      <c r="AK172" s="70" t="s">
        <v>1152</v>
      </c>
      <c r="AL172" s="70" t="s">
        <v>1152</v>
      </c>
      <c r="AM172" s="70" t="s">
        <v>1152</v>
      </c>
    </row>
    <row r="173" spans="5:39" x14ac:dyDescent="0.25">
      <c r="E173" s="335"/>
      <c r="F173" s="110" t="s">
        <v>197</v>
      </c>
      <c r="G173" s="70"/>
      <c r="H173" s="70" t="s">
        <v>1152</v>
      </c>
      <c r="I173" s="70" t="s">
        <v>1152</v>
      </c>
      <c r="J173" s="70"/>
      <c r="K173" s="70"/>
      <c r="L173" s="70" t="s">
        <v>1152</v>
      </c>
      <c r="M173" s="70" t="s">
        <v>1152</v>
      </c>
      <c r="N173" s="70" t="s">
        <v>1152</v>
      </c>
      <c r="O173" s="70" t="s">
        <v>1152</v>
      </c>
      <c r="P173" s="70" t="s">
        <v>1152</v>
      </c>
      <c r="Q173" s="70" t="s">
        <v>1152</v>
      </c>
      <c r="R173" s="70" t="s">
        <v>1152</v>
      </c>
      <c r="S173" s="70" t="s">
        <v>1152</v>
      </c>
      <c r="T173" s="70" t="s">
        <v>1152</v>
      </c>
      <c r="U173" s="70" t="s">
        <v>1152</v>
      </c>
      <c r="V173" s="70" t="s">
        <v>1152</v>
      </c>
      <c r="W173" s="70" t="s">
        <v>1152</v>
      </c>
      <c r="X173" s="70" t="s">
        <v>1152</v>
      </c>
      <c r="Y173" s="70" t="s">
        <v>1152</v>
      </c>
      <c r="Z173" s="70" t="s">
        <v>1152</v>
      </c>
      <c r="AA173" s="70" t="s">
        <v>1152</v>
      </c>
      <c r="AB173" s="70" t="s">
        <v>1152</v>
      </c>
      <c r="AC173" s="70" t="s">
        <v>1152</v>
      </c>
      <c r="AD173" s="70" t="s">
        <v>1152</v>
      </c>
      <c r="AE173" s="70" t="s">
        <v>1152</v>
      </c>
      <c r="AF173" s="70" t="s">
        <v>1152</v>
      </c>
      <c r="AG173" s="70" t="s">
        <v>1152</v>
      </c>
      <c r="AH173" s="70" t="s">
        <v>1152</v>
      </c>
      <c r="AI173" s="70" t="s">
        <v>1152</v>
      </c>
      <c r="AJ173" s="70" t="s">
        <v>1152</v>
      </c>
      <c r="AK173" s="70" t="s">
        <v>1152</v>
      </c>
      <c r="AL173" s="70" t="s">
        <v>1152</v>
      </c>
      <c r="AM173" s="70" t="s">
        <v>1152</v>
      </c>
    </row>
    <row r="174" spans="5:39" x14ac:dyDescent="0.25">
      <c r="E174" s="335"/>
      <c r="F174" s="110" t="s">
        <v>198</v>
      </c>
      <c r="G174" s="70"/>
      <c r="H174" s="70" t="s">
        <v>1152</v>
      </c>
      <c r="I174" s="70" t="s">
        <v>1152</v>
      </c>
      <c r="J174" s="70"/>
      <c r="K174" s="70"/>
      <c r="L174" s="70" t="s">
        <v>1152</v>
      </c>
      <c r="M174" s="70" t="s">
        <v>1152</v>
      </c>
      <c r="N174" s="70" t="s">
        <v>1152</v>
      </c>
      <c r="O174" s="70" t="s">
        <v>1152</v>
      </c>
      <c r="P174" s="70" t="s">
        <v>1152</v>
      </c>
      <c r="Q174" s="70" t="s">
        <v>1152</v>
      </c>
      <c r="R174" s="70" t="s">
        <v>1152</v>
      </c>
      <c r="S174" s="70" t="s">
        <v>1152</v>
      </c>
      <c r="T174" s="70" t="s">
        <v>1152</v>
      </c>
      <c r="U174" s="70" t="s">
        <v>1152</v>
      </c>
      <c r="V174" s="70" t="s">
        <v>1152</v>
      </c>
      <c r="W174" s="70" t="s">
        <v>1152</v>
      </c>
      <c r="X174" s="70" t="s">
        <v>1152</v>
      </c>
      <c r="Y174" s="70" t="s">
        <v>1152</v>
      </c>
      <c r="Z174" s="70" t="s">
        <v>1152</v>
      </c>
      <c r="AA174" s="70" t="s">
        <v>1152</v>
      </c>
      <c r="AB174" s="70" t="s">
        <v>1152</v>
      </c>
      <c r="AC174" s="70" t="s">
        <v>1152</v>
      </c>
      <c r="AD174" s="70" t="s">
        <v>1152</v>
      </c>
      <c r="AE174" s="70" t="s">
        <v>1152</v>
      </c>
      <c r="AF174" s="70" t="s">
        <v>1152</v>
      </c>
      <c r="AG174" s="70" t="s">
        <v>1152</v>
      </c>
      <c r="AH174" s="70" t="s">
        <v>1152</v>
      </c>
      <c r="AI174" s="70" t="s">
        <v>1152</v>
      </c>
      <c r="AJ174" s="70" t="s">
        <v>1152</v>
      </c>
      <c r="AK174" s="70" t="s">
        <v>1152</v>
      </c>
      <c r="AL174" s="70" t="s">
        <v>1152</v>
      </c>
      <c r="AM174" s="70" t="s">
        <v>1152</v>
      </c>
    </row>
    <row r="175" spans="5:39" x14ac:dyDescent="0.25">
      <c r="E175" s="335"/>
      <c r="F175" s="110" t="s">
        <v>199</v>
      </c>
      <c r="G175" s="70"/>
      <c r="H175" s="70" t="s">
        <v>1152</v>
      </c>
      <c r="I175" s="70" t="s">
        <v>1152</v>
      </c>
      <c r="J175" s="70"/>
      <c r="K175" s="70"/>
      <c r="L175" s="70" t="s">
        <v>1152</v>
      </c>
      <c r="M175" s="70" t="s">
        <v>1152</v>
      </c>
      <c r="N175" s="70" t="s">
        <v>1152</v>
      </c>
      <c r="O175" s="70" t="s">
        <v>1152</v>
      </c>
      <c r="P175" s="70" t="s">
        <v>1152</v>
      </c>
      <c r="Q175" s="70" t="s">
        <v>1152</v>
      </c>
      <c r="R175" s="70" t="s">
        <v>1152</v>
      </c>
      <c r="S175" s="70" t="s">
        <v>1152</v>
      </c>
      <c r="T175" s="70" t="s">
        <v>1152</v>
      </c>
      <c r="U175" s="70" t="s">
        <v>1152</v>
      </c>
      <c r="V175" s="70" t="s">
        <v>1152</v>
      </c>
      <c r="W175" s="70" t="s">
        <v>1152</v>
      </c>
      <c r="X175" s="70" t="s">
        <v>1152</v>
      </c>
      <c r="Y175" s="70" t="s">
        <v>1152</v>
      </c>
      <c r="Z175" s="70" t="s">
        <v>1152</v>
      </c>
      <c r="AA175" s="70" t="s">
        <v>1152</v>
      </c>
      <c r="AB175" s="70" t="s">
        <v>1152</v>
      </c>
      <c r="AC175" s="70" t="s">
        <v>1152</v>
      </c>
      <c r="AD175" s="70" t="s">
        <v>1152</v>
      </c>
      <c r="AE175" s="70" t="s">
        <v>1152</v>
      </c>
      <c r="AF175" s="70" t="s">
        <v>1152</v>
      </c>
      <c r="AG175" s="70" t="s">
        <v>1152</v>
      </c>
      <c r="AH175" s="70" t="s">
        <v>1152</v>
      </c>
      <c r="AI175" s="70" t="s">
        <v>1152</v>
      </c>
      <c r="AJ175" s="70" t="s">
        <v>1152</v>
      </c>
      <c r="AK175" s="70" t="s">
        <v>1152</v>
      </c>
      <c r="AL175" s="70" t="s">
        <v>1152</v>
      </c>
      <c r="AM175" s="70" t="s">
        <v>1152</v>
      </c>
    </row>
    <row r="176" spans="5:39" x14ac:dyDescent="0.25">
      <c r="E176" s="335"/>
      <c r="F176" s="110" t="s">
        <v>200</v>
      </c>
      <c r="G176" s="70"/>
      <c r="H176" s="70" t="s">
        <v>1152</v>
      </c>
      <c r="I176" s="70" t="s">
        <v>1152</v>
      </c>
      <c r="J176" s="70"/>
      <c r="K176" s="70"/>
      <c r="L176" s="70" t="s">
        <v>1152</v>
      </c>
      <c r="M176" s="70" t="s">
        <v>1152</v>
      </c>
      <c r="N176" s="70" t="s">
        <v>1152</v>
      </c>
      <c r="O176" s="70" t="s">
        <v>1152</v>
      </c>
      <c r="P176" s="70" t="s">
        <v>1152</v>
      </c>
      <c r="Q176" s="70" t="s">
        <v>1152</v>
      </c>
      <c r="R176" s="70" t="s">
        <v>1152</v>
      </c>
      <c r="S176" s="70" t="s">
        <v>1152</v>
      </c>
      <c r="T176" s="70" t="s">
        <v>1152</v>
      </c>
      <c r="U176" s="70" t="s">
        <v>1152</v>
      </c>
      <c r="V176" s="70" t="s">
        <v>1152</v>
      </c>
      <c r="W176" s="70" t="s">
        <v>1152</v>
      </c>
      <c r="X176" s="70" t="s">
        <v>1152</v>
      </c>
      <c r="Y176" s="70" t="s">
        <v>1152</v>
      </c>
      <c r="Z176" s="70" t="s">
        <v>1152</v>
      </c>
      <c r="AA176" s="70" t="s">
        <v>1152</v>
      </c>
      <c r="AB176" s="70" t="s">
        <v>1152</v>
      </c>
      <c r="AC176" s="70" t="s">
        <v>1152</v>
      </c>
      <c r="AD176" s="70" t="s">
        <v>1152</v>
      </c>
      <c r="AE176" s="70" t="s">
        <v>1152</v>
      </c>
      <c r="AF176" s="70" t="s">
        <v>1152</v>
      </c>
      <c r="AG176" s="70" t="s">
        <v>1152</v>
      </c>
      <c r="AH176" s="70" t="s">
        <v>1152</v>
      </c>
      <c r="AI176" s="70" t="s">
        <v>1152</v>
      </c>
      <c r="AJ176" s="70" t="s">
        <v>1152</v>
      </c>
      <c r="AK176" s="70" t="s">
        <v>1152</v>
      </c>
      <c r="AL176" s="70" t="s">
        <v>1152</v>
      </c>
      <c r="AM176" s="70" t="s">
        <v>1152</v>
      </c>
    </row>
    <row r="177" spans="5:39" x14ac:dyDescent="0.25">
      <c r="E177" s="335"/>
      <c r="F177" s="110" t="s">
        <v>201</v>
      </c>
      <c r="G177" s="70"/>
      <c r="H177" s="70" t="s">
        <v>1152</v>
      </c>
      <c r="I177" s="70" t="s">
        <v>1152</v>
      </c>
      <c r="J177" s="70"/>
      <c r="K177" s="70"/>
      <c r="L177" s="70" t="s">
        <v>1152</v>
      </c>
      <c r="M177" s="70" t="s">
        <v>1152</v>
      </c>
      <c r="N177" s="70" t="s">
        <v>1152</v>
      </c>
      <c r="O177" s="70" t="s">
        <v>1152</v>
      </c>
      <c r="P177" s="70" t="s">
        <v>1152</v>
      </c>
      <c r="Q177" s="70" t="s">
        <v>1152</v>
      </c>
      <c r="R177" s="70" t="s">
        <v>1152</v>
      </c>
      <c r="S177" s="70" t="s">
        <v>1152</v>
      </c>
      <c r="T177" s="70" t="s">
        <v>1152</v>
      </c>
      <c r="U177" s="70" t="s">
        <v>1152</v>
      </c>
      <c r="V177" s="70" t="s">
        <v>1152</v>
      </c>
      <c r="W177" s="70" t="s">
        <v>1152</v>
      </c>
      <c r="X177" s="70" t="s">
        <v>1152</v>
      </c>
      <c r="Y177" s="70" t="s">
        <v>1152</v>
      </c>
      <c r="Z177" s="70" t="s">
        <v>1152</v>
      </c>
      <c r="AA177" s="70" t="s">
        <v>1152</v>
      </c>
      <c r="AB177" s="70" t="s">
        <v>1152</v>
      </c>
      <c r="AC177" s="70" t="s">
        <v>1152</v>
      </c>
      <c r="AD177" s="70" t="s">
        <v>1152</v>
      </c>
      <c r="AE177" s="70" t="s">
        <v>1152</v>
      </c>
      <c r="AF177" s="70" t="s">
        <v>1152</v>
      </c>
      <c r="AG177" s="70" t="s">
        <v>1152</v>
      </c>
      <c r="AH177" s="70" t="s">
        <v>1152</v>
      </c>
      <c r="AI177" s="70" t="s">
        <v>1152</v>
      </c>
      <c r="AJ177" s="70" t="s">
        <v>1152</v>
      </c>
      <c r="AK177" s="70" t="s">
        <v>1152</v>
      </c>
      <c r="AL177" s="70" t="s">
        <v>1152</v>
      </c>
      <c r="AM177" s="70" t="s">
        <v>1152</v>
      </c>
    </row>
    <row r="178" spans="5:39" x14ac:dyDescent="0.25">
      <c r="E178" s="335"/>
      <c r="F178" s="110" t="s">
        <v>202</v>
      </c>
      <c r="G178" s="70"/>
      <c r="H178" s="70" t="s">
        <v>1152</v>
      </c>
      <c r="I178" s="70" t="s">
        <v>1152</v>
      </c>
      <c r="J178" s="70"/>
      <c r="K178" s="70"/>
      <c r="L178" s="70" t="s">
        <v>1152</v>
      </c>
      <c r="M178" s="70" t="s">
        <v>1152</v>
      </c>
      <c r="N178" s="70" t="s">
        <v>1152</v>
      </c>
      <c r="O178" s="70" t="s">
        <v>1152</v>
      </c>
      <c r="P178" s="70" t="s">
        <v>1152</v>
      </c>
      <c r="Q178" s="70" t="s">
        <v>1152</v>
      </c>
      <c r="R178" s="70" t="s">
        <v>1152</v>
      </c>
      <c r="S178" s="70" t="s">
        <v>1152</v>
      </c>
      <c r="T178" s="70" t="s">
        <v>1152</v>
      </c>
      <c r="U178" s="70" t="s">
        <v>1152</v>
      </c>
      <c r="V178" s="70" t="s">
        <v>1152</v>
      </c>
      <c r="W178" s="70" t="s">
        <v>1152</v>
      </c>
      <c r="X178" s="70" t="s">
        <v>1152</v>
      </c>
      <c r="Y178" s="70" t="s">
        <v>1152</v>
      </c>
      <c r="Z178" s="70" t="s">
        <v>1152</v>
      </c>
      <c r="AA178" s="70" t="s">
        <v>1152</v>
      </c>
      <c r="AB178" s="70" t="s">
        <v>1152</v>
      </c>
      <c r="AC178" s="70" t="s">
        <v>1152</v>
      </c>
      <c r="AD178" s="70" t="s">
        <v>1152</v>
      </c>
      <c r="AE178" s="70" t="s">
        <v>1152</v>
      </c>
      <c r="AF178" s="70" t="s">
        <v>1152</v>
      </c>
      <c r="AG178" s="70" t="s">
        <v>1152</v>
      </c>
      <c r="AH178" s="70" t="s">
        <v>1152</v>
      </c>
      <c r="AI178" s="70" t="s">
        <v>1152</v>
      </c>
      <c r="AJ178" s="70" t="s">
        <v>1152</v>
      </c>
      <c r="AK178" s="70" t="s">
        <v>1152</v>
      </c>
      <c r="AL178" s="70" t="s">
        <v>1152</v>
      </c>
      <c r="AM178" s="70" t="s">
        <v>1152</v>
      </c>
    </row>
    <row r="179" spans="5:39" x14ac:dyDescent="0.25">
      <c r="E179" s="335"/>
      <c r="F179" s="110" t="s">
        <v>203</v>
      </c>
      <c r="G179" s="70"/>
      <c r="H179" s="70" t="s">
        <v>1152</v>
      </c>
      <c r="I179" s="70" t="s">
        <v>1152</v>
      </c>
      <c r="J179" s="70"/>
      <c r="K179" s="70"/>
      <c r="L179" s="70" t="s">
        <v>1152</v>
      </c>
      <c r="M179" s="70" t="s">
        <v>1152</v>
      </c>
      <c r="N179" s="70" t="s">
        <v>1152</v>
      </c>
      <c r="O179" s="70" t="s">
        <v>1152</v>
      </c>
      <c r="P179" s="70" t="s">
        <v>1152</v>
      </c>
      <c r="Q179" s="70" t="s">
        <v>1152</v>
      </c>
      <c r="R179" s="70" t="s">
        <v>1152</v>
      </c>
      <c r="S179" s="70" t="s">
        <v>1152</v>
      </c>
      <c r="T179" s="70" t="s">
        <v>1152</v>
      </c>
      <c r="U179" s="70" t="s">
        <v>1152</v>
      </c>
      <c r="V179" s="70" t="s">
        <v>1152</v>
      </c>
      <c r="W179" s="70" t="s">
        <v>1152</v>
      </c>
      <c r="X179" s="70" t="s">
        <v>1152</v>
      </c>
      <c r="Y179" s="70" t="s">
        <v>1152</v>
      </c>
      <c r="Z179" s="70" t="s">
        <v>1152</v>
      </c>
      <c r="AA179" s="70" t="s">
        <v>1152</v>
      </c>
      <c r="AB179" s="70" t="s">
        <v>1152</v>
      </c>
      <c r="AC179" s="70" t="s">
        <v>1152</v>
      </c>
      <c r="AD179" s="70" t="s">
        <v>1152</v>
      </c>
      <c r="AE179" s="70" t="s">
        <v>1152</v>
      </c>
      <c r="AF179" s="70" t="s">
        <v>1152</v>
      </c>
      <c r="AG179" s="70" t="s">
        <v>1152</v>
      </c>
      <c r="AH179" s="70" t="s">
        <v>1152</v>
      </c>
      <c r="AI179" s="70" t="s">
        <v>1152</v>
      </c>
      <c r="AJ179" s="70" t="s">
        <v>1152</v>
      </c>
      <c r="AK179" s="70" t="s">
        <v>1152</v>
      </c>
      <c r="AL179" s="70" t="s">
        <v>1152</v>
      </c>
      <c r="AM179" s="70" t="s">
        <v>1152</v>
      </c>
    </row>
    <row r="180" spans="5:39" x14ac:dyDescent="0.25">
      <c r="E180" s="335"/>
      <c r="F180" s="110" t="s">
        <v>204</v>
      </c>
      <c r="G180" s="70"/>
      <c r="H180" s="70" t="s">
        <v>1152</v>
      </c>
      <c r="I180" s="70" t="s">
        <v>1152</v>
      </c>
      <c r="J180" s="70"/>
      <c r="K180" s="70"/>
      <c r="L180" s="70" t="s">
        <v>1152</v>
      </c>
      <c r="M180" s="70" t="s">
        <v>1152</v>
      </c>
      <c r="N180" s="70" t="s">
        <v>1152</v>
      </c>
      <c r="O180" s="70" t="s">
        <v>1152</v>
      </c>
      <c r="P180" s="70" t="s">
        <v>1152</v>
      </c>
      <c r="Q180" s="70" t="s">
        <v>1152</v>
      </c>
      <c r="R180" s="70" t="s">
        <v>1152</v>
      </c>
      <c r="S180" s="70" t="s">
        <v>1152</v>
      </c>
      <c r="T180" s="70" t="s">
        <v>1152</v>
      </c>
      <c r="U180" s="70" t="s">
        <v>1152</v>
      </c>
      <c r="V180" s="70" t="s">
        <v>1152</v>
      </c>
      <c r="W180" s="70" t="s">
        <v>1152</v>
      </c>
      <c r="X180" s="70" t="s">
        <v>1152</v>
      </c>
      <c r="Y180" s="70" t="s">
        <v>1152</v>
      </c>
      <c r="Z180" s="70" t="s">
        <v>1152</v>
      </c>
      <c r="AA180" s="70" t="s">
        <v>1152</v>
      </c>
      <c r="AB180" s="70" t="s">
        <v>1152</v>
      </c>
      <c r="AC180" s="70" t="s">
        <v>1152</v>
      </c>
      <c r="AD180" s="70" t="s">
        <v>1152</v>
      </c>
      <c r="AE180" s="70" t="s">
        <v>1152</v>
      </c>
      <c r="AF180" s="70" t="s">
        <v>1152</v>
      </c>
      <c r="AG180" s="70" t="s">
        <v>1152</v>
      </c>
      <c r="AH180" s="70" t="s">
        <v>1152</v>
      </c>
      <c r="AI180" s="70" t="s">
        <v>1152</v>
      </c>
      <c r="AJ180" s="70" t="s">
        <v>1152</v>
      </c>
      <c r="AK180" s="70" t="s">
        <v>1152</v>
      </c>
      <c r="AL180" s="70" t="s">
        <v>1152</v>
      </c>
      <c r="AM180" s="70" t="s">
        <v>1152</v>
      </c>
    </row>
    <row r="181" spans="5:39" x14ac:dyDescent="0.25">
      <c r="E181" s="335"/>
      <c r="F181" s="110" t="s">
        <v>205</v>
      </c>
      <c r="G181" s="70"/>
      <c r="H181" s="70" t="s">
        <v>1152</v>
      </c>
      <c r="I181" s="70" t="s">
        <v>1152</v>
      </c>
      <c r="J181" s="70"/>
      <c r="K181" s="70"/>
      <c r="L181" s="70" t="s">
        <v>1152</v>
      </c>
      <c r="M181" s="70" t="s">
        <v>1152</v>
      </c>
      <c r="N181" s="70" t="s">
        <v>1152</v>
      </c>
      <c r="O181" s="70" t="s">
        <v>1152</v>
      </c>
      <c r="P181" s="70" t="s">
        <v>1152</v>
      </c>
      <c r="Q181" s="70" t="s">
        <v>1152</v>
      </c>
      <c r="R181" s="70" t="s">
        <v>1152</v>
      </c>
      <c r="S181" s="70" t="s">
        <v>1152</v>
      </c>
      <c r="T181" s="70" t="s">
        <v>1152</v>
      </c>
      <c r="U181" s="70" t="s">
        <v>1152</v>
      </c>
      <c r="V181" s="70" t="s">
        <v>1152</v>
      </c>
      <c r="W181" s="70" t="s">
        <v>1152</v>
      </c>
      <c r="X181" s="70" t="s">
        <v>1152</v>
      </c>
      <c r="Y181" s="70" t="s">
        <v>1152</v>
      </c>
      <c r="Z181" s="70" t="s">
        <v>1152</v>
      </c>
      <c r="AA181" s="70" t="s">
        <v>1152</v>
      </c>
      <c r="AB181" s="70" t="s">
        <v>1152</v>
      </c>
      <c r="AC181" s="70" t="s">
        <v>1152</v>
      </c>
      <c r="AD181" s="70" t="s">
        <v>1152</v>
      </c>
      <c r="AE181" s="70" t="s">
        <v>1152</v>
      </c>
      <c r="AF181" s="70" t="s">
        <v>1152</v>
      </c>
      <c r="AG181" s="70" t="s">
        <v>1152</v>
      </c>
      <c r="AH181" s="70" t="s">
        <v>1152</v>
      </c>
      <c r="AI181" s="70" t="s">
        <v>1152</v>
      </c>
      <c r="AJ181" s="70" t="s">
        <v>1152</v>
      </c>
      <c r="AK181" s="70" t="s">
        <v>1152</v>
      </c>
      <c r="AL181" s="70" t="s">
        <v>1152</v>
      </c>
      <c r="AM181" s="70" t="s">
        <v>1152</v>
      </c>
    </row>
    <row r="182" spans="5:39" x14ac:dyDescent="0.25">
      <c r="E182" s="335"/>
      <c r="F182" s="110" t="s">
        <v>206</v>
      </c>
      <c r="G182" s="70"/>
      <c r="H182" s="70" t="s">
        <v>1152</v>
      </c>
      <c r="I182" s="70" t="s">
        <v>1152</v>
      </c>
      <c r="J182" s="70"/>
      <c r="K182" s="70"/>
      <c r="L182" s="70" t="s">
        <v>1152</v>
      </c>
      <c r="M182" s="70" t="s">
        <v>1152</v>
      </c>
      <c r="N182" s="70" t="s">
        <v>1152</v>
      </c>
      <c r="O182" s="70" t="s">
        <v>1152</v>
      </c>
      <c r="P182" s="70" t="s">
        <v>1152</v>
      </c>
      <c r="Q182" s="70" t="s">
        <v>1152</v>
      </c>
      <c r="R182" s="70" t="s">
        <v>1152</v>
      </c>
      <c r="S182" s="70" t="s">
        <v>1152</v>
      </c>
      <c r="T182" s="70" t="s">
        <v>1152</v>
      </c>
      <c r="U182" s="70" t="s">
        <v>1152</v>
      </c>
      <c r="V182" s="70" t="s">
        <v>1152</v>
      </c>
      <c r="W182" s="70" t="s">
        <v>1152</v>
      </c>
      <c r="X182" s="70" t="s">
        <v>1152</v>
      </c>
      <c r="Y182" s="70" t="s">
        <v>1152</v>
      </c>
      <c r="Z182" s="70" t="s">
        <v>1152</v>
      </c>
      <c r="AA182" s="70" t="s">
        <v>1152</v>
      </c>
      <c r="AB182" s="70" t="s">
        <v>1152</v>
      </c>
      <c r="AC182" s="70" t="s">
        <v>1152</v>
      </c>
      <c r="AD182" s="70" t="s">
        <v>1152</v>
      </c>
      <c r="AE182" s="70" t="s">
        <v>1152</v>
      </c>
      <c r="AF182" s="70" t="s">
        <v>1152</v>
      </c>
      <c r="AG182" s="70" t="s">
        <v>1152</v>
      </c>
      <c r="AH182" s="70" t="s">
        <v>1152</v>
      </c>
      <c r="AI182" s="70" t="s">
        <v>1152</v>
      </c>
      <c r="AJ182" s="70" t="s">
        <v>1152</v>
      </c>
      <c r="AK182" s="70" t="s">
        <v>1152</v>
      </c>
      <c r="AL182" s="70" t="s">
        <v>1152</v>
      </c>
      <c r="AM182" s="70" t="s">
        <v>1152</v>
      </c>
    </row>
    <row r="183" spans="5:39" x14ac:dyDescent="0.25">
      <c r="E183" s="335"/>
      <c r="F183" s="110" t="s">
        <v>207</v>
      </c>
      <c r="G183" s="70"/>
      <c r="H183" s="70" t="s">
        <v>1152</v>
      </c>
      <c r="I183" s="70" t="s">
        <v>1152</v>
      </c>
      <c r="J183" s="70"/>
      <c r="K183" s="70"/>
      <c r="L183" s="70" t="s">
        <v>1152</v>
      </c>
      <c r="M183" s="70" t="s">
        <v>1152</v>
      </c>
      <c r="N183" s="70" t="s">
        <v>1152</v>
      </c>
      <c r="O183" s="70" t="s">
        <v>1152</v>
      </c>
      <c r="P183" s="70" t="s">
        <v>1152</v>
      </c>
      <c r="Q183" s="70" t="s">
        <v>1152</v>
      </c>
      <c r="R183" s="70" t="s">
        <v>1152</v>
      </c>
      <c r="S183" s="70" t="s">
        <v>1152</v>
      </c>
      <c r="T183" s="70" t="s">
        <v>1152</v>
      </c>
      <c r="U183" s="70" t="s">
        <v>1152</v>
      </c>
      <c r="V183" s="70" t="s">
        <v>1152</v>
      </c>
      <c r="W183" s="70" t="s">
        <v>1152</v>
      </c>
      <c r="X183" s="70" t="s">
        <v>1152</v>
      </c>
      <c r="Y183" s="70" t="s">
        <v>1152</v>
      </c>
      <c r="Z183" s="70" t="s">
        <v>1152</v>
      </c>
      <c r="AA183" s="70" t="s">
        <v>1152</v>
      </c>
      <c r="AB183" s="70" t="s">
        <v>1152</v>
      </c>
      <c r="AC183" s="70" t="s">
        <v>1152</v>
      </c>
      <c r="AD183" s="70" t="s">
        <v>1152</v>
      </c>
      <c r="AE183" s="70" t="s">
        <v>1152</v>
      </c>
      <c r="AF183" s="70" t="s">
        <v>1152</v>
      </c>
      <c r="AG183" s="70" t="s">
        <v>1152</v>
      </c>
      <c r="AH183" s="70" t="s">
        <v>1152</v>
      </c>
      <c r="AI183" s="70" t="s">
        <v>1152</v>
      </c>
      <c r="AJ183" s="70" t="s">
        <v>1152</v>
      </c>
      <c r="AK183" s="70" t="s">
        <v>1152</v>
      </c>
      <c r="AL183" s="70" t="s">
        <v>1152</v>
      </c>
      <c r="AM183" s="70" t="s">
        <v>1152</v>
      </c>
    </row>
    <row r="184" spans="5:39" ht="15.75" thickBot="1" x14ac:dyDescent="0.3">
      <c r="E184" s="336"/>
      <c r="F184" s="111" t="s">
        <v>208</v>
      </c>
      <c r="G184" s="70"/>
      <c r="H184" s="70" t="s">
        <v>1152</v>
      </c>
      <c r="I184" s="70" t="s">
        <v>1152</v>
      </c>
      <c r="J184" s="70"/>
      <c r="K184" s="70"/>
      <c r="L184" s="70" t="s">
        <v>1152</v>
      </c>
      <c r="M184" s="70" t="s">
        <v>1152</v>
      </c>
      <c r="N184" s="70" t="s">
        <v>1152</v>
      </c>
      <c r="O184" s="70" t="s">
        <v>1152</v>
      </c>
      <c r="P184" s="70" t="s">
        <v>1152</v>
      </c>
      <c r="Q184" s="70" t="s">
        <v>1152</v>
      </c>
      <c r="R184" s="70" t="s">
        <v>1152</v>
      </c>
      <c r="S184" s="70" t="s">
        <v>1152</v>
      </c>
      <c r="T184" s="70" t="s">
        <v>1152</v>
      </c>
      <c r="U184" s="70" t="s">
        <v>1152</v>
      </c>
      <c r="V184" s="70" t="s">
        <v>1152</v>
      </c>
      <c r="W184" s="70" t="s">
        <v>1152</v>
      </c>
      <c r="X184" s="70" t="s">
        <v>1152</v>
      </c>
      <c r="Y184" s="70" t="s">
        <v>1152</v>
      </c>
      <c r="Z184" s="70" t="s">
        <v>1152</v>
      </c>
      <c r="AA184" s="70" t="s">
        <v>1152</v>
      </c>
      <c r="AB184" s="70" t="s">
        <v>1152</v>
      </c>
      <c r="AC184" s="70" t="s">
        <v>1152</v>
      </c>
      <c r="AD184" s="70" t="s">
        <v>1152</v>
      </c>
      <c r="AE184" s="70" t="s">
        <v>1152</v>
      </c>
      <c r="AF184" s="70" t="s">
        <v>1152</v>
      </c>
      <c r="AG184" s="70" t="s">
        <v>1152</v>
      </c>
      <c r="AH184" s="70" t="s">
        <v>1152</v>
      </c>
      <c r="AI184" s="70" t="s">
        <v>1152</v>
      </c>
      <c r="AJ184" s="70" t="s">
        <v>1152</v>
      </c>
      <c r="AK184" s="70" t="s">
        <v>1152</v>
      </c>
      <c r="AL184" s="70" t="s">
        <v>1152</v>
      </c>
      <c r="AM184" s="70" t="s">
        <v>1152</v>
      </c>
    </row>
    <row r="185" spans="5:39" x14ac:dyDescent="0.25">
      <c r="E185" s="334" t="s">
        <v>210</v>
      </c>
      <c r="F185" s="107" t="s">
        <v>897</v>
      </c>
      <c r="G185" s="70">
        <v>-26</v>
      </c>
      <c r="H185" s="70">
        <v>-26</v>
      </c>
      <c r="I185" s="70">
        <v>-26</v>
      </c>
      <c r="J185" s="70">
        <v>-20</v>
      </c>
      <c r="K185" s="70">
        <v>-26</v>
      </c>
      <c r="L185" s="70">
        <v>-26</v>
      </c>
      <c r="M185" s="70">
        <v>-26</v>
      </c>
      <c r="N185" s="70">
        <v>-26</v>
      </c>
      <c r="O185" s="70">
        <v>-4</v>
      </c>
      <c r="P185" s="70" t="s">
        <v>1152</v>
      </c>
      <c r="Q185" s="70" t="s">
        <v>1152</v>
      </c>
      <c r="R185" s="70" t="s">
        <v>1152</v>
      </c>
      <c r="S185" s="70" t="s">
        <v>1152</v>
      </c>
      <c r="T185" s="70" t="s">
        <v>1152</v>
      </c>
      <c r="U185" s="70" t="s">
        <v>1152</v>
      </c>
      <c r="V185" s="70" t="s">
        <v>1152</v>
      </c>
      <c r="W185" s="70" t="s">
        <v>1152</v>
      </c>
      <c r="X185" s="70" t="s">
        <v>1152</v>
      </c>
      <c r="Y185" s="70" t="s">
        <v>1152</v>
      </c>
      <c r="Z185" s="70" t="s">
        <v>1152</v>
      </c>
      <c r="AA185" s="70" t="s">
        <v>1152</v>
      </c>
      <c r="AB185" s="70" t="s">
        <v>1152</v>
      </c>
      <c r="AC185" s="70" t="s">
        <v>1152</v>
      </c>
      <c r="AD185" s="70" t="s">
        <v>1152</v>
      </c>
      <c r="AE185" s="70" t="s">
        <v>1152</v>
      </c>
      <c r="AF185" s="70" t="s">
        <v>1152</v>
      </c>
      <c r="AG185" s="70" t="s">
        <v>1152</v>
      </c>
      <c r="AH185" s="70" t="s">
        <v>1152</v>
      </c>
      <c r="AI185" s="70" t="s">
        <v>1152</v>
      </c>
      <c r="AJ185" s="70" t="s">
        <v>1152</v>
      </c>
      <c r="AK185" s="70">
        <v>-4</v>
      </c>
      <c r="AL185" s="70">
        <v>-4</v>
      </c>
      <c r="AM185" s="70">
        <v>-4</v>
      </c>
    </row>
    <row r="186" spans="5:39" x14ac:dyDescent="0.25">
      <c r="E186" s="335"/>
      <c r="F186" s="110" t="s">
        <v>896</v>
      </c>
      <c r="G186" s="70">
        <v>8.5</v>
      </c>
      <c r="H186" s="70">
        <v>8.5</v>
      </c>
      <c r="I186" s="70">
        <v>8.5</v>
      </c>
      <c r="J186" s="70">
        <v>8</v>
      </c>
      <c r="K186" s="70">
        <v>8.5</v>
      </c>
      <c r="L186" s="70">
        <v>8.5</v>
      </c>
      <c r="M186" s="70">
        <v>8.5</v>
      </c>
      <c r="N186" s="70">
        <v>8.5</v>
      </c>
      <c r="O186" s="70">
        <v>7.2</v>
      </c>
      <c r="P186" s="70" t="s">
        <v>1152</v>
      </c>
      <c r="Q186" s="70" t="s">
        <v>1152</v>
      </c>
      <c r="R186" s="70" t="s">
        <v>1152</v>
      </c>
      <c r="S186" s="70" t="s">
        <v>1152</v>
      </c>
      <c r="T186" s="70" t="s">
        <v>1152</v>
      </c>
      <c r="U186" s="70" t="s">
        <v>1152</v>
      </c>
      <c r="V186" s="70" t="s">
        <v>1152</v>
      </c>
      <c r="W186" s="70" t="s">
        <v>1152</v>
      </c>
      <c r="X186" s="70" t="s">
        <v>1152</v>
      </c>
      <c r="Y186" s="70" t="s">
        <v>1152</v>
      </c>
      <c r="Z186" s="70" t="s">
        <v>1152</v>
      </c>
      <c r="AA186" s="70" t="s">
        <v>1152</v>
      </c>
      <c r="AB186" s="70" t="s">
        <v>1152</v>
      </c>
      <c r="AC186" s="70" t="s">
        <v>1152</v>
      </c>
      <c r="AD186" s="70" t="s">
        <v>1152</v>
      </c>
      <c r="AE186" s="70" t="s">
        <v>1152</v>
      </c>
      <c r="AF186" s="70" t="s">
        <v>1152</v>
      </c>
      <c r="AG186" s="70" t="s">
        <v>1152</v>
      </c>
      <c r="AH186" s="70" t="s">
        <v>1152</v>
      </c>
      <c r="AI186" s="70" t="s">
        <v>1152</v>
      </c>
      <c r="AJ186" s="70" t="s">
        <v>1152</v>
      </c>
      <c r="AK186" s="70">
        <v>8.5</v>
      </c>
      <c r="AL186" s="70">
        <v>8.5</v>
      </c>
      <c r="AM186" s="70">
        <v>8.5</v>
      </c>
    </row>
    <row r="187" spans="5:39" x14ac:dyDescent="0.25">
      <c r="E187" s="335"/>
      <c r="F187" s="110" t="s">
        <v>190</v>
      </c>
      <c r="G187" s="70">
        <v>8.5</v>
      </c>
      <c r="H187" s="70">
        <v>8.5</v>
      </c>
      <c r="I187" s="70">
        <v>8.5</v>
      </c>
      <c r="J187" s="70">
        <v>8</v>
      </c>
      <c r="K187" s="70">
        <v>8.5</v>
      </c>
      <c r="L187" s="70">
        <v>8.5</v>
      </c>
      <c r="M187" s="70">
        <v>8.5</v>
      </c>
      <c r="N187" s="70">
        <v>8.5</v>
      </c>
      <c r="O187" s="70">
        <v>7.2</v>
      </c>
      <c r="P187" s="70" t="s">
        <v>1152</v>
      </c>
      <c r="Q187" s="70" t="s">
        <v>1152</v>
      </c>
      <c r="R187" s="70" t="s">
        <v>1152</v>
      </c>
      <c r="S187" s="70" t="s">
        <v>1152</v>
      </c>
      <c r="T187" s="70" t="s">
        <v>1152</v>
      </c>
      <c r="U187" s="70" t="s">
        <v>1152</v>
      </c>
      <c r="V187" s="70" t="s">
        <v>1152</v>
      </c>
      <c r="W187" s="70" t="s">
        <v>1152</v>
      </c>
      <c r="X187" s="70" t="s">
        <v>1152</v>
      </c>
      <c r="Y187" s="70" t="s">
        <v>1152</v>
      </c>
      <c r="Z187" s="70" t="s">
        <v>1152</v>
      </c>
      <c r="AA187" s="70" t="s">
        <v>1152</v>
      </c>
      <c r="AB187" s="70" t="s">
        <v>1152</v>
      </c>
      <c r="AC187" s="70" t="s">
        <v>1152</v>
      </c>
      <c r="AD187" s="70" t="s">
        <v>1152</v>
      </c>
      <c r="AE187" s="70" t="s">
        <v>1152</v>
      </c>
      <c r="AF187" s="70" t="s">
        <v>1152</v>
      </c>
      <c r="AG187" s="70" t="s">
        <v>1152</v>
      </c>
      <c r="AH187" s="70" t="s">
        <v>1152</v>
      </c>
      <c r="AI187" s="70" t="s">
        <v>1152</v>
      </c>
      <c r="AJ187" s="70" t="s">
        <v>1152</v>
      </c>
      <c r="AK187" s="70">
        <v>8.5</v>
      </c>
      <c r="AL187" s="70">
        <v>8.5</v>
      </c>
      <c r="AM187" s="70">
        <v>8.5</v>
      </c>
    </row>
    <row r="188" spans="5:39" x14ac:dyDescent="0.25">
      <c r="E188" s="335"/>
      <c r="F188" s="110" t="s">
        <v>269</v>
      </c>
      <c r="G188" s="70">
        <v>8.5</v>
      </c>
      <c r="H188" s="70">
        <v>8.5</v>
      </c>
      <c r="I188" s="70">
        <v>8.5</v>
      </c>
      <c r="J188" s="70">
        <v>8</v>
      </c>
      <c r="K188" s="70">
        <v>8.5</v>
      </c>
      <c r="L188" s="70">
        <v>8.5</v>
      </c>
      <c r="M188" s="70">
        <v>8.5</v>
      </c>
      <c r="N188" s="70">
        <v>8.5</v>
      </c>
      <c r="O188" s="70">
        <v>7.2</v>
      </c>
      <c r="P188" s="70" t="s">
        <v>1152</v>
      </c>
      <c r="Q188" s="70" t="s">
        <v>1152</v>
      </c>
      <c r="R188" s="70" t="s">
        <v>1152</v>
      </c>
      <c r="S188" s="70" t="s">
        <v>1152</v>
      </c>
      <c r="T188" s="70" t="s">
        <v>1152</v>
      </c>
      <c r="U188" s="70" t="s">
        <v>1152</v>
      </c>
      <c r="V188" s="70" t="s">
        <v>1152</v>
      </c>
      <c r="W188" s="70" t="s">
        <v>1152</v>
      </c>
      <c r="X188" s="70" t="s">
        <v>1152</v>
      </c>
      <c r="Y188" s="70" t="s">
        <v>1152</v>
      </c>
      <c r="Z188" s="70" t="s">
        <v>1152</v>
      </c>
      <c r="AA188" s="70" t="s">
        <v>1152</v>
      </c>
      <c r="AB188" s="70" t="s">
        <v>1152</v>
      </c>
      <c r="AC188" s="70" t="s">
        <v>1152</v>
      </c>
      <c r="AD188" s="70" t="s">
        <v>1152</v>
      </c>
      <c r="AE188" s="70" t="s">
        <v>1152</v>
      </c>
      <c r="AF188" s="70" t="s">
        <v>1152</v>
      </c>
      <c r="AG188" s="70" t="s">
        <v>1152</v>
      </c>
      <c r="AH188" s="70" t="s">
        <v>1152</v>
      </c>
      <c r="AI188" s="70" t="s">
        <v>1152</v>
      </c>
      <c r="AJ188" s="70" t="s">
        <v>1152</v>
      </c>
      <c r="AK188" s="70">
        <v>8.5</v>
      </c>
      <c r="AL188" s="70">
        <v>8.5</v>
      </c>
      <c r="AM188" s="70">
        <v>8.5</v>
      </c>
    </row>
    <row r="189" spans="5:39" x14ac:dyDescent="0.25">
      <c r="E189" s="335"/>
      <c r="F189" s="110" t="s">
        <v>270</v>
      </c>
      <c r="G189" s="70">
        <v>8.5</v>
      </c>
      <c r="H189" s="70">
        <v>8.5</v>
      </c>
      <c r="I189" s="70">
        <v>8.5</v>
      </c>
      <c r="J189" s="70">
        <v>8</v>
      </c>
      <c r="K189" s="70">
        <v>8.5</v>
      </c>
      <c r="L189" s="70">
        <v>8.5</v>
      </c>
      <c r="M189" s="70">
        <v>8.5</v>
      </c>
      <c r="N189" s="70">
        <v>8.5</v>
      </c>
      <c r="O189" s="70">
        <v>7.2</v>
      </c>
      <c r="P189" s="70" t="s">
        <v>1152</v>
      </c>
      <c r="Q189" s="70" t="s">
        <v>1152</v>
      </c>
      <c r="R189" s="70" t="s">
        <v>1152</v>
      </c>
      <c r="S189" s="70" t="s">
        <v>1152</v>
      </c>
      <c r="T189" s="70" t="s">
        <v>1152</v>
      </c>
      <c r="U189" s="70" t="s">
        <v>1152</v>
      </c>
      <c r="V189" s="70" t="s">
        <v>1152</v>
      </c>
      <c r="W189" s="70" t="s">
        <v>1152</v>
      </c>
      <c r="X189" s="70" t="s">
        <v>1152</v>
      </c>
      <c r="Y189" s="70" t="s">
        <v>1152</v>
      </c>
      <c r="Z189" s="70" t="s">
        <v>1152</v>
      </c>
      <c r="AA189" s="70" t="s">
        <v>1152</v>
      </c>
      <c r="AB189" s="70" t="s">
        <v>1152</v>
      </c>
      <c r="AC189" s="70" t="s">
        <v>1152</v>
      </c>
      <c r="AD189" s="70" t="s">
        <v>1152</v>
      </c>
      <c r="AE189" s="70" t="s">
        <v>1152</v>
      </c>
      <c r="AF189" s="70" t="s">
        <v>1152</v>
      </c>
      <c r="AG189" s="70" t="s">
        <v>1152</v>
      </c>
      <c r="AH189" s="70" t="s">
        <v>1152</v>
      </c>
      <c r="AI189" s="70" t="s">
        <v>1152</v>
      </c>
      <c r="AJ189" s="70" t="s">
        <v>1152</v>
      </c>
      <c r="AK189" s="70">
        <v>8.5</v>
      </c>
      <c r="AL189" s="70">
        <v>8.5</v>
      </c>
      <c r="AM189" s="70">
        <v>8.5</v>
      </c>
    </row>
    <row r="190" spans="5:39" x14ac:dyDescent="0.25">
      <c r="E190" s="335"/>
      <c r="F190" s="110" t="s">
        <v>254</v>
      </c>
      <c r="G190" s="70"/>
      <c r="H190" s="70" t="s">
        <v>1152</v>
      </c>
      <c r="I190" s="70" t="s">
        <v>1152</v>
      </c>
      <c r="J190" s="70">
        <v>8</v>
      </c>
      <c r="K190" s="70"/>
      <c r="L190" s="70" t="s">
        <v>1152</v>
      </c>
      <c r="M190" s="70" t="s">
        <v>1152</v>
      </c>
      <c r="N190" s="70" t="s">
        <v>1152</v>
      </c>
      <c r="O190" s="70">
        <v>7.2</v>
      </c>
      <c r="P190" s="70" t="s">
        <v>1152</v>
      </c>
      <c r="Q190" s="70" t="s">
        <v>1152</v>
      </c>
      <c r="R190" s="70" t="s">
        <v>1152</v>
      </c>
      <c r="S190" s="70" t="s">
        <v>1152</v>
      </c>
      <c r="T190" s="70" t="s">
        <v>1152</v>
      </c>
      <c r="U190" s="70" t="s">
        <v>1152</v>
      </c>
      <c r="V190" s="70" t="s">
        <v>1152</v>
      </c>
      <c r="W190" s="70" t="s">
        <v>1152</v>
      </c>
      <c r="X190" s="70" t="s">
        <v>1152</v>
      </c>
      <c r="Y190" s="70" t="s">
        <v>1152</v>
      </c>
      <c r="Z190" s="70" t="s">
        <v>1152</v>
      </c>
      <c r="AA190" s="70" t="s">
        <v>1152</v>
      </c>
      <c r="AB190" s="70" t="s">
        <v>1152</v>
      </c>
      <c r="AC190" s="70" t="s">
        <v>1152</v>
      </c>
      <c r="AD190" s="70" t="s">
        <v>1152</v>
      </c>
      <c r="AE190" s="70" t="s">
        <v>1152</v>
      </c>
      <c r="AF190" s="70" t="s">
        <v>1152</v>
      </c>
      <c r="AG190" s="70" t="s">
        <v>1152</v>
      </c>
      <c r="AH190" s="70" t="s">
        <v>1152</v>
      </c>
      <c r="AI190" s="70" t="s">
        <v>1152</v>
      </c>
      <c r="AJ190" s="70" t="s">
        <v>1152</v>
      </c>
      <c r="AK190" s="70">
        <v>3.5139999999999998</v>
      </c>
      <c r="AL190" s="70">
        <v>4.2279999999999998</v>
      </c>
      <c r="AM190" s="70">
        <v>8.5</v>
      </c>
    </row>
    <row r="191" spans="5:39" x14ac:dyDescent="0.25">
      <c r="E191" s="335"/>
      <c r="F191" s="110" t="s">
        <v>255</v>
      </c>
      <c r="G191" s="70"/>
      <c r="H191" s="70" t="s">
        <v>1152</v>
      </c>
      <c r="I191" s="70" t="s">
        <v>1152</v>
      </c>
      <c r="J191" s="70"/>
      <c r="K191" s="70"/>
      <c r="L191" s="70" t="s">
        <v>1152</v>
      </c>
      <c r="M191" s="70" t="s">
        <v>1152</v>
      </c>
      <c r="N191" s="70" t="s">
        <v>1152</v>
      </c>
      <c r="O191" s="70" t="s">
        <v>1152</v>
      </c>
      <c r="P191" s="70" t="s">
        <v>1152</v>
      </c>
      <c r="Q191" s="70" t="s">
        <v>1152</v>
      </c>
      <c r="R191" s="70" t="s">
        <v>1152</v>
      </c>
      <c r="S191" s="70" t="s">
        <v>1152</v>
      </c>
      <c r="T191" s="70" t="s">
        <v>1152</v>
      </c>
      <c r="U191" s="70" t="s">
        <v>1152</v>
      </c>
      <c r="V191" s="70" t="s">
        <v>1152</v>
      </c>
      <c r="W191" s="70" t="s">
        <v>1152</v>
      </c>
      <c r="X191" s="70" t="s">
        <v>1152</v>
      </c>
      <c r="Y191" s="70" t="s">
        <v>1152</v>
      </c>
      <c r="Z191" s="70" t="s">
        <v>1152</v>
      </c>
      <c r="AA191" s="70" t="s">
        <v>1152</v>
      </c>
      <c r="AB191" s="70" t="s">
        <v>1152</v>
      </c>
      <c r="AC191" s="70" t="s">
        <v>1152</v>
      </c>
      <c r="AD191" s="70" t="s">
        <v>1152</v>
      </c>
      <c r="AE191" s="70" t="s">
        <v>1152</v>
      </c>
      <c r="AF191" s="70" t="s">
        <v>1152</v>
      </c>
      <c r="AG191" s="70" t="s">
        <v>1152</v>
      </c>
      <c r="AH191" s="70" t="s">
        <v>1152</v>
      </c>
      <c r="AI191" s="70" t="s">
        <v>1152</v>
      </c>
      <c r="AJ191" s="70" t="s">
        <v>1152</v>
      </c>
      <c r="AK191" s="70" t="s">
        <v>1152</v>
      </c>
      <c r="AL191" s="70">
        <v>4.2279999999999998</v>
      </c>
      <c r="AM191" s="70">
        <v>3.601</v>
      </c>
    </row>
    <row r="192" spans="5:39" x14ac:dyDescent="0.25">
      <c r="E192" s="335"/>
      <c r="F192" s="110" t="s">
        <v>256</v>
      </c>
      <c r="G192" s="70"/>
      <c r="H192" s="70" t="s">
        <v>1152</v>
      </c>
      <c r="I192" s="70" t="s">
        <v>1152</v>
      </c>
      <c r="J192" s="70"/>
      <c r="K192" s="70"/>
      <c r="L192" s="70" t="s">
        <v>1152</v>
      </c>
      <c r="M192" s="70" t="s">
        <v>1152</v>
      </c>
      <c r="N192" s="70" t="s">
        <v>1152</v>
      </c>
      <c r="O192" s="70" t="s">
        <v>1152</v>
      </c>
      <c r="P192" s="70" t="s">
        <v>1152</v>
      </c>
      <c r="Q192" s="70" t="s">
        <v>1152</v>
      </c>
      <c r="R192" s="70" t="s">
        <v>1152</v>
      </c>
      <c r="S192" s="70" t="s">
        <v>1152</v>
      </c>
      <c r="T192" s="70" t="s">
        <v>1152</v>
      </c>
      <c r="U192" s="70" t="s">
        <v>1152</v>
      </c>
      <c r="V192" s="70" t="s">
        <v>1152</v>
      </c>
      <c r="W192" s="70" t="s">
        <v>1152</v>
      </c>
      <c r="X192" s="70" t="s">
        <v>1152</v>
      </c>
      <c r="Y192" s="70" t="s">
        <v>1152</v>
      </c>
      <c r="Z192" s="70" t="s">
        <v>1152</v>
      </c>
      <c r="AA192" s="70" t="s">
        <v>1152</v>
      </c>
      <c r="AB192" s="70" t="s">
        <v>1152</v>
      </c>
      <c r="AC192" s="70" t="s">
        <v>1152</v>
      </c>
      <c r="AD192" s="70" t="s">
        <v>1152</v>
      </c>
      <c r="AE192" s="70" t="s">
        <v>1152</v>
      </c>
      <c r="AF192" s="70" t="s">
        <v>1152</v>
      </c>
      <c r="AG192" s="70" t="s">
        <v>1152</v>
      </c>
      <c r="AH192" s="70" t="s">
        <v>1152</v>
      </c>
      <c r="AI192" s="70" t="s">
        <v>1152</v>
      </c>
      <c r="AJ192" s="70" t="s">
        <v>1152</v>
      </c>
      <c r="AK192" s="70" t="s">
        <v>1152</v>
      </c>
      <c r="AL192" s="70" t="s">
        <v>1152</v>
      </c>
      <c r="AM192" s="70">
        <v>3.601</v>
      </c>
    </row>
    <row r="193" spans="5:39" x14ac:dyDescent="0.25">
      <c r="E193" s="335"/>
      <c r="F193" s="110" t="s">
        <v>257</v>
      </c>
      <c r="G193" s="70"/>
      <c r="H193" s="70" t="s">
        <v>1152</v>
      </c>
      <c r="I193" s="70" t="s">
        <v>1152</v>
      </c>
      <c r="J193" s="70"/>
      <c r="K193" s="70"/>
      <c r="L193" s="70" t="s">
        <v>1152</v>
      </c>
      <c r="M193" s="70" t="s">
        <v>1152</v>
      </c>
      <c r="N193" s="70" t="s">
        <v>1152</v>
      </c>
      <c r="O193" s="70" t="s">
        <v>1152</v>
      </c>
      <c r="P193" s="70" t="s">
        <v>1152</v>
      </c>
      <c r="Q193" s="70" t="s">
        <v>1152</v>
      </c>
      <c r="R193" s="70" t="s">
        <v>1152</v>
      </c>
      <c r="S193" s="70" t="s">
        <v>1152</v>
      </c>
      <c r="T193" s="70" t="s">
        <v>1152</v>
      </c>
      <c r="U193" s="70" t="s">
        <v>1152</v>
      </c>
      <c r="V193" s="70" t="s">
        <v>1152</v>
      </c>
      <c r="W193" s="70" t="s">
        <v>1152</v>
      </c>
      <c r="X193" s="70" t="s">
        <v>1152</v>
      </c>
      <c r="Y193" s="70" t="s">
        <v>1152</v>
      </c>
      <c r="Z193" s="70" t="s">
        <v>1152</v>
      </c>
      <c r="AA193" s="70" t="s">
        <v>1152</v>
      </c>
      <c r="AB193" s="70" t="s">
        <v>1152</v>
      </c>
      <c r="AC193" s="70" t="s">
        <v>1152</v>
      </c>
      <c r="AD193" s="70" t="s">
        <v>1152</v>
      </c>
      <c r="AE193" s="70" t="s">
        <v>1152</v>
      </c>
      <c r="AF193" s="70" t="s">
        <v>1152</v>
      </c>
      <c r="AG193" s="70" t="s">
        <v>1152</v>
      </c>
      <c r="AH193" s="70" t="s">
        <v>1152</v>
      </c>
      <c r="AI193" s="70" t="s">
        <v>1152</v>
      </c>
      <c r="AJ193" s="70" t="s">
        <v>1152</v>
      </c>
      <c r="AK193" s="70" t="s">
        <v>1152</v>
      </c>
      <c r="AL193" s="70" t="s">
        <v>1152</v>
      </c>
      <c r="AM193" s="70" t="s">
        <v>1152</v>
      </c>
    </row>
    <row r="194" spans="5:39" x14ac:dyDescent="0.25">
      <c r="E194" s="335"/>
      <c r="F194" s="110" t="s">
        <v>258</v>
      </c>
      <c r="G194" s="70"/>
      <c r="H194" s="70" t="s">
        <v>1152</v>
      </c>
      <c r="I194" s="70" t="s">
        <v>1152</v>
      </c>
      <c r="J194" s="70"/>
      <c r="K194" s="70"/>
      <c r="L194" s="70" t="s">
        <v>1152</v>
      </c>
      <c r="M194" s="70" t="s">
        <v>1152</v>
      </c>
      <c r="N194" s="70" t="s">
        <v>1152</v>
      </c>
      <c r="O194" s="70" t="s">
        <v>1152</v>
      </c>
      <c r="P194" s="70" t="s">
        <v>1152</v>
      </c>
      <c r="Q194" s="70" t="s">
        <v>1152</v>
      </c>
      <c r="R194" s="70" t="s">
        <v>1152</v>
      </c>
      <c r="S194" s="70" t="s">
        <v>1152</v>
      </c>
      <c r="T194" s="70" t="s">
        <v>1152</v>
      </c>
      <c r="U194" s="70" t="s">
        <v>1152</v>
      </c>
      <c r="V194" s="70" t="s">
        <v>1152</v>
      </c>
      <c r="W194" s="70" t="s">
        <v>1152</v>
      </c>
      <c r="X194" s="70" t="s">
        <v>1152</v>
      </c>
      <c r="Y194" s="70" t="s">
        <v>1152</v>
      </c>
      <c r="Z194" s="70" t="s">
        <v>1152</v>
      </c>
      <c r="AA194" s="70" t="s">
        <v>1152</v>
      </c>
      <c r="AB194" s="70" t="s">
        <v>1152</v>
      </c>
      <c r="AC194" s="70" t="s">
        <v>1152</v>
      </c>
      <c r="AD194" s="70" t="s">
        <v>1152</v>
      </c>
      <c r="AE194" s="70" t="s">
        <v>1152</v>
      </c>
      <c r="AF194" s="70" t="s">
        <v>1152</v>
      </c>
      <c r="AG194" s="70" t="s">
        <v>1152</v>
      </c>
      <c r="AH194" s="70" t="s">
        <v>1152</v>
      </c>
      <c r="AI194" s="70" t="s">
        <v>1152</v>
      </c>
      <c r="AJ194" s="70" t="s">
        <v>1152</v>
      </c>
      <c r="AK194" s="70" t="s">
        <v>1152</v>
      </c>
      <c r="AL194" s="70" t="s">
        <v>1152</v>
      </c>
      <c r="AM194" s="70" t="s">
        <v>1152</v>
      </c>
    </row>
    <row r="195" spans="5:39" x14ac:dyDescent="0.25">
      <c r="E195" s="335"/>
      <c r="F195" s="110" t="s">
        <v>259</v>
      </c>
      <c r="G195" s="70"/>
      <c r="H195" s="70" t="s">
        <v>1152</v>
      </c>
      <c r="I195" s="70" t="s">
        <v>1152</v>
      </c>
      <c r="J195" s="70"/>
      <c r="K195" s="70"/>
      <c r="L195" s="70" t="s">
        <v>1152</v>
      </c>
      <c r="M195" s="70" t="s">
        <v>1152</v>
      </c>
      <c r="N195" s="70" t="s">
        <v>1152</v>
      </c>
      <c r="O195" s="70" t="s">
        <v>1152</v>
      </c>
      <c r="P195" s="70" t="s">
        <v>1152</v>
      </c>
      <c r="Q195" s="70" t="s">
        <v>1152</v>
      </c>
      <c r="R195" s="70" t="s">
        <v>1152</v>
      </c>
      <c r="S195" s="70" t="s">
        <v>1152</v>
      </c>
      <c r="T195" s="70" t="s">
        <v>1152</v>
      </c>
      <c r="U195" s="70" t="s">
        <v>1152</v>
      </c>
      <c r="V195" s="70" t="s">
        <v>1152</v>
      </c>
      <c r="W195" s="70" t="s">
        <v>1152</v>
      </c>
      <c r="X195" s="70" t="s">
        <v>1152</v>
      </c>
      <c r="Y195" s="70" t="s">
        <v>1152</v>
      </c>
      <c r="Z195" s="70" t="s">
        <v>1152</v>
      </c>
      <c r="AA195" s="70" t="s">
        <v>1152</v>
      </c>
      <c r="AB195" s="70" t="s">
        <v>1152</v>
      </c>
      <c r="AC195" s="70" t="s">
        <v>1152</v>
      </c>
      <c r="AD195" s="70" t="s">
        <v>1152</v>
      </c>
      <c r="AE195" s="70" t="s">
        <v>1152</v>
      </c>
      <c r="AF195" s="70" t="s">
        <v>1152</v>
      </c>
      <c r="AG195" s="70" t="s">
        <v>1152</v>
      </c>
      <c r="AH195" s="70" t="s">
        <v>1152</v>
      </c>
      <c r="AI195" s="70" t="s">
        <v>1152</v>
      </c>
      <c r="AJ195" s="70" t="s">
        <v>1152</v>
      </c>
      <c r="AK195" s="70" t="s">
        <v>1152</v>
      </c>
      <c r="AL195" s="70" t="s">
        <v>1152</v>
      </c>
      <c r="AM195" s="70" t="s">
        <v>1152</v>
      </c>
    </row>
    <row r="196" spans="5:39" x14ac:dyDescent="0.25">
      <c r="E196" s="335"/>
      <c r="F196" s="110" t="s">
        <v>260</v>
      </c>
      <c r="G196" s="70"/>
      <c r="H196" s="70" t="s">
        <v>1152</v>
      </c>
      <c r="I196" s="70" t="s">
        <v>1152</v>
      </c>
      <c r="J196" s="70"/>
      <c r="K196" s="70"/>
      <c r="L196" s="70" t="s">
        <v>1152</v>
      </c>
      <c r="M196" s="70" t="s">
        <v>1152</v>
      </c>
      <c r="N196" s="70" t="s">
        <v>1152</v>
      </c>
      <c r="O196" s="70" t="s">
        <v>1152</v>
      </c>
      <c r="P196" s="70" t="s">
        <v>1152</v>
      </c>
      <c r="Q196" s="70" t="s">
        <v>1152</v>
      </c>
      <c r="R196" s="70" t="s">
        <v>1152</v>
      </c>
      <c r="S196" s="70" t="s">
        <v>1152</v>
      </c>
      <c r="T196" s="70" t="s">
        <v>1152</v>
      </c>
      <c r="U196" s="70" t="s">
        <v>1152</v>
      </c>
      <c r="V196" s="70" t="s">
        <v>1152</v>
      </c>
      <c r="W196" s="70" t="s">
        <v>1152</v>
      </c>
      <c r="X196" s="70" t="s">
        <v>1152</v>
      </c>
      <c r="Y196" s="70" t="s">
        <v>1152</v>
      </c>
      <c r="Z196" s="70" t="s">
        <v>1152</v>
      </c>
      <c r="AA196" s="70" t="s">
        <v>1152</v>
      </c>
      <c r="AB196" s="70" t="s">
        <v>1152</v>
      </c>
      <c r="AC196" s="70" t="s">
        <v>1152</v>
      </c>
      <c r="AD196" s="70" t="s">
        <v>1152</v>
      </c>
      <c r="AE196" s="70" t="s">
        <v>1152</v>
      </c>
      <c r="AF196" s="70" t="s">
        <v>1152</v>
      </c>
      <c r="AG196" s="70" t="s">
        <v>1152</v>
      </c>
      <c r="AH196" s="70" t="s">
        <v>1152</v>
      </c>
      <c r="AI196" s="70" t="s">
        <v>1152</v>
      </c>
      <c r="AJ196" s="70" t="s">
        <v>1152</v>
      </c>
      <c r="AK196" s="70" t="s">
        <v>1152</v>
      </c>
      <c r="AL196" s="70" t="s">
        <v>1152</v>
      </c>
      <c r="AM196" s="70" t="s">
        <v>1152</v>
      </c>
    </row>
    <row r="197" spans="5:39" x14ac:dyDescent="0.25">
      <c r="E197" s="335"/>
      <c r="F197" s="110" t="s">
        <v>261</v>
      </c>
      <c r="G197" s="70"/>
      <c r="H197" s="70" t="s">
        <v>1152</v>
      </c>
      <c r="I197" s="70" t="s">
        <v>1152</v>
      </c>
      <c r="J197" s="70"/>
      <c r="K197" s="70"/>
      <c r="L197" s="70" t="s">
        <v>1152</v>
      </c>
      <c r="M197" s="70" t="s">
        <v>1152</v>
      </c>
      <c r="N197" s="70" t="s">
        <v>1152</v>
      </c>
      <c r="O197" s="70" t="s">
        <v>1152</v>
      </c>
      <c r="P197" s="70" t="s">
        <v>1152</v>
      </c>
      <c r="Q197" s="70" t="s">
        <v>1152</v>
      </c>
      <c r="R197" s="70" t="s">
        <v>1152</v>
      </c>
      <c r="S197" s="70" t="s">
        <v>1152</v>
      </c>
      <c r="T197" s="70" t="s">
        <v>1152</v>
      </c>
      <c r="U197" s="70" t="s">
        <v>1152</v>
      </c>
      <c r="V197" s="70" t="s">
        <v>1152</v>
      </c>
      <c r="W197" s="70" t="s">
        <v>1152</v>
      </c>
      <c r="X197" s="70" t="s">
        <v>1152</v>
      </c>
      <c r="Y197" s="70" t="s">
        <v>1152</v>
      </c>
      <c r="Z197" s="70" t="s">
        <v>1152</v>
      </c>
      <c r="AA197" s="70" t="s">
        <v>1152</v>
      </c>
      <c r="AB197" s="70" t="s">
        <v>1152</v>
      </c>
      <c r="AC197" s="70" t="s">
        <v>1152</v>
      </c>
      <c r="AD197" s="70" t="s">
        <v>1152</v>
      </c>
      <c r="AE197" s="70" t="s">
        <v>1152</v>
      </c>
      <c r="AF197" s="70" t="s">
        <v>1152</v>
      </c>
      <c r="AG197" s="70" t="s">
        <v>1152</v>
      </c>
      <c r="AH197" s="70" t="s">
        <v>1152</v>
      </c>
      <c r="AI197" s="70" t="s">
        <v>1152</v>
      </c>
      <c r="AJ197" s="70" t="s">
        <v>1152</v>
      </c>
      <c r="AK197" s="70" t="s">
        <v>1152</v>
      </c>
      <c r="AL197" s="70" t="s">
        <v>1152</v>
      </c>
      <c r="AM197" s="70" t="s">
        <v>1152</v>
      </c>
    </row>
    <row r="198" spans="5:39" x14ac:dyDescent="0.25">
      <c r="E198" s="335"/>
      <c r="F198" s="110" t="s">
        <v>262</v>
      </c>
      <c r="G198" s="70"/>
      <c r="H198" s="70" t="s">
        <v>1152</v>
      </c>
      <c r="I198" s="70" t="s">
        <v>1152</v>
      </c>
      <c r="J198" s="70"/>
      <c r="K198" s="70"/>
      <c r="L198" s="70" t="s">
        <v>1152</v>
      </c>
      <c r="M198" s="70" t="s">
        <v>1152</v>
      </c>
      <c r="N198" s="70" t="s">
        <v>1152</v>
      </c>
      <c r="O198" s="70" t="s">
        <v>1152</v>
      </c>
      <c r="P198" s="70" t="s">
        <v>1152</v>
      </c>
      <c r="Q198" s="70" t="s">
        <v>1152</v>
      </c>
      <c r="R198" s="70" t="s">
        <v>1152</v>
      </c>
      <c r="S198" s="70" t="s">
        <v>1152</v>
      </c>
      <c r="T198" s="70" t="s">
        <v>1152</v>
      </c>
      <c r="U198" s="70" t="s">
        <v>1152</v>
      </c>
      <c r="V198" s="70" t="s">
        <v>1152</v>
      </c>
      <c r="W198" s="70" t="s">
        <v>1152</v>
      </c>
      <c r="X198" s="70" t="s">
        <v>1152</v>
      </c>
      <c r="Y198" s="70" t="s">
        <v>1152</v>
      </c>
      <c r="Z198" s="70" t="s">
        <v>1152</v>
      </c>
      <c r="AA198" s="70" t="s">
        <v>1152</v>
      </c>
      <c r="AB198" s="70" t="s">
        <v>1152</v>
      </c>
      <c r="AC198" s="70" t="s">
        <v>1152</v>
      </c>
      <c r="AD198" s="70" t="s">
        <v>1152</v>
      </c>
      <c r="AE198" s="70" t="s">
        <v>1152</v>
      </c>
      <c r="AF198" s="70" t="s">
        <v>1152</v>
      </c>
      <c r="AG198" s="70" t="s">
        <v>1152</v>
      </c>
      <c r="AH198" s="70" t="s">
        <v>1152</v>
      </c>
      <c r="AI198" s="70" t="s">
        <v>1152</v>
      </c>
      <c r="AJ198" s="70" t="s">
        <v>1152</v>
      </c>
      <c r="AK198" s="70" t="s">
        <v>1152</v>
      </c>
      <c r="AL198" s="70" t="s">
        <v>1152</v>
      </c>
      <c r="AM198" s="70" t="s">
        <v>1152</v>
      </c>
    </row>
    <row r="199" spans="5:39" x14ac:dyDescent="0.25">
      <c r="E199" s="335"/>
      <c r="F199" s="110" t="s">
        <v>263</v>
      </c>
      <c r="G199" s="70"/>
      <c r="H199" s="70" t="s">
        <v>1152</v>
      </c>
      <c r="I199" s="70" t="s">
        <v>1152</v>
      </c>
      <c r="J199" s="70"/>
      <c r="K199" s="70"/>
      <c r="L199" s="70" t="s">
        <v>1152</v>
      </c>
      <c r="M199" s="70" t="s">
        <v>1152</v>
      </c>
      <c r="N199" s="70" t="s">
        <v>1152</v>
      </c>
      <c r="O199" s="70" t="s">
        <v>1152</v>
      </c>
      <c r="P199" s="70" t="s">
        <v>1152</v>
      </c>
      <c r="Q199" s="70" t="s">
        <v>1152</v>
      </c>
      <c r="R199" s="70" t="s">
        <v>1152</v>
      </c>
      <c r="S199" s="70" t="s">
        <v>1152</v>
      </c>
      <c r="T199" s="70" t="s">
        <v>1152</v>
      </c>
      <c r="U199" s="70" t="s">
        <v>1152</v>
      </c>
      <c r="V199" s="70" t="s">
        <v>1152</v>
      </c>
      <c r="W199" s="70" t="s">
        <v>1152</v>
      </c>
      <c r="X199" s="70" t="s">
        <v>1152</v>
      </c>
      <c r="Y199" s="70" t="s">
        <v>1152</v>
      </c>
      <c r="Z199" s="70" t="s">
        <v>1152</v>
      </c>
      <c r="AA199" s="70" t="s">
        <v>1152</v>
      </c>
      <c r="AB199" s="70" t="s">
        <v>1152</v>
      </c>
      <c r="AC199" s="70" t="s">
        <v>1152</v>
      </c>
      <c r="AD199" s="70" t="s">
        <v>1152</v>
      </c>
      <c r="AE199" s="70" t="s">
        <v>1152</v>
      </c>
      <c r="AF199" s="70" t="s">
        <v>1152</v>
      </c>
      <c r="AG199" s="70" t="s">
        <v>1152</v>
      </c>
      <c r="AH199" s="70" t="s">
        <v>1152</v>
      </c>
      <c r="AI199" s="70" t="s">
        <v>1152</v>
      </c>
      <c r="AJ199" s="70" t="s">
        <v>1152</v>
      </c>
      <c r="AK199" s="70" t="s">
        <v>1152</v>
      </c>
      <c r="AL199" s="70" t="s">
        <v>1152</v>
      </c>
      <c r="AM199" s="70" t="s">
        <v>1152</v>
      </c>
    </row>
    <row r="200" spans="5:39" x14ac:dyDescent="0.25">
      <c r="E200" s="335"/>
      <c r="F200" s="110" t="s">
        <v>264</v>
      </c>
      <c r="G200" s="70"/>
      <c r="H200" s="70" t="s">
        <v>1152</v>
      </c>
      <c r="I200" s="70" t="s">
        <v>1152</v>
      </c>
      <c r="J200" s="70"/>
      <c r="K200" s="70"/>
      <c r="L200" s="70" t="s">
        <v>1152</v>
      </c>
      <c r="M200" s="70" t="s">
        <v>1152</v>
      </c>
      <c r="N200" s="70" t="s">
        <v>1152</v>
      </c>
      <c r="O200" s="70" t="s">
        <v>1152</v>
      </c>
      <c r="P200" s="70" t="s">
        <v>1152</v>
      </c>
      <c r="Q200" s="70" t="s">
        <v>1152</v>
      </c>
      <c r="R200" s="70" t="s">
        <v>1152</v>
      </c>
      <c r="S200" s="70" t="s">
        <v>1152</v>
      </c>
      <c r="T200" s="70" t="s">
        <v>1152</v>
      </c>
      <c r="U200" s="70" t="s">
        <v>1152</v>
      </c>
      <c r="V200" s="70" t="s">
        <v>1152</v>
      </c>
      <c r="W200" s="70" t="s">
        <v>1152</v>
      </c>
      <c r="X200" s="70" t="s">
        <v>1152</v>
      </c>
      <c r="Y200" s="70" t="s">
        <v>1152</v>
      </c>
      <c r="Z200" s="70" t="s">
        <v>1152</v>
      </c>
      <c r="AA200" s="70" t="s">
        <v>1152</v>
      </c>
      <c r="AB200" s="70" t="s">
        <v>1152</v>
      </c>
      <c r="AC200" s="70" t="s">
        <v>1152</v>
      </c>
      <c r="AD200" s="70" t="s">
        <v>1152</v>
      </c>
      <c r="AE200" s="70" t="s">
        <v>1152</v>
      </c>
      <c r="AF200" s="70" t="s">
        <v>1152</v>
      </c>
      <c r="AG200" s="70" t="s">
        <v>1152</v>
      </c>
      <c r="AH200" s="70" t="s">
        <v>1152</v>
      </c>
      <c r="AI200" s="70" t="s">
        <v>1152</v>
      </c>
      <c r="AJ200" s="70" t="s">
        <v>1152</v>
      </c>
      <c r="AK200" s="70" t="s">
        <v>1152</v>
      </c>
      <c r="AL200" s="70" t="s">
        <v>1152</v>
      </c>
      <c r="AM200" s="70" t="s">
        <v>1152</v>
      </c>
    </row>
    <row r="201" spans="5:39" x14ac:dyDescent="0.25">
      <c r="E201" s="335"/>
      <c r="F201" s="110" t="s">
        <v>265</v>
      </c>
      <c r="G201" s="70"/>
      <c r="H201" s="70" t="s">
        <v>1152</v>
      </c>
      <c r="I201" s="70" t="s">
        <v>1152</v>
      </c>
      <c r="J201" s="70"/>
      <c r="K201" s="70"/>
      <c r="L201" s="70" t="s">
        <v>1152</v>
      </c>
      <c r="M201" s="70" t="s">
        <v>1152</v>
      </c>
      <c r="N201" s="70" t="s">
        <v>1152</v>
      </c>
      <c r="O201" s="70" t="s">
        <v>1152</v>
      </c>
      <c r="P201" s="70" t="s">
        <v>1152</v>
      </c>
      <c r="Q201" s="70" t="s">
        <v>1152</v>
      </c>
      <c r="R201" s="70" t="s">
        <v>1152</v>
      </c>
      <c r="S201" s="70" t="s">
        <v>1152</v>
      </c>
      <c r="T201" s="70" t="s">
        <v>1152</v>
      </c>
      <c r="U201" s="70" t="s">
        <v>1152</v>
      </c>
      <c r="V201" s="70" t="s">
        <v>1152</v>
      </c>
      <c r="W201" s="70" t="s">
        <v>1152</v>
      </c>
      <c r="X201" s="70" t="s">
        <v>1152</v>
      </c>
      <c r="Y201" s="70" t="s">
        <v>1152</v>
      </c>
      <c r="Z201" s="70" t="s">
        <v>1152</v>
      </c>
      <c r="AA201" s="70" t="s">
        <v>1152</v>
      </c>
      <c r="AB201" s="70" t="s">
        <v>1152</v>
      </c>
      <c r="AC201" s="70" t="s">
        <v>1152</v>
      </c>
      <c r="AD201" s="70" t="s">
        <v>1152</v>
      </c>
      <c r="AE201" s="70" t="s">
        <v>1152</v>
      </c>
      <c r="AF201" s="70" t="s">
        <v>1152</v>
      </c>
      <c r="AG201" s="70" t="s">
        <v>1152</v>
      </c>
      <c r="AH201" s="70" t="s">
        <v>1152</v>
      </c>
      <c r="AI201" s="70" t="s">
        <v>1152</v>
      </c>
      <c r="AJ201" s="70" t="s">
        <v>1152</v>
      </c>
      <c r="AK201" s="70" t="s">
        <v>1152</v>
      </c>
      <c r="AL201" s="70" t="s">
        <v>1152</v>
      </c>
      <c r="AM201" s="70" t="s">
        <v>1152</v>
      </c>
    </row>
    <row r="202" spans="5:39" x14ac:dyDescent="0.25">
      <c r="E202" s="335"/>
      <c r="F202" s="110" t="s">
        <v>266</v>
      </c>
      <c r="G202" s="70"/>
      <c r="H202" s="70" t="s">
        <v>1152</v>
      </c>
      <c r="I202" s="70" t="s">
        <v>1152</v>
      </c>
      <c r="J202" s="70"/>
      <c r="K202" s="70"/>
      <c r="L202" s="70" t="s">
        <v>1152</v>
      </c>
      <c r="M202" s="70" t="s">
        <v>1152</v>
      </c>
      <c r="N202" s="70" t="s">
        <v>1152</v>
      </c>
      <c r="O202" s="70" t="s">
        <v>1152</v>
      </c>
      <c r="P202" s="70" t="s">
        <v>1152</v>
      </c>
      <c r="Q202" s="70" t="s">
        <v>1152</v>
      </c>
      <c r="R202" s="70" t="s">
        <v>1152</v>
      </c>
      <c r="S202" s="70" t="s">
        <v>1152</v>
      </c>
      <c r="T202" s="70" t="s">
        <v>1152</v>
      </c>
      <c r="U202" s="70" t="s">
        <v>1152</v>
      </c>
      <c r="V202" s="70" t="s">
        <v>1152</v>
      </c>
      <c r="W202" s="70" t="s">
        <v>1152</v>
      </c>
      <c r="X202" s="70" t="s">
        <v>1152</v>
      </c>
      <c r="Y202" s="70" t="s">
        <v>1152</v>
      </c>
      <c r="Z202" s="70" t="s">
        <v>1152</v>
      </c>
      <c r="AA202" s="70" t="s">
        <v>1152</v>
      </c>
      <c r="AB202" s="70" t="s">
        <v>1152</v>
      </c>
      <c r="AC202" s="70" t="s">
        <v>1152</v>
      </c>
      <c r="AD202" s="70" t="s">
        <v>1152</v>
      </c>
      <c r="AE202" s="70" t="s">
        <v>1152</v>
      </c>
      <c r="AF202" s="70" t="s">
        <v>1152</v>
      </c>
      <c r="AG202" s="70" t="s">
        <v>1152</v>
      </c>
      <c r="AH202" s="70" t="s">
        <v>1152</v>
      </c>
      <c r="AI202" s="70" t="s">
        <v>1152</v>
      </c>
      <c r="AJ202" s="70" t="s">
        <v>1152</v>
      </c>
      <c r="AK202" s="70" t="s">
        <v>1152</v>
      </c>
      <c r="AL202" s="70" t="s">
        <v>1152</v>
      </c>
      <c r="AM202" s="70" t="s">
        <v>1152</v>
      </c>
    </row>
    <row r="203" spans="5:39" x14ac:dyDescent="0.25">
      <c r="E203" s="335"/>
      <c r="F203" s="110" t="s">
        <v>267</v>
      </c>
      <c r="G203" s="70"/>
      <c r="H203" s="70" t="s">
        <v>1152</v>
      </c>
      <c r="I203" s="70" t="s">
        <v>1152</v>
      </c>
      <c r="J203" s="70"/>
      <c r="K203" s="70"/>
      <c r="L203" s="70" t="s">
        <v>1152</v>
      </c>
      <c r="M203" s="70" t="s">
        <v>1152</v>
      </c>
      <c r="N203" s="70" t="s">
        <v>1152</v>
      </c>
      <c r="O203" s="70" t="s">
        <v>1152</v>
      </c>
      <c r="P203" s="70" t="s">
        <v>1152</v>
      </c>
      <c r="Q203" s="70" t="s">
        <v>1152</v>
      </c>
      <c r="R203" s="70" t="s">
        <v>1152</v>
      </c>
      <c r="S203" s="70" t="s">
        <v>1152</v>
      </c>
      <c r="T203" s="70" t="s">
        <v>1152</v>
      </c>
      <c r="U203" s="70" t="s">
        <v>1152</v>
      </c>
      <c r="V203" s="70" t="s">
        <v>1152</v>
      </c>
      <c r="W203" s="70" t="s">
        <v>1152</v>
      </c>
      <c r="X203" s="70" t="s">
        <v>1152</v>
      </c>
      <c r="Y203" s="70" t="s">
        <v>1152</v>
      </c>
      <c r="Z203" s="70" t="s">
        <v>1152</v>
      </c>
      <c r="AA203" s="70" t="s">
        <v>1152</v>
      </c>
      <c r="AB203" s="70" t="s">
        <v>1152</v>
      </c>
      <c r="AC203" s="70" t="s">
        <v>1152</v>
      </c>
      <c r="AD203" s="70" t="s">
        <v>1152</v>
      </c>
      <c r="AE203" s="70" t="s">
        <v>1152</v>
      </c>
      <c r="AF203" s="70" t="s">
        <v>1152</v>
      </c>
      <c r="AG203" s="70" t="s">
        <v>1152</v>
      </c>
      <c r="AH203" s="70" t="s">
        <v>1152</v>
      </c>
      <c r="AI203" s="70" t="s">
        <v>1152</v>
      </c>
      <c r="AJ203" s="70" t="s">
        <v>1152</v>
      </c>
      <c r="AK203" s="70" t="s">
        <v>1152</v>
      </c>
      <c r="AL203" s="70" t="s">
        <v>1152</v>
      </c>
      <c r="AM203" s="70" t="s">
        <v>1152</v>
      </c>
    </row>
    <row r="204" spans="5:39" ht="15.75" thickBot="1" x14ac:dyDescent="0.3">
      <c r="E204" s="336"/>
      <c r="F204" s="111" t="s">
        <v>268</v>
      </c>
      <c r="G204" s="70"/>
      <c r="H204" s="70" t="s">
        <v>1152</v>
      </c>
      <c r="I204" s="70" t="s">
        <v>1152</v>
      </c>
      <c r="J204" s="70"/>
      <c r="K204" s="70"/>
      <c r="L204" s="70" t="s">
        <v>1152</v>
      </c>
      <c r="M204" s="70" t="s">
        <v>1152</v>
      </c>
      <c r="N204" s="70" t="s">
        <v>1152</v>
      </c>
      <c r="O204" s="70" t="s">
        <v>1152</v>
      </c>
      <c r="P204" s="70" t="s">
        <v>1152</v>
      </c>
      <c r="Q204" s="70" t="s">
        <v>1152</v>
      </c>
      <c r="R204" s="70" t="s">
        <v>1152</v>
      </c>
      <c r="S204" s="70" t="s">
        <v>1152</v>
      </c>
      <c r="T204" s="70" t="s">
        <v>1152</v>
      </c>
      <c r="U204" s="70" t="s">
        <v>1152</v>
      </c>
      <c r="V204" s="70" t="s">
        <v>1152</v>
      </c>
      <c r="W204" s="70" t="s">
        <v>1152</v>
      </c>
      <c r="X204" s="70" t="s">
        <v>1152</v>
      </c>
      <c r="Y204" s="70" t="s">
        <v>1152</v>
      </c>
      <c r="Z204" s="70" t="s">
        <v>1152</v>
      </c>
      <c r="AA204" s="70" t="s">
        <v>1152</v>
      </c>
      <c r="AB204" s="70" t="s">
        <v>1152</v>
      </c>
      <c r="AC204" s="70" t="s">
        <v>1152</v>
      </c>
      <c r="AD204" s="70" t="s">
        <v>1152</v>
      </c>
      <c r="AE204" s="70" t="s">
        <v>1152</v>
      </c>
      <c r="AF204" s="70" t="s">
        <v>1152</v>
      </c>
      <c r="AG204" s="70" t="s">
        <v>1152</v>
      </c>
      <c r="AH204" s="70" t="s">
        <v>1152</v>
      </c>
      <c r="AI204" s="70" t="s">
        <v>1152</v>
      </c>
      <c r="AJ204" s="70" t="s">
        <v>1152</v>
      </c>
      <c r="AK204" s="70" t="s">
        <v>1152</v>
      </c>
      <c r="AL204" s="70" t="s">
        <v>1152</v>
      </c>
      <c r="AM204" s="70" t="s">
        <v>1152</v>
      </c>
    </row>
    <row r="205" spans="5:39" ht="15" customHeight="1" x14ac:dyDescent="0.25">
      <c r="E205" s="334" t="s">
        <v>847</v>
      </c>
      <c r="F205" s="107" t="s">
        <v>891</v>
      </c>
      <c r="G205" s="70">
        <v>119.703</v>
      </c>
      <c r="H205" s="70">
        <v>119.703</v>
      </c>
      <c r="I205" s="70">
        <v>119.703</v>
      </c>
      <c r="J205" s="70">
        <v>120</v>
      </c>
      <c r="K205" s="70">
        <v>119.703</v>
      </c>
      <c r="L205" s="70">
        <v>119.703</v>
      </c>
      <c r="M205" s="70">
        <v>119.703</v>
      </c>
      <c r="N205" s="70">
        <v>119.703</v>
      </c>
      <c r="O205" s="70">
        <v>72.5</v>
      </c>
      <c r="P205" s="70" t="s">
        <v>1152</v>
      </c>
      <c r="Q205" s="70" t="s">
        <v>1152</v>
      </c>
      <c r="R205" s="70" t="s">
        <v>1152</v>
      </c>
      <c r="S205" s="70" t="s">
        <v>1152</v>
      </c>
      <c r="T205" s="70" t="s">
        <v>1152</v>
      </c>
      <c r="U205" s="70" t="s">
        <v>1152</v>
      </c>
      <c r="V205" s="70" t="s">
        <v>1152</v>
      </c>
      <c r="W205" s="70" t="s">
        <v>1152</v>
      </c>
      <c r="X205" s="70" t="s">
        <v>1152</v>
      </c>
      <c r="Y205" s="70" t="s">
        <v>1152</v>
      </c>
      <c r="Z205" s="70" t="s">
        <v>1152</v>
      </c>
      <c r="AA205" s="70" t="s">
        <v>1152</v>
      </c>
      <c r="AB205" s="70" t="s">
        <v>1152</v>
      </c>
      <c r="AC205" s="70" t="s">
        <v>1152</v>
      </c>
      <c r="AD205" s="70" t="s">
        <v>1152</v>
      </c>
      <c r="AE205" s="70" t="s">
        <v>1152</v>
      </c>
      <c r="AF205" s="70" t="s">
        <v>1152</v>
      </c>
      <c r="AG205" s="70" t="s">
        <v>1152</v>
      </c>
      <c r="AH205" s="70" t="s">
        <v>1152</v>
      </c>
      <c r="AI205" s="70" t="s">
        <v>1152</v>
      </c>
      <c r="AJ205" s="70" t="s">
        <v>1152</v>
      </c>
      <c r="AK205" s="70">
        <v>112.54</v>
      </c>
      <c r="AL205" s="70">
        <v>99.215000000000003</v>
      </c>
      <c r="AM205" s="70">
        <v>117.49299999999999</v>
      </c>
    </row>
    <row r="206" spans="5:39" x14ac:dyDescent="0.25">
      <c r="E206" s="335"/>
      <c r="F206" s="112" t="s">
        <v>892</v>
      </c>
      <c r="G206" s="70">
        <v>118.61799999999999</v>
      </c>
      <c r="H206" s="70">
        <v>118.61799999999999</v>
      </c>
      <c r="I206" s="70">
        <v>118.61799999999999</v>
      </c>
      <c r="J206" s="70">
        <v>120</v>
      </c>
      <c r="K206" s="70">
        <v>118.61799999999999</v>
      </c>
      <c r="L206" s="70">
        <v>118.61799999999999</v>
      </c>
      <c r="M206" s="70">
        <v>118.61799999999999</v>
      </c>
      <c r="N206" s="70">
        <v>118.61799999999999</v>
      </c>
      <c r="O206" s="70">
        <v>72.5</v>
      </c>
      <c r="P206" s="70" t="s">
        <v>1152</v>
      </c>
      <c r="Q206" s="70" t="s">
        <v>1152</v>
      </c>
      <c r="R206" s="70" t="s">
        <v>1152</v>
      </c>
      <c r="S206" s="70" t="s">
        <v>1152</v>
      </c>
      <c r="T206" s="70" t="s">
        <v>1152</v>
      </c>
      <c r="U206" s="70" t="s">
        <v>1152</v>
      </c>
      <c r="V206" s="70" t="s">
        <v>1152</v>
      </c>
      <c r="W206" s="70" t="s">
        <v>1152</v>
      </c>
      <c r="X206" s="70" t="s">
        <v>1152</v>
      </c>
      <c r="Y206" s="70" t="s">
        <v>1152</v>
      </c>
      <c r="Z206" s="70" t="s">
        <v>1152</v>
      </c>
      <c r="AA206" s="70" t="s">
        <v>1152</v>
      </c>
      <c r="AB206" s="70" t="s">
        <v>1152</v>
      </c>
      <c r="AC206" s="70" t="s">
        <v>1152</v>
      </c>
      <c r="AD206" s="70" t="s">
        <v>1152</v>
      </c>
      <c r="AE206" s="70" t="s">
        <v>1152</v>
      </c>
      <c r="AF206" s="70" t="s">
        <v>1152</v>
      </c>
      <c r="AG206" s="70" t="s">
        <v>1152</v>
      </c>
      <c r="AH206" s="70" t="s">
        <v>1152</v>
      </c>
      <c r="AI206" s="70" t="s">
        <v>1152</v>
      </c>
      <c r="AJ206" s="70" t="s">
        <v>1152</v>
      </c>
      <c r="AK206" s="70">
        <v>112.45399999999999</v>
      </c>
      <c r="AL206" s="70">
        <v>99.14</v>
      </c>
      <c r="AM206" s="70">
        <v>115.389</v>
      </c>
    </row>
    <row r="207" spans="5:39" x14ac:dyDescent="0.25">
      <c r="E207" s="335"/>
      <c r="F207" s="112" t="s">
        <v>191</v>
      </c>
      <c r="G207" s="70">
        <v>117.566</v>
      </c>
      <c r="H207" s="70">
        <v>117.566</v>
      </c>
      <c r="I207" s="70">
        <v>117.566</v>
      </c>
      <c r="J207" s="70">
        <v>120</v>
      </c>
      <c r="K207" s="70">
        <v>117.566</v>
      </c>
      <c r="L207" s="70">
        <v>117.566</v>
      </c>
      <c r="M207" s="70">
        <v>117.566</v>
      </c>
      <c r="N207" s="70">
        <v>117.566</v>
      </c>
      <c r="O207" s="70">
        <v>72.5</v>
      </c>
      <c r="P207" s="70" t="s">
        <v>1152</v>
      </c>
      <c r="Q207" s="70" t="s">
        <v>1152</v>
      </c>
      <c r="R207" s="70" t="s">
        <v>1152</v>
      </c>
      <c r="S207" s="70" t="s">
        <v>1152</v>
      </c>
      <c r="T207" s="70" t="s">
        <v>1152</v>
      </c>
      <c r="U207" s="70" t="s">
        <v>1152</v>
      </c>
      <c r="V207" s="70" t="s">
        <v>1152</v>
      </c>
      <c r="W207" s="70" t="s">
        <v>1152</v>
      </c>
      <c r="X207" s="70" t="s">
        <v>1152</v>
      </c>
      <c r="Y207" s="70" t="s">
        <v>1152</v>
      </c>
      <c r="Z207" s="70" t="s">
        <v>1152</v>
      </c>
      <c r="AA207" s="70" t="s">
        <v>1152</v>
      </c>
      <c r="AB207" s="70" t="s">
        <v>1152</v>
      </c>
      <c r="AC207" s="70" t="s">
        <v>1152</v>
      </c>
      <c r="AD207" s="70" t="s">
        <v>1152</v>
      </c>
      <c r="AE207" s="70" t="s">
        <v>1152</v>
      </c>
      <c r="AF207" s="70" t="s">
        <v>1152</v>
      </c>
      <c r="AG207" s="70" t="s">
        <v>1152</v>
      </c>
      <c r="AH207" s="70" t="s">
        <v>1152</v>
      </c>
      <c r="AI207" s="70" t="s">
        <v>1152</v>
      </c>
      <c r="AJ207" s="70" t="s">
        <v>1152</v>
      </c>
      <c r="AK207" s="70">
        <v>112.369</v>
      </c>
      <c r="AL207" s="70">
        <v>99.064999999999998</v>
      </c>
      <c r="AM207" s="70">
        <v>113.285</v>
      </c>
    </row>
    <row r="208" spans="5:39" x14ac:dyDescent="0.25">
      <c r="E208" s="335"/>
      <c r="F208" s="112" t="s">
        <v>192</v>
      </c>
      <c r="G208" s="70">
        <v>116.55</v>
      </c>
      <c r="H208" s="70">
        <v>116.55</v>
      </c>
      <c r="I208" s="70">
        <v>116.55</v>
      </c>
      <c r="J208" s="70">
        <v>120</v>
      </c>
      <c r="K208" s="70">
        <v>116.55</v>
      </c>
      <c r="L208" s="70">
        <v>116.55</v>
      </c>
      <c r="M208" s="70">
        <v>116.55</v>
      </c>
      <c r="N208" s="70">
        <v>116.55</v>
      </c>
      <c r="O208" s="70">
        <v>72.5</v>
      </c>
      <c r="P208" s="70" t="s">
        <v>1152</v>
      </c>
      <c r="Q208" s="70" t="s">
        <v>1152</v>
      </c>
      <c r="R208" s="70" t="s">
        <v>1152</v>
      </c>
      <c r="S208" s="70" t="s">
        <v>1152</v>
      </c>
      <c r="T208" s="70" t="s">
        <v>1152</v>
      </c>
      <c r="U208" s="70" t="s">
        <v>1152</v>
      </c>
      <c r="V208" s="70" t="s">
        <v>1152</v>
      </c>
      <c r="W208" s="70" t="s">
        <v>1152</v>
      </c>
      <c r="X208" s="70" t="s">
        <v>1152</v>
      </c>
      <c r="Y208" s="70" t="s">
        <v>1152</v>
      </c>
      <c r="Z208" s="70" t="s">
        <v>1152</v>
      </c>
      <c r="AA208" s="70" t="s">
        <v>1152</v>
      </c>
      <c r="AB208" s="70" t="s">
        <v>1152</v>
      </c>
      <c r="AC208" s="70" t="s">
        <v>1152</v>
      </c>
      <c r="AD208" s="70" t="s">
        <v>1152</v>
      </c>
      <c r="AE208" s="70" t="s">
        <v>1152</v>
      </c>
      <c r="AF208" s="70" t="s">
        <v>1152</v>
      </c>
      <c r="AG208" s="70" t="s">
        <v>1152</v>
      </c>
      <c r="AH208" s="70" t="s">
        <v>1152</v>
      </c>
      <c r="AI208" s="70" t="s">
        <v>1152</v>
      </c>
      <c r="AJ208" s="70" t="s">
        <v>1152</v>
      </c>
      <c r="AK208" s="70">
        <v>112.28400000000001</v>
      </c>
      <c r="AL208" s="70">
        <v>98.989000000000004</v>
      </c>
      <c r="AM208" s="70">
        <v>111.18</v>
      </c>
    </row>
    <row r="209" spans="5:39" x14ac:dyDescent="0.25">
      <c r="E209" s="335"/>
      <c r="F209" s="112" t="s">
        <v>193</v>
      </c>
      <c r="G209" s="70">
        <v>115.57</v>
      </c>
      <c r="H209" s="70">
        <v>115.57</v>
      </c>
      <c r="I209" s="70">
        <v>115.57</v>
      </c>
      <c r="J209" s="70">
        <v>120</v>
      </c>
      <c r="K209" s="70">
        <v>115.57</v>
      </c>
      <c r="L209" s="70">
        <v>115.57</v>
      </c>
      <c r="M209" s="70">
        <v>115.57</v>
      </c>
      <c r="N209" s="70">
        <v>115.57</v>
      </c>
      <c r="O209" s="70">
        <v>72.5</v>
      </c>
      <c r="P209" s="70" t="s">
        <v>1152</v>
      </c>
      <c r="Q209" s="70" t="s">
        <v>1152</v>
      </c>
      <c r="R209" s="70" t="s">
        <v>1152</v>
      </c>
      <c r="S209" s="70" t="s">
        <v>1152</v>
      </c>
      <c r="T209" s="70" t="s">
        <v>1152</v>
      </c>
      <c r="U209" s="70" t="s">
        <v>1152</v>
      </c>
      <c r="V209" s="70" t="s">
        <v>1152</v>
      </c>
      <c r="W209" s="70" t="s">
        <v>1152</v>
      </c>
      <c r="X209" s="70" t="s">
        <v>1152</v>
      </c>
      <c r="Y209" s="70" t="s">
        <v>1152</v>
      </c>
      <c r="Z209" s="70" t="s">
        <v>1152</v>
      </c>
      <c r="AA209" s="70" t="s">
        <v>1152</v>
      </c>
      <c r="AB209" s="70" t="s">
        <v>1152</v>
      </c>
      <c r="AC209" s="70" t="s">
        <v>1152</v>
      </c>
      <c r="AD209" s="70" t="s">
        <v>1152</v>
      </c>
      <c r="AE209" s="70" t="s">
        <v>1152</v>
      </c>
      <c r="AF209" s="70" t="s">
        <v>1152</v>
      </c>
      <c r="AG209" s="70" t="s">
        <v>1152</v>
      </c>
      <c r="AH209" s="70" t="s">
        <v>1152</v>
      </c>
      <c r="AI209" s="70" t="s">
        <v>1152</v>
      </c>
      <c r="AJ209" s="70" t="s">
        <v>1152</v>
      </c>
      <c r="AK209" s="70">
        <v>112.19799999999999</v>
      </c>
      <c r="AL209" s="70">
        <v>98.914000000000001</v>
      </c>
      <c r="AM209" s="70">
        <v>109.07599999999999</v>
      </c>
    </row>
    <row r="210" spans="5:39" x14ac:dyDescent="0.25">
      <c r="E210" s="335"/>
      <c r="F210" s="112" t="s">
        <v>194</v>
      </c>
      <c r="G210" s="70"/>
      <c r="H210" s="70" t="s">
        <v>1152</v>
      </c>
      <c r="I210" s="70" t="s">
        <v>1152</v>
      </c>
      <c r="J210" s="70">
        <v>120</v>
      </c>
      <c r="K210" s="70"/>
      <c r="L210" s="70" t="s">
        <v>1152</v>
      </c>
      <c r="M210" s="70" t="s">
        <v>1152</v>
      </c>
      <c r="N210" s="70" t="s">
        <v>1152</v>
      </c>
      <c r="O210" s="70">
        <v>72.5</v>
      </c>
      <c r="P210" s="70" t="s">
        <v>1152</v>
      </c>
      <c r="Q210" s="70" t="s">
        <v>1152</v>
      </c>
      <c r="R210" s="70" t="s">
        <v>1152</v>
      </c>
      <c r="S210" s="70" t="s">
        <v>1152</v>
      </c>
      <c r="T210" s="70" t="s">
        <v>1152</v>
      </c>
      <c r="U210" s="70" t="s">
        <v>1152</v>
      </c>
      <c r="V210" s="70" t="s">
        <v>1152</v>
      </c>
      <c r="W210" s="70" t="s">
        <v>1152</v>
      </c>
      <c r="X210" s="70" t="s">
        <v>1152</v>
      </c>
      <c r="Y210" s="70" t="s">
        <v>1152</v>
      </c>
      <c r="Z210" s="70" t="s">
        <v>1152</v>
      </c>
      <c r="AA210" s="70" t="s">
        <v>1152</v>
      </c>
      <c r="AB210" s="70" t="s">
        <v>1152</v>
      </c>
      <c r="AC210" s="70" t="s">
        <v>1152</v>
      </c>
      <c r="AD210" s="70" t="s">
        <v>1152</v>
      </c>
      <c r="AE210" s="70" t="s">
        <v>1152</v>
      </c>
      <c r="AF210" s="70" t="s">
        <v>1152</v>
      </c>
      <c r="AG210" s="70" t="s">
        <v>1152</v>
      </c>
      <c r="AH210" s="70" t="s">
        <v>1152</v>
      </c>
      <c r="AI210" s="70" t="s">
        <v>1152</v>
      </c>
      <c r="AJ210" s="70" t="s">
        <v>1152</v>
      </c>
      <c r="AK210" s="70">
        <v>112.24299999999999</v>
      </c>
      <c r="AL210" s="70">
        <v>98.923000000000002</v>
      </c>
      <c r="AM210" s="70">
        <v>106.973</v>
      </c>
    </row>
    <row r="211" spans="5:39" x14ac:dyDescent="0.25">
      <c r="E211" s="335"/>
      <c r="F211" s="112" t="s">
        <v>195</v>
      </c>
      <c r="G211" s="70"/>
      <c r="H211" s="70" t="s">
        <v>1152</v>
      </c>
      <c r="I211" s="70" t="s">
        <v>1152</v>
      </c>
      <c r="J211" s="70"/>
      <c r="K211" s="70"/>
      <c r="L211" s="70" t="s">
        <v>1152</v>
      </c>
      <c r="M211" s="70" t="s">
        <v>1152</v>
      </c>
      <c r="N211" s="70" t="s">
        <v>1152</v>
      </c>
      <c r="O211" s="70" t="s">
        <v>1152</v>
      </c>
      <c r="P211" s="70" t="s">
        <v>1152</v>
      </c>
      <c r="Q211" s="70" t="s">
        <v>1152</v>
      </c>
      <c r="R211" s="70" t="s">
        <v>1152</v>
      </c>
      <c r="S211" s="70" t="s">
        <v>1152</v>
      </c>
      <c r="T211" s="70" t="s">
        <v>1152</v>
      </c>
      <c r="U211" s="70" t="s">
        <v>1152</v>
      </c>
      <c r="V211" s="70" t="s">
        <v>1152</v>
      </c>
      <c r="W211" s="70" t="s">
        <v>1152</v>
      </c>
      <c r="X211" s="70" t="s">
        <v>1152</v>
      </c>
      <c r="Y211" s="70" t="s">
        <v>1152</v>
      </c>
      <c r="Z211" s="70" t="s">
        <v>1152</v>
      </c>
      <c r="AA211" s="70" t="s">
        <v>1152</v>
      </c>
      <c r="AB211" s="70" t="s">
        <v>1152</v>
      </c>
      <c r="AC211" s="70" t="s">
        <v>1152</v>
      </c>
      <c r="AD211" s="70" t="s">
        <v>1152</v>
      </c>
      <c r="AE211" s="70" t="s">
        <v>1152</v>
      </c>
      <c r="AF211" s="70" t="s">
        <v>1152</v>
      </c>
      <c r="AG211" s="70" t="s">
        <v>1152</v>
      </c>
      <c r="AH211" s="70" t="s">
        <v>1152</v>
      </c>
      <c r="AI211" s="70" t="s">
        <v>1152</v>
      </c>
      <c r="AJ211" s="70" t="s">
        <v>1152</v>
      </c>
      <c r="AK211" s="70" t="s">
        <v>1152</v>
      </c>
      <c r="AL211" s="70">
        <v>99.058999999999997</v>
      </c>
      <c r="AM211" s="70">
        <v>105.05500000000001</v>
      </c>
    </row>
    <row r="212" spans="5:39" x14ac:dyDescent="0.25">
      <c r="E212" s="335"/>
      <c r="F212" s="112" t="s">
        <v>196</v>
      </c>
      <c r="G212" s="70"/>
      <c r="H212" s="70" t="s">
        <v>1152</v>
      </c>
      <c r="I212" s="70" t="s">
        <v>1152</v>
      </c>
      <c r="J212" s="70"/>
      <c r="K212" s="70"/>
      <c r="L212" s="70" t="s">
        <v>1152</v>
      </c>
      <c r="M212" s="70" t="s">
        <v>1152</v>
      </c>
      <c r="N212" s="70" t="s">
        <v>1152</v>
      </c>
      <c r="O212" s="70" t="s">
        <v>1152</v>
      </c>
      <c r="P212" s="70" t="s">
        <v>1152</v>
      </c>
      <c r="Q212" s="70" t="s">
        <v>1152</v>
      </c>
      <c r="R212" s="70" t="s">
        <v>1152</v>
      </c>
      <c r="S212" s="70" t="s">
        <v>1152</v>
      </c>
      <c r="T212" s="70" t="s">
        <v>1152</v>
      </c>
      <c r="U212" s="70" t="s">
        <v>1152</v>
      </c>
      <c r="V212" s="70" t="s">
        <v>1152</v>
      </c>
      <c r="W212" s="70" t="s">
        <v>1152</v>
      </c>
      <c r="X212" s="70" t="s">
        <v>1152</v>
      </c>
      <c r="Y212" s="70" t="s">
        <v>1152</v>
      </c>
      <c r="Z212" s="70" t="s">
        <v>1152</v>
      </c>
      <c r="AA212" s="70" t="s">
        <v>1152</v>
      </c>
      <c r="AB212" s="70" t="s">
        <v>1152</v>
      </c>
      <c r="AC212" s="70" t="s">
        <v>1152</v>
      </c>
      <c r="AD212" s="70" t="s">
        <v>1152</v>
      </c>
      <c r="AE212" s="70" t="s">
        <v>1152</v>
      </c>
      <c r="AF212" s="70" t="s">
        <v>1152</v>
      </c>
      <c r="AG212" s="70" t="s">
        <v>1152</v>
      </c>
      <c r="AH212" s="70" t="s">
        <v>1152</v>
      </c>
      <c r="AI212" s="70" t="s">
        <v>1152</v>
      </c>
      <c r="AJ212" s="70" t="s">
        <v>1152</v>
      </c>
      <c r="AK212" s="70" t="s">
        <v>1152</v>
      </c>
      <c r="AL212" s="70" t="s">
        <v>1152</v>
      </c>
      <c r="AM212" s="70">
        <v>103.34399999999999</v>
      </c>
    </row>
    <row r="213" spans="5:39" x14ac:dyDescent="0.25">
      <c r="E213" s="335"/>
      <c r="F213" s="112" t="s">
        <v>197</v>
      </c>
      <c r="G213" s="70"/>
      <c r="H213" s="70" t="s">
        <v>1152</v>
      </c>
      <c r="I213" s="70" t="s">
        <v>1152</v>
      </c>
      <c r="J213" s="70"/>
      <c r="K213" s="70"/>
      <c r="L213" s="70" t="s">
        <v>1152</v>
      </c>
      <c r="M213" s="70" t="s">
        <v>1152</v>
      </c>
      <c r="N213" s="70" t="s">
        <v>1152</v>
      </c>
      <c r="O213" s="70" t="s">
        <v>1152</v>
      </c>
      <c r="P213" s="70" t="s">
        <v>1152</v>
      </c>
      <c r="Q213" s="70" t="s">
        <v>1152</v>
      </c>
      <c r="R213" s="70" t="s">
        <v>1152</v>
      </c>
      <c r="S213" s="70" t="s">
        <v>1152</v>
      </c>
      <c r="T213" s="70" t="s">
        <v>1152</v>
      </c>
      <c r="U213" s="70" t="s">
        <v>1152</v>
      </c>
      <c r="V213" s="70" t="s">
        <v>1152</v>
      </c>
      <c r="W213" s="70" t="s">
        <v>1152</v>
      </c>
      <c r="X213" s="70" t="s">
        <v>1152</v>
      </c>
      <c r="Y213" s="70" t="s">
        <v>1152</v>
      </c>
      <c r="Z213" s="70" t="s">
        <v>1152</v>
      </c>
      <c r="AA213" s="70" t="s">
        <v>1152</v>
      </c>
      <c r="AB213" s="70" t="s">
        <v>1152</v>
      </c>
      <c r="AC213" s="70" t="s">
        <v>1152</v>
      </c>
      <c r="AD213" s="70" t="s">
        <v>1152</v>
      </c>
      <c r="AE213" s="70" t="s">
        <v>1152</v>
      </c>
      <c r="AF213" s="70" t="s">
        <v>1152</v>
      </c>
      <c r="AG213" s="70" t="s">
        <v>1152</v>
      </c>
      <c r="AH213" s="70" t="s">
        <v>1152</v>
      </c>
      <c r="AI213" s="70" t="s">
        <v>1152</v>
      </c>
      <c r="AJ213" s="70" t="s">
        <v>1152</v>
      </c>
      <c r="AK213" s="70" t="s">
        <v>1152</v>
      </c>
      <c r="AL213" s="70" t="s">
        <v>1152</v>
      </c>
      <c r="AM213" s="70" t="s">
        <v>1152</v>
      </c>
    </row>
    <row r="214" spans="5:39" x14ac:dyDescent="0.25">
      <c r="E214" s="335"/>
      <c r="F214" s="112" t="s">
        <v>198</v>
      </c>
      <c r="G214" s="70"/>
      <c r="H214" s="70" t="s">
        <v>1152</v>
      </c>
      <c r="I214" s="70" t="s">
        <v>1152</v>
      </c>
      <c r="J214" s="70"/>
      <c r="K214" s="70"/>
      <c r="L214" s="70" t="s">
        <v>1152</v>
      </c>
      <c r="M214" s="70" t="s">
        <v>1152</v>
      </c>
      <c r="N214" s="70" t="s">
        <v>1152</v>
      </c>
      <c r="O214" s="70" t="s">
        <v>1152</v>
      </c>
      <c r="P214" s="70" t="s">
        <v>1152</v>
      </c>
      <c r="Q214" s="70" t="s">
        <v>1152</v>
      </c>
      <c r="R214" s="70" t="s">
        <v>1152</v>
      </c>
      <c r="S214" s="70" t="s">
        <v>1152</v>
      </c>
      <c r="T214" s="70" t="s">
        <v>1152</v>
      </c>
      <c r="U214" s="70" t="s">
        <v>1152</v>
      </c>
      <c r="V214" s="70" t="s">
        <v>1152</v>
      </c>
      <c r="W214" s="70" t="s">
        <v>1152</v>
      </c>
      <c r="X214" s="70" t="s">
        <v>1152</v>
      </c>
      <c r="Y214" s="70" t="s">
        <v>1152</v>
      </c>
      <c r="Z214" s="70" t="s">
        <v>1152</v>
      </c>
      <c r="AA214" s="70" t="s">
        <v>1152</v>
      </c>
      <c r="AB214" s="70" t="s">
        <v>1152</v>
      </c>
      <c r="AC214" s="70" t="s">
        <v>1152</v>
      </c>
      <c r="AD214" s="70" t="s">
        <v>1152</v>
      </c>
      <c r="AE214" s="70" t="s">
        <v>1152</v>
      </c>
      <c r="AF214" s="70" t="s">
        <v>1152</v>
      </c>
      <c r="AG214" s="70" t="s">
        <v>1152</v>
      </c>
      <c r="AH214" s="70" t="s">
        <v>1152</v>
      </c>
      <c r="AI214" s="70" t="s">
        <v>1152</v>
      </c>
      <c r="AJ214" s="70" t="s">
        <v>1152</v>
      </c>
      <c r="AK214" s="70" t="s">
        <v>1152</v>
      </c>
      <c r="AL214" s="70" t="s">
        <v>1152</v>
      </c>
      <c r="AM214" s="70" t="s">
        <v>1152</v>
      </c>
    </row>
    <row r="215" spans="5:39" x14ac:dyDescent="0.25">
      <c r="E215" s="335"/>
      <c r="F215" s="112" t="s">
        <v>199</v>
      </c>
      <c r="G215" s="70"/>
      <c r="H215" s="70" t="s">
        <v>1152</v>
      </c>
      <c r="I215" s="70" t="s">
        <v>1152</v>
      </c>
      <c r="J215" s="70"/>
      <c r="K215" s="70"/>
      <c r="L215" s="70" t="s">
        <v>1152</v>
      </c>
      <c r="M215" s="70" t="s">
        <v>1152</v>
      </c>
      <c r="N215" s="70" t="s">
        <v>1152</v>
      </c>
      <c r="O215" s="70" t="s">
        <v>1152</v>
      </c>
      <c r="P215" s="70" t="s">
        <v>1152</v>
      </c>
      <c r="Q215" s="70" t="s">
        <v>1152</v>
      </c>
      <c r="R215" s="70" t="s">
        <v>1152</v>
      </c>
      <c r="S215" s="70" t="s">
        <v>1152</v>
      </c>
      <c r="T215" s="70" t="s">
        <v>1152</v>
      </c>
      <c r="U215" s="70" t="s">
        <v>1152</v>
      </c>
      <c r="V215" s="70" t="s">
        <v>1152</v>
      </c>
      <c r="W215" s="70" t="s">
        <v>1152</v>
      </c>
      <c r="X215" s="70" t="s">
        <v>1152</v>
      </c>
      <c r="Y215" s="70" t="s">
        <v>1152</v>
      </c>
      <c r="Z215" s="70" t="s">
        <v>1152</v>
      </c>
      <c r="AA215" s="70" t="s">
        <v>1152</v>
      </c>
      <c r="AB215" s="70" t="s">
        <v>1152</v>
      </c>
      <c r="AC215" s="70" t="s">
        <v>1152</v>
      </c>
      <c r="AD215" s="70" t="s">
        <v>1152</v>
      </c>
      <c r="AE215" s="70" t="s">
        <v>1152</v>
      </c>
      <c r="AF215" s="70" t="s">
        <v>1152</v>
      </c>
      <c r="AG215" s="70" t="s">
        <v>1152</v>
      </c>
      <c r="AH215" s="70" t="s">
        <v>1152</v>
      </c>
      <c r="AI215" s="70" t="s">
        <v>1152</v>
      </c>
      <c r="AJ215" s="70" t="s">
        <v>1152</v>
      </c>
      <c r="AK215" s="70" t="s">
        <v>1152</v>
      </c>
      <c r="AL215" s="70" t="s">
        <v>1152</v>
      </c>
      <c r="AM215" s="70" t="s">
        <v>1152</v>
      </c>
    </row>
    <row r="216" spans="5:39" x14ac:dyDescent="0.25">
      <c r="E216" s="335"/>
      <c r="F216" s="112" t="s">
        <v>200</v>
      </c>
      <c r="G216" s="70"/>
      <c r="H216" s="70" t="s">
        <v>1152</v>
      </c>
      <c r="I216" s="70" t="s">
        <v>1152</v>
      </c>
      <c r="J216" s="70"/>
      <c r="K216" s="70"/>
      <c r="L216" s="70" t="s">
        <v>1152</v>
      </c>
      <c r="M216" s="70" t="s">
        <v>1152</v>
      </c>
      <c r="N216" s="70" t="s">
        <v>1152</v>
      </c>
      <c r="O216" s="70" t="s">
        <v>1152</v>
      </c>
      <c r="P216" s="70" t="s">
        <v>1152</v>
      </c>
      <c r="Q216" s="70" t="s">
        <v>1152</v>
      </c>
      <c r="R216" s="70" t="s">
        <v>1152</v>
      </c>
      <c r="S216" s="70" t="s">
        <v>1152</v>
      </c>
      <c r="T216" s="70" t="s">
        <v>1152</v>
      </c>
      <c r="U216" s="70" t="s">
        <v>1152</v>
      </c>
      <c r="V216" s="70" t="s">
        <v>1152</v>
      </c>
      <c r="W216" s="70" t="s">
        <v>1152</v>
      </c>
      <c r="X216" s="70" t="s">
        <v>1152</v>
      </c>
      <c r="Y216" s="70" t="s">
        <v>1152</v>
      </c>
      <c r="Z216" s="70" t="s">
        <v>1152</v>
      </c>
      <c r="AA216" s="70" t="s">
        <v>1152</v>
      </c>
      <c r="AB216" s="70" t="s">
        <v>1152</v>
      </c>
      <c r="AC216" s="70" t="s">
        <v>1152</v>
      </c>
      <c r="AD216" s="70" t="s">
        <v>1152</v>
      </c>
      <c r="AE216" s="70" t="s">
        <v>1152</v>
      </c>
      <c r="AF216" s="70" t="s">
        <v>1152</v>
      </c>
      <c r="AG216" s="70" t="s">
        <v>1152</v>
      </c>
      <c r="AH216" s="70" t="s">
        <v>1152</v>
      </c>
      <c r="AI216" s="70" t="s">
        <v>1152</v>
      </c>
      <c r="AJ216" s="70" t="s">
        <v>1152</v>
      </c>
      <c r="AK216" s="70" t="s">
        <v>1152</v>
      </c>
      <c r="AL216" s="70" t="s">
        <v>1152</v>
      </c>
      <c r="AM216" s="70" t="s">
        <v>1152</v>
      </c>
    </row>
    <row r="217" spans="5:39" x14ac:dyDescent="0.25">
      <c r="E217" s="335"/>
      <c r="F217" s="112" t="s">
        <v>201</v>
      </c>
      <c r="G217" s="70"/>
      <c r="H217" s="70" t="s">
        <v>1152</v>
      </c>
      <c r="I217" s="70" t="s">
        <v>1152</v>
      </c>
      <c r="J217" s="70"/>
      <c r="K217" s="70"/>
      <c r="L217" s="70" t="s">
        <v>1152</v>
      </c>
      <c r="M217" s="70" t="s">
        <v>1152</v>
      </c>
      <c r="N217" s="70" t="s">
        <v>1152</v>
      </c>
      <c r="O217" s="70" t="s">
        <v>1152</v>
      </c>
      <c r="P217" s="70" t="s">
        <v>1152</v>
      </c>
      <c r="Q217" s="70" t="s">
        <v>1152</v>
      </c>
      <c r="R217" s="70" t="s">
        <v>1152</v>
      </c>
      <c r="S217" s="70" t="s">
        <v>1152</v>
      </c>
      <c r="T217" s="70" t="s">
        <v>1152</v>
      </c>
      <c r="U217" s="70" t="s">
        <v>1152</v>
      </c>
      <c r="V217" s="70" t="s">
        <v>1152</v>
      </c>
      <c r="W217" s="70" t="s">
        <v>1152</v>
      </c>
      <c r="X217" s="70" t="s">
        <v>1152</v>
      </c>
      <c r="Y217" s="70" t="s">
        <v>1152</v>
      </c>
      <c r="Z217" s="70" t="s">
        <v>1152</v>
      </c>
      <c r="AA217" s="70" t="s">
        <v>1152</v>
      </c>
      <c r="AB217" s="70" t="s">
        <v>1152</v>
      </c>
      <c r="AC217" s="70" t="s">
        <v>1152</v>
      </c>
      <c r="AD217" s="70" t="s">
        <v>1152</v>
      </c>
      <c r="AE217" s="70" t="s">
        <v>1152</v>
      </c>
      <c r="AF217" s="70" t="s">
        <v>1152</v>
      </c>
      <c r="AG217" s="70" t="s">
        <v>1152</v>
      </c>
      <c r="AH217" s="70" t="s">
        <v>1152</v>
      </c>
      <c r="AI217" s="70" t="s">
        <v>1152</v>
      </c>
      <c r="AJ217" s="70" t="s">
        <v>1152</v>
      </c>
      <c r="AK217" s="70" t="s">
        <v>1152</v>
      </c>
      <c r="AL217" s="70" t="s">
        <v>1152</v>
      </c>
      <c r="AM217" s="70" t="s">
        <v>1152</v>
      </c>
    </row>
    <row r="218" spans="5:39" x14ac:dyDescent="0.25">
      <c r="E218" s="335"/>
      <c r="F218" s="112" t="s">
        <v>202</v>
      </c>
      <c r="G218" s="70"/>
      <c r="H218" s="70" t="s">
        <v>1152</v>
      </c>
      <c r="I218" s="70" t="s">
        <v>1152</v>
      </c>
      <c r="J218" s="70"/>
      <c r="K218" s="70"/>
      <c r="L218" s="70" t="s">
        <v>1152</v>
      </c>
      <c r="M218" s="70" t="s">
        <v>1152</v>
      </c>
      <c r="N218" s="70" t="s">
        <v>1152</v>
      </c>
      <c r="O218" s="70" t="s">
        <v>1152</v>
      </c>
      <c r="P218" s="70" t="s">
        <v>1152</v>
      </c>
      <c r="Q218" s="70" t="s">
        <v>1152</v>
      </c>
      <c r="R218" s="70" t="s">
        <v>1152</v>
      </c>
      <c r="S218" s="70" t="s">
        <v>1152</v>
      </c>
      <c r="T218" s="70" t="s">
        <v>1152</v>
      </c>
      <c r="U218" s="70" t="s">
        <v>1152</v>
      </c>
      <c r="V218" s="70" t="s">
        <v>1152</v>
      </c>
      <c r="W218" s="70" t="s">
        <v>1152</v>
      </c>
      <c r="X218" s="70" t="s">
        <v>1152</v>
      </c>
      <c r="Y218" s="70" t="s">
        <v>1152</v>
      </c>
      <c r="Z218" s="70" t="s">
        <v>1152</v>
      </c>
      <c r="AA218" s="70" t="s">
        <v>1152</v>
      </c>
      <c r="AB218" s="70" t="s">
        <v>1152</v>
      </c>
      <c r="AC218" s="70" t="s">
        <v>1152</v>
      </c>
      <c r="AD218" s="70" t="s">
        <v>1152</v>
      </c>
      <c r="AE218" s="70" t="s">
        <v>1152</v>
      </c>
      <c r="AF218" s="70" t="s">
        <v>1152</v>
      </c>
      <c r="AG218" s="70" t="s">
        <v>1152</v>
      </c>
      <c r="AH218" s="70" t="s">
        <v>1152</v>
      </c>
      <c r="AI218" s="70" t="s">
        <v>1152</v>
      </c>
      <c r="AJ218" s="70" t="s">
        <v>1152</v>
      </c>
      <c r="AK218" s="70" t="s">
        <v>1152</v>
      </c>
      <c r="AL218" s="70" t="s">
        <v>1152</v>
      </c>
      <c r="AM218" s="70" t="s">
        <v>1152</v>
      </c>
    </row>
    <row r="219" spans="5:39" x14ac:dyDescent="0.25">
      <c r="E219" s="335"/>
      <c r="F219" s="112" t="s">
        <v>203</v>
      </c>
      <c r="G219" s="70"/>
      <c r="H219" s="70" t="s">
        <v>1152</v>
      </c>
      <c r="I219" s="70" t="s">
        <v>1152</v>
      </c>
      <c r="J219" s="70"/>
      <c r="K219" s="70"/>
      <c r="L219" s="70" t="s">
        <v>1152</v>
      </c>
      <c r="M219" s="70" t="s">
        <v>1152</v>
      </c>
      <c r="N219" s="70" t="s">
        <v>1152</v>
      </c>
      <c r="O219" s="70" t="s">
        <v>1152</v>
      </c>
      <c r="P219" s="70" t="s">
        <v>1152</v>
      </c>
      <c r="Q219" s="70" t="s">
        <v>1152</v>
      </c>
      <c r="R219" s="70" t="s">
        <v>1152</v>
      </c>
      <c r="S219" s="70" t="s">
        <v>1152</v>
      </c>
      <c r="T219" s="70" t="s">
        <v>1152</v>
      </c>
      <c r="U219" s="70" t="s">
        <v>1152</v>
      </c>
      <c r="V219" s="70" t="s">
        <v>1152</v>
      </c>
      <c r="W219" s="70" t="s">
        <v>1152</v>
      </c>
      <c r="X219" s="70" t="s">
        <v>1152</v>
      </c>
      <c r="Y219" s="70" t="s">
        <v>1152</v>
      </c>
      <c r="Z219" s="70" t="s">
        <v>1152</v>
      </c>
      <c r="AA219" s="70" t="s">
        <v>1152</v>
      </c>
      <c r="AB219" s="70" t="s">
        <v>1152</v>
      </c>
      <c r="AC219" s="70" t="s">
        <v>1152</v>
      </c>
      <c r="AD219" s="70" t="s">
        <v>1152</v>
      </c>
      <c r="AE219" s="70" t="s">
        <v>1152</v>
      </c>
      <c r="AF219" s="70" t="s">
        <v>1152</v>
      </c>
      <c r="AG219" s="70" t="s">
        <v>1152</v>
      </c>
      <c r="AH219" s="70" t="s">
        <v>1152</v>
      </c>
      <c r="AI219" s="70" t="s">
        <v>1152</v>
      </c>
      <c r="AJ219" s="70" t="s">
        <v>1152</v>
      </c>
      <c r="AK219" s="70" t="s">
        <v>1152</v>
      </c>
      <c r="AL219" s="70" t="s">
        <v>1152</v>
      </c>
      <c r="AM219" s="70" t="s">
        <v>1152</v>
      </c>
    </row>
    <row r="220" spans="5:39" x14ac:dyDescent="0.25">
      <c r="E220" s="335"/>
      <c r="F220" s="112" t="s">
        <v>204</v>
      </c>
      <c r="G220" s="70"/>
      <c r="H220" s="70" t="s">
        <v>1152</v>
      </c>
      <c r="I220" s="70" t="s">
        <v>1152</v>
      </c>
      <c r="J220" s="70"/>
      <c r="K220" s="70"/>
      <c r="L220" s="70" t="s">
        <v>1152</v>
      </c>
      <c r="M220" s="70" t="s">
        <v>1152</v>
      </c>
      <c r="N220" s="70" t="s">
        <v>1152</v>
      </c>
      <c r="O220" s="70" t="s">
        <v>1152</v>
      </c>
      <c r="P220" s="70" t="s">
        <v>1152</v>
      </c>
      <c r="Q220" s="70" t="s">
        <v>1152</v>
      </c>
      <c r="R220" s="70" t="s">
        <v>1152</v>
      </c>
      <c r="S220" s="70" t="s">
        <v>1152</v>
      </c>
      <c r="T220" s="70" t="s">
        <v>1152</v>
      </c>
      <c r="U220" s="70" t="s">
        <v>1152</v>
      </c>
      <c r="V220" s="70" t="s">
        <v>1152</v>
      </c>
      <c r="W220" s="70" t="s">
        <v>1152</v>
      </c>
      <c r="X220" s="70" t="s">
        <v>1152</v>
      </c>
      <c r="Y220" s="70" t="s">
        <v>1152</v>
      </c>
      <c r="Z220" s="70" t="s">
        <v>1152</v>
      </c>
      <c r="AA220" s="70" t="s">
        <v>1152</v>
      </c>
      <c r="AB220" s="70" t="s">
        <v>1152</v>
      </c>
      <c r="AC220" s="70" t="s">
        <v>1152</v>
      </c>
      <c r="AD220" s="70" t="s">
        <v>1152</v>
      </c>
      <c r="AE220" s="70" t="s">
        <v>1152</v>
      </c>
      <c r="AF220" s="70" t="s">
        <v>1152</v>
      </c>
      <c r="AG220" s="70" t="s">
        <v>1152</v>
      </c>
      <c r="AH220" s="70" t="s">
        <v>1152</v>
      </c>
      <c r="AI220" s="70" t="s">
        <v>1152</v>
      </c>
      <c r="AJ220" s="70" t="s">
        <v>1152</v>
      </c>
      <c r="AK220" s="70" t="s">
        <v>1152</v>
      </c>
      <c r="AL220" s="70" t="s">
        <v>1152</v>
      </c>
      <c r="AM220" s="70" t="s">
        <v>1152</v>
      </c>
    </row>
    <row r="221" spans="5:39" x14ac:dyDescent="0.25">
      <c r="E221" s="335"/>
      <c r="F221" s="112" t="s">
        <v>205</v>
      </c>
      <c r="G221" s="70"/>
      <c r="H221" s="70" t="s">
        <v>1152</v>
      </c>
      <c r="I221" s="70" t="s">
        <v>1152</v>
      </c>
      <c r="J221" s="70"/>
      <c r="K221" s="70"/>
      <c r="L221" s="70" t="s">
        <v>1152</v>
      </c>
      <c r="M221" s="70" t="s">
        <v>1152</v>
      </c>
      <c r="N221" s="70" t="s">
        <v>1152</v>
      </c>
      <c r="O221" s="70" t="s">
        <v>1152</v>
      </c>
      <c r="P221" s="70" t="s">
        <v>1152</v>
      </c>
      <c r="Q221" s="70" t="s">
        <v>1152</v>
      </c>
      <c r="R221" s="70" t="s">
        <v>1152</v>
      </c>
      <c r="S221" s="70" t="s">
        <v>1152</v>
      </c>
      <c r="T221" s="70" t="s">
        <v>1152</v>
      </c>
      <c r="U221" s="70" t="s">
        <v>1152</v>
      </c>
      <c r="V221" s="70" t="s">
        <v>1152</v>
      </c>
      <c r="W221" s="70" t="s">
        <v>1152</v>
      </c>
      <c r="X221" s="70" t="s">
        <v>1152</v>
      </c>
      <c r="Y221" s="70" t="s">
        <v>1152</v>
      </c>
      <c r="Z221" s="70" t="s">
        <v>1152</v>
      </c>
      <c r="AA221" s="70" t="s">
        <v>1152</v>
      </c>
      <c r="AB221" s="70" t="s">
        <v>1152</v>
      </c>
      <c r="AC221" s="70" t="s">
        <v>1152</v>
      </c>
      <c r="AD221" s="70" t="s">
        <v>1152</v>
      </c>
      <c r="AE221" s="70" t="s">
        <v>1152</v>
      </c>
      <c r="AF221" s="70" t="s">
        <v>1152</v>
      </c>
      <c r="AG221" s="70" t="s">
        <v>1152</v>
      </c>
      <c r="AH221" s="70" t="s">
        <v>1152</v>
      </c>
      <c r="AI221" s="70" t="s">
        <v>1152</v>
      </c>
      <c r="AJ221" s="70" t="s">
        <v>1152</v>
      </c>
      <c r="AK221" s="70" t="s">
        <v>1152</v>
      </c>
      <c r="AL221" s="70" t="s">
        <v>1152</v>
      </c>
      <c r="AM221" s="70" t="s">
        <v>1152</v>
      </c>
    </row>
    <row r="222" spans="5:39" x14ac:dyDescent="0.25">
      <c r="E222" s="335"/>
      <c r="F222" s="112" t="s">
        <v>206</v>
      </c>
      <c r="G222" s="70"/>
      <c r="H222" s="70" t="s">
        <v>1152</v>
      </c>
      <c r="I222" s="70" t="s">
        <v>1152</v>
      </c>
      <c r="J222" s="70"/>
      <c r="K222" s="70"/>
      <c r="L222" s="70" t="s">
        <v>1152</v>
      </c>
      <c r="M222" s="70" t="s">
        <v>1152</v>
      </c>
      <c r="N222" s="70" t="s">
        <v>1152</v>
      </c>
      <c r="O222" s="70" t="s">
        <v>1152</v>
      </c>
      <c r="P222" s="70" t="s">
        <v>1152</v>
      </c>
      <c r="Q222" s="70" t="s">
        <v>1152</v>
      </c>
      <c r="R222" s="70" t="s">
        <v>1152</v>
      </c>
      <c r="S222" s="70" t="s">
        <v>1152</v>
      </c>
      <c r="T222" s="70" t="s">
        <v>1152</v>
      </c>
      <c r="U222" s="70" t="s">
        <v>1152</v>
      </c>
      <c r="V222" s="70" t="s">
        <v>1152</v>
      </c>
      <c r="W222" s="70" t="s">
        <v>1152</v>
      </c>
      <c r="X222" s="70" t="s">
        <v>1152</v>
      </c>
      <c r="Y222" s="70" t="s">
        <v>1152</v>
      </c>
      <c r="Z222" s="70" t="s">
        <v>1152</v>
      </c>
      <c r="AA222" s="70" t="s">
        <v>1152</v>
      </c>
      <c r="AB222" s="70" t="s">
        <v>1152</v>
      </c>
      <c r="AC222" s="70" t="s">
        <v>1152</v>
      </c>
      <c r="AD222" s="70" t="s">
        <v>1152</v>
      </c>
      <c r="AE222" s="70" t="s">
        <v>1152</v>
      </c>
      <c r="AF222" s="70" t="s">
        <v>1152</v>
      </c>
      <c r="AG222" s="70" t="s">
        <v>1152</v>
      </c>
      <c r="AH222" s="70" t="s">
        <v>1152</v>
      </c>
      <c r="AI222" s="70" t="s">
        <v>1152</v>
      </c>
      <c r="AJ222" s="70" t="s">
        <v>1152</v>
      </c>
      <c r="AK222" s="70" t="s">
        <v>1152</v>
      </c>
      <c r="AL222" s="70" t="s">
        <v>1152</v>
      </c>
      <c r="AM222" s="70" t="s">
        <v>1152</v>
      </c>
    </row>
    <row r="223" spans="5:39" x14ac:dyDescent="0.25">
      <c r="E223" s="335"/>
      <c r="F223" s="112" t="s">
        <v>207</v>
      </c>
      <c r="G223" s="70"/>
      <c r="H223" s="70" t="s">
        <v>1152</v>
      </c>
      <c r="I223" s="70" t="s">
        <v>1152</v>
      </c>
      <c r="J223" s="70"/>
      <c r="K223" s="70"/>
      <c r="L223" s="70" t="s">
        <v>1152</v>
      </c>
      <c r="M223" s="70" t="s">
        <v>1152</v>
      </c>
      <c r="N223" s="70" t="s">
        <v>1152</v>
      </c>
      <c r="O223" s="70" t="s">
        <v>1152</v>
      </c>
      <c r="P223" s="70" t="s">
        <v>1152</v>
      </c>
      <c r="Q223" s="70" t="s">
        <v>1152</v>
      </c>
      <c r="R223" s="70" t="s">
        <v>1152</v>
      </c>
      <c r="S223" s="70" t="s">
        <v>1152</v>
      </c>
      <c r="T223" s="70" t="s">
        <v>1152</v>
      </c>
      <c r="U223" s="70" t="s">
        <v>1152</v>
      </c>
      <c r="V223" s="70" t="s">
        <v>1152</v>
      </c>
      <c r="W223" s="70" t="s">
        <v>1152</v>
      </c>
      <c r="X223" s="70" t="s">
        <v>1152</v>
      </c>
      <c r="Y223" s="70" t="s">
        <v>1152</v>
      </c>
      <c r="Z223" s="70" t="s">
        <v>1152</v>
      </c>
      <c r="AA223" s="70" t="s">
        <v>1152</v>
      </c>
      <c r="AB223" s="70" t="s">
        <v>1152</v>
      </c>
      <c r="AC223" s="70" t="s">
        <v>1152</v>
      </c>
      <c r="AD223" s="70" t="s">
        <v>1152</v>
      </c>
      <c r="AE223" s="70" t="s">
        <v>1152</v>
      </c>
      <c r="AF223" s="70" t="s">
        <v>1152</v>
      </c>
      <c r="AG223" s="70" t="s">
        <v>1152</v>
      </c>
      <c r="AH223" s="70" t="s">
        <v>1152</v>
      </c>
      <c r="AI223" s="70" t="s">
        <v>1152</v>
      </c>
      <c r="AJ223" s="70" t="s">
        <v>1152</v>
      </c>
      <c r="AK223" s="70" t="s">
        <v>1152</v>
      </c>
      <c r="AL223" s="70" t="s">
        <v>1152</v>
      </c>
      <c r="AM223" s="70" t="s">
        <v>1152</v>
      </c>
    </row>
    <row r="224" spans="5:39" ht="15.75" thickBot="1" x14ac:dyDescent="0.3">
      <c r="E224" s="336"/>
      <c r="F224" s="113" t="s">
        <v>208</v>
      </c>
      <c r="G224" s="70"/>
      <c r="H224" s="70" t="s">
        <v>1152</v>
      </c>
      <c r="I224" s="70" t="s">
        <v>1152</v>
      </c>
      <c r="J224" s="70"/>
      <c r="K224" s="70"/>
      <c r="L224" s="70" t="s">
        <v>1152</v>
      </c>
      <c r="M224" s="70" t="s">
        <v>1152</v>
      </c>
      <c r="N224" s="70" t="s">
        <v>1152</v>
      </c>
      <c r="O224" s="70" t="s">
        <v>1152</v>
      </c>
      <c r="P224" s="70" t="s">
        <v>1152</v>
      </c>
      <c r="Q224" s="70" t="s">
        <v>1152</v>
      </c>
      <c r="R224" s="70" t="s">
        <v>1152</v>
      </c>
      <c r="S224" s="70" t="s">
        <v>1152</v>
      </c>
      <c r="T224" s="70" t="s">
        <v>1152</v>
      </c>
      <c r="U224" s="70" t="s">
        <v>1152</v>
      </c>
      <c r="V224" s="70" t="s">
        <v>1152</v>
      </c>
      <c r="W224" s="70" t="s">
        <v>1152</v>
      </c>
      <c r="X224" s="70" t="s">
        <v>1152</v>
      </c>
      <c r="Y224" s="70" t="s">
        <v>1152</v>
      </c>
      <c r="Z224" s="70" t="s">
        <v>1152</v>
      </c>
      <c r="AA224" s="70" t="s">
        <v>1152</v>
      </c>
      <c r="AB224" s="70" t="s">
        <v>1152</v>
      </c>
      <c r="AC224" s="70" t="s">
        <v>1152</v>
      </c>
      <c r="AD224" s="70" t="s">
        <v>1152</v>
      </c>
      <c r="AE224" s="70" t="s">
        <v>1152</v>
      </c>
      <c r="AF224" s="70" t="s">
        <v>1152</v>
      </c>
      <c r="AG224" s="70" t="s">
        <v>1152</v>
      </c>
      <c r="AH224" s="70" t="s">
        <v>1152</v>
      </c>
      <c r="AI224" s="70" t="s">
        <v>1152</v>
      </c>
      <c r="AJ224" s="70" t="s">
        <v>1152</v>
      </c>
      <c r="AK224" s="70" t="s">
        <v>1152</v>
      </c>
      <c r="AL224" s="70" t="s">
        <v>1152</v>
      </c>
      <c r="AM224" s="70" t="s">
        <v>1152</v>
      </c>
    </row>
    <row r="225" spans="5:39" x14ac:dyDescent="0.25">
      <c r="E225" s="334" t="s">
        <v>946</v>
      </c>
      <c r="F225" s="178" t="s">
        <v>947</v>
      </c>
      <c r="G225" s="70" t="s">
        <v>12</v>
      </c>
      <c r="H225" s="70" t="s">
        <v>12</v>
      </c>
      <c r="I225" s="70" t="s">
        <v>12</v>
      </c>
      <c r="J225" s="70" t="s">
        <v>12</v>
      </c>
      <c r="K225" s="70" t="s">
        <v>12</v>
      </c>
      <c r="L225" s="70" t="s">
        <v>12</v>
      </c>
      <c r="M225" s="70" t="s">
        <v>12</v>
      </c>
      <c r="N225" s="70" t="s">
        <v>12</v>
      </c>
      <c r="O225" s="70" t="s">
        <v>12</v>
      </c>
      <c r="P225" s="70" t="s">
        <v>12</v>
      </c>
      <c r="Q225" s="70" t="s">
        <v>12</v>
      </c>
      <c r="R225" s="70" t="s">
        <v>12</v>
      </c>
      <c r="S225" s="70" t="s">
        <v>12</v>
      </c>
      <c r="T225" s="70" t="s">
        <v>12</v>
      </c>
      <c r="U225" s="70" t="s">
        <v>12</v>
      </c>
      <c r="V225" s="70" t="s">
        <v>12</v>
      </c>
      <c r="W225" s="70" t="s">
        <v>12</v>
      </c>
      <c r="X225" s="70" t="s">
        <v>12</v>
      </c>
      <c r="Y225" s="70" t="s">
        <v>12</v>
      </c>
      <c r="Z225" s="70" t="s">
        <v>12</v>
      </c>
      <c r="AA225" s="70" t="s">
        <v>12</v>
      </c>
      <c r="AB225" s="70" t="s">
        <v>12</v>
      </c>
      <c r="AC225" s="70" t="s">
        <v>12</v>
      </c>
      <c r="AD225" s="70" t="s">
        <v>12</v>
      </c>
      <c r="AE225" s="70" t="s">
        <v>12</v>
      </c>
      <c r="AF225" s="70" t="s">
        <v>12</v>
      </c>
      <c r="AG225" s="70" t="s">
        <v>12</v>
      </c>
      <c r="AH225" s="70" t="s">
        <v>12</v>
      </c>
      <c r="AI225" s="70" t="s">
        <v>12</v>
      </c>
      <c r="AJ225" s="70" t="s">
        <v>12</v>
      </c>
      <c r="AK225" s="70" t="s">
        <v>12</v>
      </c>
      <c r="AL225" s="70" t="s">
        <v>12</v>
      </c>
      <c r="AM225" s="70" t="s">
        <v>12</v>
      </c>
    </row>
    <row r="226" spans="5:39" ht="15.75" thickBot="1" x14ac:dyDescent="0.3">
      <c r="E226" s="336"/>
      <c r="F226" s="91" t="s">
        <v>948</v>
      </c>
      <c r="G226" s="70">
        <v>0</v>
      </c>
      <c r="H226" s="70">
        <v>0</v>
      </c>
      <c r="I226" s="70">
        <v>0</v>
      </c>
      <c r="J226" s="70">
        <v>0</v>
      </c>
      <c r="K226" s="70">
        <v>0</v>
      </c>
      <c r="L226" s="70">
        <v>0</v>
      </c>
      <c r="M226" s="70">
        <v>0</v>
      </c>
      <c r="N226" s="70">
        <v>0</v>
      </c>
      <c r="O226" s="70">
        <v>0</v>
      </c>
      <c r="P226" s="70">
        <v>0</v>
      </c>
      <c r="Q226" s="70">
        <v>0</v>
      </c>
      <c r="R226" s="70">
        <v>0</v>
      </c>
      <c r="S226" s="70">
        <v>0</v>
      </c>
      <c r="T226" s="70">
        <v>0</v>
      </c>
      <c r="U226" s="70">
        <v>0</v>
      </c>
      <c r="V226" s="70">
        <v>0</v>
      </c>
      <c r="W226" s="70">
        <v>0</v>
      </c>
      <c r="X226" s="70">
        <v>0</v>
      </c>
      <c r="Y226" s="70">
        <v>0</v>
      </c>
      <c r="Z226" s="70">
        <v>0</v>
      </c>
      <c r="AA226" s="70">
        <v>0</v>
      </c>
      <c r="AB226" s="70">
        <v>0</v>
      </c>
      <c r="AC226" s="70">
        <v>0</v>
      </c>
      <c r="AD226" s="70">
        <v>0</v>
      </c>
      <c r="AE226" s="70">
        <v>0</v>
      </c>
      <c r="AF226" s="70">
        <v>0</v>
      </c>
      <c r="AG226" s="70">
        <v>0</v>
      </c>
      <c r="AH226" s="70">
        <v>0</v>
      </c>
      <c r="AI226" s="70">
        <v>0</v>
      </c>
      <c r="AJ226" s="70">
        <v>0</v>
      </c>
      <c r="AK226" s="70">
        <v>0</v>
      </c>
      <c r="AL226" s="70">
        <v>0</v>
      </c>
      <c r="AM226" s="70">
        <v>0</v>
      </c>
    </row>
    <row r="227" spans="5:39" x14ac:dyDescent="0.25">
      <c r="E227" s="334" t="s">
        <v>949</v>
      </c>
      <c r="F227" s="178" t="s">
        <v>950</v>
      </c>
      <c r="G227" s="70">
        <v>0</v>
      </c>
      <c r="H227" s="70">
        <v>0</v>
      </c>
      <c r="I227" s="70">
        <v>0</v>
      </c>
      <c r="J227" s="70">
        <v>6.25</v>
      </c>
      <c r="K227" s="70">
        <v>0</v>
      </c>
      <c r="L227" s="70">
        <v>0</v>
      </c>
      <c r="M227" s="70">
        <v>0</v>
      </c>
      <c r="N227" s="70">
        <v>0</v>
      </c>
      <c r="O227" s="70">
        <v>0</v>
      </c>
      <c r="P227" s="70">
        <v>0</v>
      </c>
      <c r="Q227" s="70">
        <v>0</v>
      </c>
      <c r="R227" s="70">
        <v>0</v>
      </c>
      <c r="S227" s="70">
        <v>0</v>
      </c>
      <c r="T227" s="70">
        <v>0</v>
      </c>
      <c r="U227" s="70">
        <v>0</v>
      </c>
      <c r="V227" s="70">
        <v>0</v>
      </c>
      <c r="W227" s="70">
        <v>0</v>
      </c>
      <c r="X227" s="70">
        <v>0</v>
      </c>
      <c r="Y227" s="70">
        <v>0</v>
      </c>
      <c r="Z227" s="70">
        <v>0</v>
      </c>
      <c r="AA227" s="70">
        <v>0</v>
      </c>
      <c r="AB227" s="70">
        <v>0</v>
      </c>
      <c r="AC227" s="70">
        <v>0</v>
      </c>
      <c r="AD227" s="70">
        <v>0</v>
      </c>
      <c r="AE227" s="70">
        <v>0</v>
      </c>
      <c r="AF227" s="70">
        <v>0</v>
      </c>
      <c r="AG227" s="70">
        <v>0</v>
      </c>
      <c r="AH227" s="70">
        <v>0</v>
      </c>
      <c r="AI227" s="70">
        <v>0</v>
      </c>
      <c r="AJ227" s="70">
        <v>0</v>
      </c>
      <c r="AK227" s="70">
        <v>0</v>
      </c>
      <c r="AL227" s="70">
        <v>0</v>
      </c>
      <c r="AM227" s="70">
        <v>0</v>
      </c>
    </row>
    <row r="228" spans="5:39" x14ac:dyDescent="0.25">
      <c r="E228" s="335"/>
      <c r="F228" s="90" t="s">
        <v>951</v>
      </c>
      <c r="G228" s="70">
        <v>0</v>
      </c>
      <c r="H228" s="70">
        <v>0</v>
      </c>
      <c r="I228" s="70">
        <v>0</v>
      </c>
      <c r="J228" s="70">
        <v>0</v>
      </c>
      <c r="K228" s="70">
        <v>0</v>
      </c>
      <c r="L228" s="70">
        <v>0</v>
      </c>
      <c r="M228" s="70">
        <v>0</v>
      </c>
      <c r="N228" s="70">
        <v>0</v>
      </c>
      <c r="O228" s="70">
        <v>0</v>
      </c>
      <c r="P228" s="70">
        <v>0</v>
      </c>
      <c r="Q228" s="70">
        <v>0</v>
      </c>
      <c r="R228" s="70">
        <v>0</v>
      </c>
      <c r="S228" s="70">
        <v>0</v>
      </c>
      <c r="T228" s="70">
        <v>0</v>
      </c>
      <c r="U228" s="70">
        <v>0</v>
      </c>
      <c r="V228" s="70">
        <v>0</v>
      </c>
      <c r="W228" s="70">
        <v>0</v>
      </c>
      <c r="X228" s="70">
        <v>0</v>
      </c>
      <c r="Y228" s="70">
        <v>0</v>
      </c>
      <c r="Z228" s="70">
        <v>0</v>
      </c>
      <c r="AA228" s="70">
        <v>0</v>
      </c>
      <c r="AB228" s="70">
        <v>0</v>
      </c>
      <c r="AC228" s="70">
        <v>0</v>
      </c>
      <c r="AD228" s="70">
        <v>0</v>
      </c>
      <c r="AE228" s="70">
        <v>0</v>
      </c>
      <c r="AF228" s="70">
        <v>0</v>
      </c>
      <c r="AG228" s="70">
        <v>0</v>
      </c>
      <c r="AH228" s="70">
        <v>0</v>
      </c>
      <c r="AI228" s="70">
        <v>0</v>
      </c>
      <c r="AJ228" s="70">
        <v>0</v>
      </c>
      <c r="AK228" s="70">
        <v>0</v>
      </c>
      <c r="AL228" s="70">
        <v>0</v>
      </c>
      <c r="AM228" s="70">
        <v>0</v>
      </c>
    </row>
    <row r="229" spans="5:39" ht="15.75" thickBot="1" x14ac:dyDescent="0.3">
      <c r="E229" s="336"/>
      <c r="F229" s="91" t="s">
        <v>952</v>
      </c>
      <c r="G229" s="70">
        <v>0</v>
      </c>
      <c r="H229" s="70">
        <v>0</v>
      </c>
      <c r="I229" s="70">
        <v>0</v>
      </c>
      <c r="J229" s="70">
        <v>0</v>
      </c>
      <c r="K229" s="70">
        <v>0</v>
      </c>
      <c r="L229" s="70">
        <v>0</v>
      </c>
      <c r="M229" s="70">
        <v>0</v>
      </c>
      <c r="N229" s="70">
        <v>0</v>
      </c>
      <c r="O229" s="70">
        <v>0</v>
      </c>
      <c r="P229" s="70">
        <v>0</v>
      </c>
      <c r="Q229" s="70">
        <v>0</v>
      </c>
      <c r="R229" s="70">
        <v>0</v>
      </c>
      <c r="S229" s="70">
        <v>0</v>
      </c>
      <c r="T229" s="70">
        <v>0</v>
      </c>
      <c r="U229" s="70">
        <v>0</v>
      </c>
      <c r="V229" s="70">
        <v>0</v>
      </c>
      <c r="W229" s="70">
        <v>0</v>
      </c>
      <c r="X229" s="70">
        <v>0</v>
      </c>
      <c r="Y229" s="70">
        <v>0</v>
      </c>
      <c r="Z229" s="70">
        <v>0</v>
      </c>
      <c r="AA229" s="70">
        <v>0</v>
      </c>
      <c r="AB229" s="70">
        <v>0</v>
      </c>
      <c r="AC229" s="70">
        <v>0</v>
      </c>
      <c r="AD229" s="70">
        <v>0</v>
      </c>
      <c r="AE229" s="70">
        <v>0</v>
      </c>
      <c r="AF229" s="70">
        <v>0</v>
      </c>
      <c r="AG229" s="70">
        <v>0</v>
      </c>
      <c r="AH229" s="70">
        <v>0</v>
      </c>
      <c r="AI229" s="70">
        <v>0</v>
      </c>
      <c r="AJ229" s="70">
        <v>0</v>
      </c>
      <c r="AK229" s="70">
        <v>0</v>
      </c>
      <c r="AL229" s="70">
        <v>0</v>
      </c>
      <c r="AM229" s="70">
        <v>0</v>
      </c>
    </row>
    <row r="230" spans="5:39" x14ac:dyDescent="0.25">
      <c r="E230" s="334" t="s">
        <v>953</v>
      </c>
      <c r="F230" s="178" t="s">
        <v>954</v>
      </c>
      <c r="G230" s="70">
        <v>0.5</v>
      </c>
      <c r="H230" s="70">
        <v>0.5</v>
      </c>
      <c r="I230" s="70">
        <v>0.5</v>
      </c>
      <c r="J230" s="70">
        <v>0.5</v>
      </c>
      <c r="K230" s="70">
        <v>0.5</v>
      </c>
      <c r="L230" s="70">
        <v>0.5</v>
      </c>
      <c r="M230" s="70">
        <v>0.5</v>
      </c>
      <c r="N230" s="70">
        <v>0.5</v>
      </c>
      <c r="O230" s="70">
        <v>0.5</v>
      </c>
      <c r="P230" s="70">
        <v>0.5</v>
      </c>
      <c r="Q230" s="70">
        <v>0.5</v>
      </c>
      <c r="R230" s="70">
        <v>0.5</v>
      </c>
      <c r="S230" s="70">
        <v>0.5</v>
      </c>
      <c r="T230" s="70">
        <v>0.5</v>
      </c>
      <c r="U230" s="70">
        <v>0.5</v>
      </c>
      <c r="V230" s="70">
        <v>0.5</v>
      </c>
      <c r="W230" s="70">
        <v>0.5</v>
      </c>
      <c r="X230" s="70">
        <v>0.5</v>
      </c>
      <c r="Y230" s="70">
        <v>0.5</v>
      </c>
      <c r="Z230" s="70">
        <v>0.5</v>
      </c>
      <c r="AA230" s="70">
        <v>0.5</v>
      </c>
      <c r="AB230" s="70">
        <v>0.5</v>
      </c>
      <c r="AC230" s="70">
        <v>0.5</v>
      </c>
      <c r="AD230" s="70">
        <v>0.5</v>
      </c>
      <c r="AE230" s="70">
        <v>0.5</v>
      </c>
      <c r="AF230" s="70">
        <v>0.5</v>
      </c>
      <c r="AG230" s="70">
        <v>0.5</v>
      </c>
      <c r="AH230" s="70">
        <v>0.5</v>
      </c>
      <c r="AI230" s="70">
        <v>0.5</v>
      </c>
      <c r="AJ230" s="70">
        <v>0.5</v>
      </c>
      <c r="AK230" s="70">
        <v>0.5</v>
      </c>
      <c r="AL230" s="70">
        <v>0.5</v>
      </c>
      <c r="AM230" s="70">
        <v>0.5</v>
      </c>
    </row>
    <row r="231" spans="5:39" ht="15.75" thickBot="1" x14ac:dyDescent="0.3">
      <c r="E231" s="336"/>
      <c r="F231" s="91" t="s">
        <v>2087</v>
      </c>
      <c r="G231" s="70" t="s">
        <v>955</v>
      </c>
      <c r="H231" s="70" t="s">
        <v>955</v>
      </c>
      <c r="I231" s="70" t="s">
        <v>955</v>
      </c>
      <c r="J231" s="70" t="s">
        <v>955</v>
      </c>
      <c r="K231" s="70" t="s">
        <v>955</v>
      </c>
      <c r="L231" s="70" t="s">
        <v>955</v>
      </c>
      <c r="M231" s="70" t="s">
        <v>955</v>
      </c>
      <c r="N231" s="70" t="s">
        <v>955</v>
      </c>
      <c r="O231" s="70" t="s">
        <v>955</v>
      </c>
      <c r="P231" s="70" t="s">
        <v>955</v>
      </c>
      <c r="Q231" s="70" t="s">
        <v>955</v>
      </c>
      <c r="R231" s="70" t="s">
        <v>955</v>
      </c>
      <c r="S231" s="70" t="s">
        <v>955</v>
      </c>
      <c r="T231" s="70" t="s">
        <v>955</v>
      </c>
      <c r="U231" s="70" t="s">
        <v>955</v>
      </c>
      <c r="V231" s="70" t="s">
        <v>955</v>
      </c>
      <c r="W231" s="70" t="s">
        <v>955</v>
      </c>
      <c r="X231" s="70" t="s">
        <v>955</v>
      </c>
      <c r="Y231" s="70" t="s">
        <v>955</v>
      </c>
      <c r="Z231" s="70" t="s">
        <v>955</v>
      </c>
      <c r="AA231" s="70" t="s">
        <v>955</v>
      </c>
      <c r="AB231" s="70" t="s">
        <v>955</v>
      </c>
      <c r="AC231" s="70" t="s">
        <v>955</v>
      </c>
      <c r="AD231" s="70" t="s">
        <v>955</v>
      </c>
      <c r="AE231" s="70" t="s">
        <v>955</v>
      </c>
      <c r="AF231" s="70" t="s">
        <v>955</v>
      </c>
      <c r="AG231" s="70" t="s">
        <v>955</v>
      </c>
      <c r="AH231" s="70" t="s">
        <v>955</v>
      </c>
      <c r="AI231" s="70" t="s">
        <v>955</v>
      </c>
      <c r="AJ231" s="70" t="s">
        <v>955</v>
      </c>
      <c r="AK231" s="70" t="s">
        <v>955</v>
      </c>
      <c r="AL231" s="70" t="s">
        <v>955</v>
      </c>
      <c r="AM231" s="70" t="s">
        <v>955</v>
      </c>
    </row>
    <row r="232" spans="5:39" x14ac:dyDescent="0.25">
      <c r="E232" s="334" t="s">
        <v>956</v>
      </c>
      <c r="F232" s="178" t="s">
        <v>969</v>
      </c>
      <c r="G232" s="70" t="s">
        <v>104</v>
      </c>
      <c r="H232" s="70" t="s">
        <v>104</v>
      </c>
      <c r="I232" s="70" t="s">
        <v>104</v>
      </c>
      <c r="J232" s="70" t="s">
        <v>104</v>
      </c>
      <c r="K232" s="70" t="s">
        <v>104</v>
      </c>
      <c r="L232" s="70" t="s">
        <v>104</v>
      </c>
      <c r="M232" s="70" t="s">
        <v>104</v>
      </c>
      <c r="N232" s="70" t="s">
        <v>104</v>
      </c>
      <c r="O232" s="70" t="s">
        <v>104</v>
      </c>
      <c r="P232" s="70" t="s">
        <v>104</v>
      </c>
      <c r="Q232" s="70" t="s">
        <v>104</v>
      </c>
      <c r="R232" s="70" t="s">
        <v>104</v>
      </c>
      <c r="S232" s="70" t="s">
        <v>104</v>
      </c>
      <c r="T232" s="70" t="s">
        <v>104</v>
      </c>
      <c r="U232" s="70" t="s">
        <v>104</v>
      </c>
      <c r="V232" s="70" t="s">
        <v>104</v>
      </c>
      <c r="W232" s="70" t="s">
        <v>104</v>
      </c>
      <c r="X232" s="70" t="s">
        <v>104</v>
      </c>
      <c r="Y232" s="70" t="s">
        <v>104</v>
      </c>
      <c r="Z232" s="70" t="s">
        <v>104</v>
      </c>
      <c r="AA232" s="70" t="s">
        <v>104</v>
      </c>
      <c r="AB232" s="70" t="s">
        <v>104</v>
      </c>
      <c r="AC232" s="70" t="s">
        <v>104</v>
      </c>
      <c r="AD232" s="70" t="s">
        <v>104</v>
      </c>
      <c r="AE232" s="70" t="s">
        <v>104</v>
      </c>
      <c r="AF232" s="70" t="s">
        <v>104</v>
      </c>
      <c r="AG232" s="70" t="s">
        <v>104</v>
      </c>
      <c r="AH232" s="70" t="s">
        <v>104</v>
      </c>
      <c r="AI232" s="70" t="s">
        <v>104</v>
      </c>
      <c r="AJ232" s="70" t="s">
        <v>104</v>
      </c>
      <c r="AK232" s="70" t="s">
        <v>104</v>
      </c>
      <c r="AL232" s="70" t="s">
        <v>104</v>
      </c>
      <c r="AM232" s="70" t="s">
        <v>104</v>
      </c>
    </row>
    <row r="233" spans="5:39" ht="15.75" thickBot="1" x14ac:dyDescent="0.3">
      <c r="E233" s="336"/>
      <c r="F233" s="91" t="s">
        <v>970</v>
      </c>
      <c r="G233" s="70" t="b">
        <v>1</v>
      </c>
      <c r="H233" s="70" t="b">
        <v>1</v>
      </c>
      <c r="I233" s="70" t="b">
        <v>1</v>
      </c>
      <c r="J233" s="70" t="b">
        <v>1</v>
      </c>
      <c r="K233" s="70" t="b">
        <v>1</v>
      </c>
      <c r="L233" s="70" t="b">
        <v>1</v>
      </c>
      <c r="M233" s="70" t="b">
        <v>1</v>
      </c>
      <c r="N233" s="70" t="b">
        <v>1</v>
      </c>
      <c r="O233" s="70" t="b">
        <v>1</v>
      </c>
      <c r="P233" s="70" t="b">
        <v>1</v>
      </c>
      <c r="Q233" s="70" t="b">
        <v>1</v>
      </c>
      <c r="R233" s="70" t="b">
        <v>1</v>
      </c>
      <c r="S233" s="70" t="b">
        <v>1</v>
      </c>
      <c r="T233" s="70" t="b">
        <v>1</v>
      </c>
      <c r="U233" s="70" t="b">
        <v>1</v>
      </c>
      <c r="V233" s="70" t="b">
        <v>1</v>
      </c>
      <c r="W233" s="70" t="b">
        <v>1</v>
      </c>
      <c r="X233" s="70" t="b">
        <v>1</v>
      </c>
      <c r="Y233" s="70" t="b">
        <v>1</v>
      </c>
      <c r="Z233" s="70" t="b">
        <v>1</v>
      </c>
      <c r="AA233" s="70" t="b">
        <v>1</v>
      </c>
      <c r="AB233" s="70" t="b">
        <v>1</v>
      </c>
      <c r="AC233" s="70" t="b">
        <v>1</v>
      </c>
      <c r="AD233" s="70" t="b">
        <v>1</v>
      </c>
      <c r="AE233" s="70" t="b">
        <v>1</v>
      </c>
      <c r="AF233" s="70" t="b">
        <v>1</v>
      </c>
      <c r="AG233" s="70" t="b">
        <v>1</v>
      </c>
      <c r="AH233" s="70" t="b">
        <v>1</v>
      </c>
      <c r="AI233" s="70" t="b">
        <v>1</v>
      </c>
      <c r="AJ233" s="70" t="b">
        <v>1</v>
      </c>
      <c r="AK233" s="70" t="b">
        <v>1</v>
      </c>
      <c r="AL233" s="70" t="b">
        <v>1</v>
      </c>
      <c r="AM233" s="70" t="b">
        <v>1</v>
      </c>
    </row>
    <row r="234" spans="5:39" x14ac:dyDescent="0.25">
      <c r="E234" s="334" t="s">
        <v>957</v>
      </c>
      <c r="F234" s="178" t="s">
        <v>969</v>
      </c>
      <c r="G234" s="70" t="s">
        <v>104</v>
      </c>
      <c r="H234" s="70" t="s">
        <v>104</v>
      </c>
      <c r="I234" s="70" t="s">
        <v>104</v>
      </c>
      <c r="J234" s="70" t="s">
        <v>104</v>
      </c>
      <c r="K234" s="70" t="s">
        <v>104</v>
      </c>
      <c r="L234" s="70" t="s">
        <v>104</v>
      </c>
      <c r="M234" s="70" t="s">
        <v>104</v>
      </c>
      <c r="N234" s="70" t="s">
        <v>104</v>
      </c>
      <c r="O234" s="70" t="s">
        <v>104</v>
      </c>
      <c r="P234" s="70" t="s">
        <v>104</v>
      </c>
      <c r="Q234" s="70" t="s">
        <v>104</v>
      </c>
      <c r="R234" s="70" t="s">
        <v>104</v>
      </c>
      <c r="S234" s="70" t="s">
        <v>104</v>
      </c>
      <c r="T234" s="70" t="s">
        <v>104</v>
      </c>
      <c r="U234" s="70" t="s">
        <v>104</v>
      </c>
      <c r="V234" s="70" t="s">
        <v>104</v>
      </c>
      <c r="W234" s="70" t="s">
        <v>104</v>
      </c>
      <c r="X234" s="70" t="s">
        <v>104</v>
      </c>
      <c r="Y234" s="70" t="s">
        <v>104</v>
      </c>
      <c r="Z234" s="70" t="s">
        <v>104</v>
      </c>
      <c r="AA234" s="70" t="s">
        <v>104</v>
      </c>
      <c r="AB234" s="70" t="s">
        <v>104</v>
      </c>
      <c r="AC234" s="70" t="s">
        <v>104</v>
      </c>
      <c r="AD234" s="70" t="s">
        <v>104</v>
      </c>
      <c r="AE234" s="70" t="s">
        <v>104</v>
      </c>
      <c r="AF234" s="70" t="s">
        <v>104</v>
      </c>
      <c r="AG234" s="70" t="s">
        <v>104</v>
      </c>
      <c r="AH234" s="70" t="s">
        <v>104</v>
      </c>
      <c r="AI234" s="70" t="s">
        <v>104</v>
      </c>
      <c r="AJ234" s="70" t="s">
        <v>104</v>
      </c>
      <c r="AK234" s="70" t="s">
        <v>104</v>
      </c>
      <c r="AL234" s="70" t="s">
        <v>104</v>
      </c>
      <c r="AM234" s="70" t="s">
        <v>104</v>
      </c>
    </row>
    <row r="235" spans="5:39" ht="15.75" thickBot="1" x14ac:dyDescent="0.3">
      <c r="E235" s="336"/>
      <c r="F235" s="91" t="s">
        <v>970</v>
      </c>
      <c r="G235" s="70" t="b">
        <v>1</v>
      </c>
      <c r="H235" s="70" t="b">
        <v>1</v>
      </c>
      <c r="I235" s="70" t="b">
        <v>1</v>
      </c>
      <c r="J235" s="70" t="b">
        <v>1</v>
      </c>
      <c r="K235" s="70" t="b">
        <v>1</v>
      </c>
      <c r="L235" s="70" t="b">
        <v>1</v>
      </c>
      <c r="M235" s="70" t="b">
        <v>1</v>
      </c>
      <c r="N235" s="70" t="b">
        <v>1</v>
      </c>
      <c r="O235" s="70" t="b">
        <v>1</v>
      </c>
      <c r="P235" s="70" t="b">
        <v>1</v>
      </c>
      <c r="Q235" s="70" t="b">
        <v>1</v>
      </c>
      <c r="R235" s="70" t="b">
        <v>1</v>
      </c>
      <c r="S235" s="70" t="b">
        <v>1</v>
      </c>
      <c r="T235" s="70" t="b">
        <v>1</v>
      </c>
      <c r="U235" s="70" t="b">
        <v>1</v>
      </c>
      <c r="V235" s="70" t="b">
        <v>1</v>
      </c>
      <c r="W235" s="70" t="b">
        <v>1</v>
      </c>
      <c r="X235" s="70" t="b">
        <v>1</v>
      </c>
      <c r="Y235" s="70" t="b">
        <v>1</v>
      </c>
      <c r="Z235" s="70" t="b">
        <v>1</v>
      </c>
      <c r="AA235" s="70" t="b">
        <v>1</v>
      </c>
      <c r="AB235" s="70" t="b">
        <v>1</v>
      </c>
      <c r="AC235" s="70" t="b">
        <v>1</v>
      </c>
      <c r="AD235" s="70" t="b">
        <v>1</v>
      </c>
      <c r="AE235" s="70" t="b">
        <v>1</v>
      </c>
      <c r="AF235" s="70" t="b">
        <v>1</v>
      </c>
      <c r="AG235" s="70" t="b">
        <v>1</v>
      </c>
      <c r="AH235" s="70" t="b">
        <v>1</v>
      </c>
      <c r="AI235" s="70" t="b">
        <v>1</v>
      </c>
      <c r="AJ235" s="70" t="b">
        <v>1</v>
      </c>
      <c r="AK235" s="70" t="b">
        <v>1</v>
      </c>
      <c r="AL235" s="70" t="b">
        <v>1</v>
      </c>
      <c r="AM235" s="70" t="b">
        <v>1</v>
      </c>
    </row>
    <row r="236" spans="5:39" x14ac:dyDescent="0.25">
      <c r="E236" s="334" t="s">
        <v>958</v>
      </c>
      <c r="F236" s="178" t="s">
        <v>959</v>
      </c>
      <c r="G236" s="70">
        <v>0</v>
      </c>
      <c r="H236" s="70">
        <v>0</v>
      </c>
      <c r="I236" s="70">
        <v>0</v>
      </c>
      <c r="J236" s="70">
        <v>0</v>
      </c>
      <c r="K236" s="70">
        <v>0</v>
      </c>
      <c r="L236" s="70">
        <v>0</v>
      </c>
      <c r="M236" s="70">
        <v>0</v>
      </c>
      <c r="N236" s="70">
        <v>0</v>
      </c>
      <c r="O236" s="70">
        <v>0</v>
      </c>
      <c r="P236" s="70">
        <v>0</v>
      </c>
      <c r="Q236" s="70">
        <v>0</v>
      </c>
      <c r="R236" s="70">
        <v>0</v>
      </c>
      <c r="S236" s="70">
        <v>0</v>
      </c>
      <c r="T236" s="70">
        <v>0</v>
      </c>
      <c r="U236" s="70">
        <v>0</v>
      </c>
      <c r="V236" s="70">
        <v>0</v>
      </c>
      <c r="W236" s="70">
        <v>0</v>
      </c>
      <c r="X236" s="70">
        <v>0</v>
      </c>
      <c r="Y236" s="70">
        <v>0</v>
      </c>
      <c r="Z236" s="70">
        <v>0</v>
      </c>
      <c r="AA236" s="70">
        <v>0</v>
      </c>
      <c r="AB236" s="70">
        <v>0</v>
      </c>
      <c r="AC236" s="70">
        <v>0</v>
      </c>
      <c r="AD236" s="70">
        <v>0</v>
      </c>
      <c r="AE236" s="70">
        <v>0</v>
      </c>
      <c r="AF236" s="70">
        <v>0</v>
      </c>
      <c r="AG236" s="70">
        <v>0</v>
      </c>
      <c r="AH236" s="70">
        <v>0</v>
      </c>
      <c r="AI236" s="70">
        <v>0</v>
      </c>
      <c r="AJ236" s="70">
        <v>0</v>
      </c>
      <c r="AK236" s="70">
        <v>0</v>
      </c>
      <c r="AL236" s="70">
        <v>0</v>
      </c>
      <c r="AM236" s="70">
        <v>0</v>
      </c>
    </row>
    <row r="237" spans="5:39" x14ac:dyDescent="0.25">
      <c r="E237" s="335"/>
      <c r="F237" s="90" t="s">
        <v>960</v>
      </c>
      <c r="G237" s="70">
        <v>0</v>
      </c>
      <c r="H237" s="70">
        <v>0</v>
      </c>
      <c r="I237" s="70">
        <v>0</v>
      </c>
      <c r="J237" s="70">
        <v>0</v>
      </c>
      <c r="K237" s="70">
        <v>0</v>
      </c>
      <c r="L237" s="70">
        <v>0</v>
      </c>
      <c r="M237" s="70">
        <v>0</v>
      </c>
      <c r="N237" s="70">
        <v>0</v>
      </c>
      <c r="O237" s="70">
        <v>0</v>
      </c>
      <c r="P237" s="70">
        <v>0</v>
      </c>
      <c r="Q237" s="70">
        <v>0</v>
      </c>
      <c r="R237" s="70">
        <v>0</v>
      </c>
      <c r="S237" s="70">
        <v>0</v>
      </c>
      <c r="T237" s="70">
        <v>0</v>
      </c>
      <c r="U237" s="70">
        <v>0</v>
      </c>
      <c r="V237" s="70">
        <v>0</v>
      </c>
      <c r="W237" s="70">
        <v>0</v>
      </c>
      <c r="X237" s="70">
        <v>0</v>
      </c>
      <c r="Y237" s="70">
        <v>0</v>
      </c>
      <c r="Z237" s="70">
        <v>0</v>
      </c>
      <c r="AA237" s="70">
        <v>0</v>
      </c>
      <c r="AB237" s="70">
        <v>0</v>
      </c>
      <c r="AC237" s="70">
        <v>0</v>
      </c>
      <c r="AD237" s="70">
        <v>0</v>
      </c>
      <c r="AE237" s="70">
        <v>0</v>
      </c>
      <c r="AF237" s="70">
        <v>0</v>
      </c>
      <c r="AG237" s="70">
        <v>0</v>
      </c>
      <c r="AH237" s="70">
        <v>0</v>
      </c>
      <c r="AI237" s="70">
        <v>0</v>
      </c>
      <c r="AJ237" s="70">
        <v>0</v>
      </c>
      <c r="AK237" s="70">
        <v>0</v>
      </c>
      <c r="AL237" s="70">
        <v>0</v>
      </c>
      <c r="AM237" s="70">
        <v>0</v>
      </c>
    </row>
    <row r="238" spans="5:39" ht="15.75" thickBot="1" x14ac:dyDescent="0.3">
      <c r="E238" s="336"/>
      <c r="F238" s="91" t="s">
        <v>961</v>
      </c>
      <c r="G238" s="70">
        <v>0</v>
      </c>
      <c r="H238" s="70">
        <v>0</v>
      </c>
      <c r="I238" s="70">
        <v>0</v>
      </c>
      <c r="J238" s="70">
        <v>0</v>
      </c>
      <c r="K238" s="70">
        <v>0</v>
      </c>
      <c r="L238" s="70">
        <v>0</v>
      </c>
      <c r="M238" s="70">
        <v>0</v>
      </c>
      <c r="N238" s="70">
        <v>0</v>
      </c>
      <c r="O238" s="70">
        <v>0</v>
      </c>
      <c r="P238" s="70">
        <v>0</v>
      </c>
      <c r="Q238" s="70">
        <v>0</v>
      </c>
      <c r="R238" s="70">
        <v>0</v>
      </c>
      <c r="S238" s="70">
        <v>0</v>
      </c>
      <c r="T238" s="70">
        <v>0</v>
      </c>
      <c r="U238" s="70">
        <v>0</v>
      </c>
      <c r="V238" s="70">
        <v>0</v>
      </c>
      <c r="W238" s="70">
        <v>0</v>
      </c>
      <c r="X238" s="70">
        <v>0</v>
      </c>
      <c r="Y238" s="70">
        <v>0</v>
      </c>
      <c r="Z238" s="70">
        <v>0</v>
      </c>
      <c r="AA238" s="70">
        <v>0</v>
      </c>
      <c r="AB238" s="70">
        <v>0</v>
      </c>
      <c r="AC238" s="70">
        <v>0</v>
      </c>
      <c r="AD238" s="70">
        <v>0</v>
      </c>
      <c r="AE238" s="70">
        <v>0</v>
      </c>
      <c r="AF238" s="70">
        <v>0</v>
      </c>
      <c r="AG238" s="70">
        <v>0</v>
      </c>
      <c r="AH238" s="70">
        <v>0</v>
      </c>
      <c r="AI238" s="70">
        <v>0</v>
      </c>
      <c r="AJ238" s="70">
        <v>0</v>
      </c>
      <c r="AK238" s="70">
        <v>0</v>
      </c>
      <c r="AL238" s="70">
        <v>0</v>
      </c>
      <c r="AM238" s="70">
        <v>0</v>
      </c>
    </row>
    <row r="239" spans="5:39" ht="15.75" thickBot="1" x14ac:dyDescent="0.3">
      <c r="E239" s="179" t="s">
        <v>962</v>
      </c>
      <c r="F239" s="180" t="s">
        <v>963</v>
      </c>
      <c r="G239" s="70" t="s">
        <v>964</v>
      </c>
      <c r="H239" s="70" t="s">
        <v>964</v>
      </c>
      <c r="I239" s="70" t="s">
        <v>964</v>
      </c>
      <c r="J239" s="70" t="s">
        <v>964</v>
      </c>
      <c r="K239" s="70" t="s">
        <v>964</v>
      </c>
      <c r="L239" s="70" t="s">
        <v>964</v>
      </c>
      <c r="M239" s="70" t="s">
        <v>964</v>
      </c>
      <c r="N239" s="70" t="s">
        <v>964</v>
      </c>
      <c r="O239" s="70" t="s">
        <v>964</v>
      </c>
      <c r="P239" s="70" t="s">
        <v>964</v>
      </c>
      <c r="Q239" s="70" t="s">
        <v>964</v>
      </c>
      <c r="R239" s="70" t="s">
        <v>964</v>
      </c>
      <c r="S239" s="70" t="s">
        <v>964</v>
      </c>
      <c r="T239" s="70" t="s">
        <v>964</v>
      </c>
      <c r="U239" s="70" t="s">
        <v>964</v>
      </c>
      <c r="V239" s="70" t="s">
        <v>964</v>
      </c>
      <c r="W239" s="70" t="s">
        <v>964</v>
      </c>
      <c r="X239" s="70" t="s">
        <v>964</v>
      </c>
      <c r="Y239" s="70" t="s">
        <v>964</v>
      </c>
      <c r="Z239" s="70" t="s">
        <v>964</v>
      </c>
      <c r="AA239" s="70" t="s">
        <v>964</v>
      </c>
      <c r="AB239" s="70" t="s">
        <v>964</v>
      </c>
      <c r="AC239" s="70" t="s">
        <v>964</v>
      </c>
      <c r="AD239" s="70" t="s">
        <v>964</v>
      </c>
      <c r="AE239" s="70" t="s">
        <v>964</v>
      </c>
      <c r="AF239" s="70" t="s">
        <v>964</v>
      </c>
      <c r="AG239" s="70" t="s">
        <v>964</v>
      </c>
      <c r="AH239" s="70" t="s">
        <v>964</v>
      </c>
      <c r="AI239" s="70" t="s">
        <v>964</v>
      </c>
      <c r="AJ239" s="70" t="s">
        <v>964</v>
      </c>
      <c r="AK239" s="70" t="s">
        <v>964</v>
      </c>
      <c r="AL239" s="70" t="s">
        <v>964</v>
      </c>
      <c r="AM239" s="70" t="s">
        <v>964</v>
      </c>
    </row>
    <row r="240" spans="5:39" x14ac:dyDescent="0.25">
      <c r="E240" s="335" t="s">
        <v>965</v>
      </c>
      <c r="F240" s="90" t="s">
        <v>966</v>
      </c>
      <c r="G240" s="70">
        <v>115</v>
      </c>
      <c r="H240" s="70">
        <v>115</v>
      </c>
      <c r="I240" s="70">
        <v>115</v>
      </c>
      <c r="J240" s="70">
        <v>115</v>
      </c>
      <c r="K240" s="70">
        <v>115</v>
      </c>
      <c r="L240" s="70">
        <v>115</v>
      </c>
      <c r="M240" s="70">
        <v>115</v>
      </c>
      <c r="N240" s="70">
        <v>115</v>
      </c>
      <c r="O240" s="70">
        <v>115</v>
      </c>
      <c r="P240" s="70">
        <v>115</v>
      </c>
      <c r="Q240" s="70">
        <v>115</v>
      </c>
      <c r="R240" s="70">
        <v>115</v>
      </c>
      <c r="S240" s="70">
        <v>115</v>
      </c>
      <c r="T240" s="70">
        <v>115</v>
      </c>
      <c r="U240" s="70">
        <v>115</v>
      </c>
      <c r="V240" s="70">
        <v>115</v>
      </c>
      <c r="W240" s="70">
        <v>115</v>
      </c>
      <c r="X240" s="70">
        <v>115</v>
      </c>
      <c r="Y240" s="70">
        <v>115</v>
      </c>
      <c r="Z240" s="70">
        <v>115</v>
      </c>
      <c r="AA240" s="70">
        <v>115</v>
      </c>
      <c r="AB240" s="70">
        <v>115</v>
      </c>
      <c r="AC240" s="70">
        <v>115</v>
      </c>
      <c r="AD240" s="70">
        <v>115</v>
      </c>
      <c r="AE240" s="70">
        <v>115</v>
      </c>
      <c r="AF240" s="70">
        <v>115</v>
      </c>
      <c r="AG240" s="70">
        <v>115</v>
      </c>
      <c r="AH240" s="70">
        <v>115</v>
      </c>
      <c r="AI240" s="70">
        <v>115</v>
      </c>
      <c r="AJ240" s="70">
        <v>115</v>
      </c>
      <c r="AK240" s="70">
        <v>115</v>
      </c>
      <c r="AL240" s="70">
        <v>115</v>
      </c>
      <c r="AM240" s="70">
        <v>115</v>
      </c>
    </row>
    <row r="241" spans="5:39" x14ac:dyDescent="0.25">
      <c r="E241" s="335"/>
      <c r="F241" s="90" t="s">
        <v>967</v>
      </c>
      <c r="G241" s="70">
        <v>0</v>
      </c>
      <c r="H241" s="70">
        <v>0</v>
      </c>
      <c r="I241" s="70">
        <v>0</v>
      </c>
      <c r="J241" s="70">
        <v>0</v>
      </c>
      <c r="K241" s="70">
        <v>0</v>
      </c>
      <c r="L241" s="70">
        <v>0</v>
      </c>
      <c r="M241" s="70">
        <v>0</v>
      </c>
      <c r="N241" s="70">
        <v>0</v>
      </c>
      <c r="O241" s="70">
        <v>0</v>
      </c>
      <c r="P241" s="70">
        <v>0</v>
      </c>
      <c r="Q241" s="70">
        <v>0</v>
      </c>
      <c r="R241" s="70">
        <v>0</v>
      </c>
      <c r="S241" s="70">
        <v>0</v>
      </c>
      <c r="T241" s="70">
        <v>0</v>
      </c>
      <c r="U241" s="70">
        <v>0</v>
      </c>
      <c r="V241" s="70">
        <v>0</v>
      </c>
      <c r="W241" s="70">
        <v>0</v>
      </c>
      <c r="X241" s="70">
        <v>0</v>
      </c>
      <c r="Y241" s="70">
        <v>0</v>
      </c>
      <c r="Z241" s="70">
        <v>0</v>
      </c>
      <c r="AA241" s="70">
        <v>0</v>
      </c>
      <c r="AB241" s="70">
        <v>0</v>
      </c>
      <c r="AC241" s="70">
        <v>0</v>
      </c>
      <c r="AD241" s="70">
        <v>0</v>
      </c>
      <c r="AE241" s="70">
        <v>0</v>
      </c>
      <c r="AF241" s="70">
        <v>0</v>
      </c>
      <c r="AG241" s="70">
        <v>0</v>
      </c>
      <c r="AH241" s="70">
        <v>0</v>
      </c>
      <c r="AI241" s="70">
        <v>0</v>
      </c>
      <c r="AJ241" s="70">
        <v>0</v>
      </c>
      <c r="AK241" s="70">
        <v>0</v>
      </c>
      <c r="AL241" s="70">
        <v>0</v>
      </c>
      <c r="AM241" s="70">
        <v>0</v>
      </c>
    </row>
    <row r="242" spans="5:39" ht="15.75" thickBot="1" x14ac:dyDescent="0.3">
      <c r="E242" s="335"/>
      <c r="F242" s="90" t="s">
        <v>968</v>
      </c>
      <c r="G242" s="70" t="s">
        <v>33</v>
      </c>
      <c r="H242" s="70" t="s">
        <v>33</v>
      </c>
      <c r="I242" s="70" t="s">
        <v>33</v>
      </c>
      <c r="J242" s="70" t="s">
        <v>33</v>
      </c>
      <c r="K242" s="70" t="s">
        <v>33</v>
      </c>
      <c r="L242" s="70" t="s">
        <v>33</v>
      </c>
      <c r="M242" s="70" t="s">
        <v>33</v>
      </c>
      <c r="N242" s="70" t="s">
        <v>33</v>
      </c>
      <c r="O242" s="70" t="s">
        <v>33</v>
      </c>
      <c r="P242" s="70" t="s">
        <v>33</v>
      </c>
      <c r="Q242" s="70" t="s">
        <v>33</v>
      </c>
      <c r="R242" s="70" t="s">
        <v>33</v>
      </c>
      <c r="S242" s="70" t="s">
        <v>33</v>
      </c>
      <c r="T242" s="70" t="s">
        <v>33</v>
      </c>
      <c r="U242" s="70" t="s">
        <v>33</v>
      </c>
      <c r="V242" s="70" t="s">
        <v>33</v>
      </c>
      <c r="W242" s="70" t="s">
        <v>33</v>
      </c>
      <c r="X242" s="70" t="s">
        <v>33</v>
      </c>
      <c r="Y242" s="70" t="s">
        <v>33</v>
      </c>
      <c r="Z242" s="70" t="s">
        <v>33</v>
      </c>
      <c r="AA242" s="70" t="s">
        <v>33</v>
      </c>
      <c r="AB242" s="70" t="s">
        <v>33</v>
      </c>
      <c r="AC242" s="70" t="s">
        <v>33</v>
      </c>
      <c r="AD242" s="70" t="s">
        <v>33</v>
      </c>
      <c r="AE242" s="70" t="s">
        <v>33</v>
      </c>
      <c r="AF242" s="70" t="s">
        <v>33</v>
      </c>
      <c r="AG242" s="70" t="s">
        <v>33</v>
      </c>
      <c r="AH242" s="70" t="s">
        <v>33</v>
      </c>
      <c r="AI242" s="70" t="s">
        <v>33</v>
      </c>
      <c r="AJ242" s="70" t="s">
        <v>33</v>
      </c>
      <c r="AK242" s="70" t="s">
        <v>33</v>
      </c>
      <c r="AL242" s="70" t="s">
        <v>33</v>
      </c>
      <c r="AM242" s="70" t="s">
        <v>33</v>
      </c>
    </row>
    <row r="243" spans="5:39" ht="15" customHeight="1" x14ac:dyDescent="0.25">
      <c r="E243" s="334" t="s">
        <v>744</v>
      </c>
      <c r="F243" s="10" t="s">
        <v>23</v>
      </c>
      <c r="G243" s="70">
        <v>21</v>
      </c>
      <c r="H243" s="70">
        <v>21</v>
      </c>
      <c r="I243" s="70">
        <v>21</v>
      </c>
      <c r="J243" s="70">
        <v>21</v>
      </c>
      <c r="K243" s="70">
        <v>21</v>
      </c>
      <c r="L243" s="70">
        <v>21</v>
      </c>
      <c r="M243" s="70">
        <v>21</v>
      </c>
      <c r="N243" s="70">
        <v>21</v>
      </c>
      <c r="O243" s="70">
        <v>14</v>
      </c>
      <c r="P243" s="70">
        <v>14</v>
      </c>
      <c r="Q243" s="70">
        <v>22</v>
      </c>
      <c r="R243" s="70">
        <v>22</v>
      </c>
      <c r="S243" s="70">
        <v>22</v>
      </c>
      <c r="T243" s="70">
        <v>22</v>
      </c>
      <c r="U243" s="70">
        <v>22</v>
      </c>
      <c r="V243" s="70">
        <v>22</v>
      </c>
      <c r="W243" s="70">
        <v>22</v>
      </c>
      <c r="X243" s="70">
        <v>22</v>
      </c>
      <c r="Y243" s="70">
        <v>22</v>
      </c>
      <c r="Z243" s="70">
        <v>22</v>
      </c>
      <c r="AA243" s="70">
        <v>22</v>
      </c>
      <c r="AB243" s="70">
        <v>22</v>
      </c>
      <c r="AC243" s="70">
        <v>22</v>
      </c>
      <c r="AD243" s="70">
        <v>22</v>
      </c>
      <c r="AE243" s="70">
        <v>22</v>
      </c>
      <c r="AF243" s="70">
        <v>22</v>
      </c>
      <c r="AG243" s="70">
        <v>22</v>
      </c>
      <c r="AH243" s="70">
        <v>22</v>
      </c>
      <c r="AI243" s="70">
        <v>22</v>
      </c>
      <c r="AJ243" s="70">
        <v>22</v>
      </c>
      <c r="AK243" s="70">
        <v>22</v>
      </c>
      <c r="AL243" s="70">
        <v>22</v>
      </c>
      <c r="AM243" s="70">
        <v>22</v>
      </c>
    </row>
    <row r="244" spans="5:39" x14ac:dyDescent="0.25">
      <c r="E244" s="335"/>
      <c r="F244" s="86" t="s">
        <v>733</v>
      </c>
      <c r="G244" s="70">
        <v>8</v>
      </c>
      <c r="H244" s="70">
        <v>8</v>
      </c>
      <c r="I244" s="70">
        <v>8</v>
      </c>
      <c r="J244" s="70">
        <v>9</v>
      </c>
      <c r="K244" s="70">
        <v>8</v>
      </c>
      <c r="L244" s="70">
        <v>8</v>
      </c>
      <c r="M244" s="70">
        <v>8</v>
      </c>
      <c r="N244" s="70">
        <v>8</v>
      </c>
      <c r="O244" s="70">
        <v>9</v>
      </c>
      <c r="P244" s="70">
        <v>9</v>
      </c>
      <c r="Q244" s="70">
        <v>9</v>
      </c>
      <c r="R244" s="70">
        <v>9</v>
      </c>
      <c r="S244" s="70">
        <v>9</v>
      </c>
      <c r="T244" s="70">
        <v>9</v>
      </c>
      <c r="U244" s="70">
        <v>9</v>
      </c>
      <c r="V244" s="70">
        <v>9</v>
      </c>
      <c r="W244" s="70">
        <v>9</v>
      </c>
      <c r="X244" s="70">
        <v>9</v>
      </c>
      <c r="Y244" s="70">
        <v>9</v>
      </c>
      <c r="Z244" s="70">
        <v>9</v>
      </c>
      <c r="AA244" s="70">
        <v>9</v>
      </c>
      <c r="AB244" s="70">
        <v>9</v>
      </c>
      <c r="AC244" s="70">
        <v>9</v>
      </c>
      <c r="AD244" s="70">
        <v>9</v>
      </c>
      <c r="AE244" s="70">
        <v>9</v>
      </c>
      <c r="AF244" s="70">
        <v>9</v>
      </c>
      <c r="AG244" s="70">
        <v>9</v>
      </c>
      <c r="AH244" s="70">
        <v>9</v>
      </c>
      <c r="AI244" s="70">
        <v>9</v>
      </c>
      <c r="AJ244" s="70">
        <v>9</v>
      </c>
      <c r="AK244" s="70">
        <v>9</v>
      </c>
      <c r="AL244" s="70">
        <v>9</v>
      </c>
      <c r="AM244" s="70">
        <v>9</v>
      </c>
    </row>
    <row r="245" spans="5:39" x14ac:dyDescent="0.25">
      <c r="E245" s="335"/>
      <c r="F245" s="86" t="s">
        <v>734</v>
      </c>
      <c r="G245" s="70">
        <v>4</v>
      </c>
      <c r="H245" s="70">
        <v>2</v>
      </c>
      <c r="I245" s="70">
        <v>2</v>
      </c>
      <c r="J245" s="70">
        <v>2</v>
      </c>
      <c r="K245" s="70">
        <v>4</v>
      </c>
      <c r="L245" s="70">
        <v>4</v>
      </c>
      <c r="M245" s="70">
        <v>4</v>
      </c>
      <c r="N245" s="70">
        <v>4</v>
      </c>
      <c r="O245" s="70">
        <v>0</v>
      </c>
      <c r="P245" s="70">
        <v>0</v>
      </c>
      <c r="Q245" s="70">
        <v>0</v>
      </c>
      <c r="R245" s="70">
        <v>2</v>
      </c>
      <c r="S245" s="70">
        <v>2</v>
      </c>
      <c r="T245" s="70">
        <v>2</v>
      </c>
      <c r="U245" s="70">
        <v>2</v>
      </c>
      <c r="V245" s="70">
        <v>2</v>
      </c>
      <c r="W245" s="70">
        <v>2</v>
      </c>
      <c r="X245" s="70">
        <v>2</v>
      </c>
      <c r="Y245" s="70">
        <v>2</v>
      </c>
      <c r="Z245" s="70">
        <v>2</v>
      </c>
      <c r="AA245" s="70">
        <v>2</v>
      </c>
      <c r="AB245" s="70">
        <v>2</v>
      </c>
      <c r="AC245" s="70">
        <v>2</v>
      </c>
      <c r="AD245" s="70">
        <v>2</v>
      </c>
      <c r="AE245" s="70">
        <v>2</v>
      </c>
      <c r="AF245" s="70">
        <v>2</v>
      </c>
      <c r="AG245" s="70">
        <v>2</v>
      </c>
      <c r="AH245" s="70">
        <v>2</v>
      </c>
      <c r="AI245" s="70">
        <v>2</v>
      </c>
      <c r="AJ245" s="70">
        <v>2</v>
      </c>
      <c r="AK245" s="70">
        <v>2</v>
      </c>
      <c r="AL245" s="70">
        <v>2</v>
      </c>
      <c r="AM245" s="70">
        <v>2</v>
      </c>
    </row>
    <row r="246" spans="5:39" x14ac:dyDescent="0.25">
      <c r="E246" s="335"/>
      <c r="F246" s="86" t="s">
        <v>735</v>
      </c>
      <c r="G246" s="70">
        <v>6</v>
      </c>
      <c r="H246" s="70">
        <v>6</v>
      </c>
      <c r="I246" s="70">
        <v>6</v>
      </c>
      <c r="J246" s="70">
        <v>4</v>
      </c>
      <c r="K246" s="70">
        <v>6</v>
      </c>
      <c r="L246" s="70">
        <v>6</v>
      </c>
      <c r="M246" s="70">
        <v>6</v>
      </c>
      <c r="N246" s="70">
        <v>6</v>
      </c>
      <c r="O246" s="70">
        <v>6</v>
      </c>
      <c r="P246" s="70">
        <v>6</v>
      </c>
      <c r="Q246" s="70">
        <v>4</v>
      </c>
      <c r="R246" s="70">
        <v>6</v>
      </c>
      <c r="S246" s="70">
        <v>6</v>
      </c>
      <c r="T246" s="70">
        <v>6</v>
      </c>
      <c r="U246" s="70">
        <v>6</v>
      </c>
      <c r="V246" s="70">
        <v>6</v>
      </c>
      <c r="W246" s="70">
        <v>6</v>
      </c>
      <c r="X246" s="70">
        <v>6</v>
      </c>
      <c r="Y246" s="70">
        <v>6</v>
      </c>
      <c r="Z246" s="70">
        <v>6</v>
      </c>
      <c r="AA246" s="70">
        <v>6</v>
      </c>
      <c r="AB246" s="70">
        <v>6</v>
      </c>
      <c r="AC246" s="70">
        <v>6</v>
      </c>
      <c r="AD246" s="70">
        <v>6</v>
      </c>
      <c r="AE246" s="70">
        <v>6</v>
      </c>
      <c r="AF246" s="70">
        <v>6</v>
      </c>
      <c r="AG246" s="70">
        <v>6</v>
      </c>
      <c r="AH246" s="70">
        <v>6</v>
      </c>
      <c r="AI246" s="70">
        <v>6</v>
      </c>
      <c r="AJ246" s="70">
        <v>6</v>
      </c>
      <c r="AK246" s="70">
        <v>6</v>
      </c>
      <c r="AL246" s="70">
        <v>6</v>
      </c>
      <c r="AM246" s="70">
        <v>6</v>
      </c>
    </row>
    <row r="247" spans="5:39" x14ac:dyDescent="0.25">
      <c r="E247" s="335"/>
      <c r="F247" s="86" t="s">
        <v>736</v>
      </c>
      <c r="G247" s="70" t="s">
        <v>2</v>
      </c>
      <c r="H247" s="70" t="s">
        <v>2</v>
      </c>
      <c r="I247" s="70" t="s">
        <v>2</v>
      </c>
      <c r="J247" s="70" t="s">
        <v>2</v>
      </c>
      <c r="K247" s="70" t="s">
        <v>2</v>
      </c>
      <c r="L247" s="70" t="s">
        <v>2</v>
      </c>
      <c r="M247" s="70" t="s">
        <v>2</v>
      </c>
      <c r="N247" s="70" t="s">
        <v>2</v>
      </c>
      <c r="O247" s="70" t="s">
        <v>21</v>
      </c>
      <c r="P247" s="70" t="s">
        <v>21</v>
      </c>
      <c r="Q247" s="70" t="s">
        <v>21</v>
      </c>
      <c r="R247" s="70" t="s">
        <v>21</v>
      </c>
      <c r="S247" s="70" t="s">
        <v>21</v>
      </c>
      <c r="T247" s="70" t="s">
        <v>21</v>
      </c>
      <c r="U247" s="70" t="s">
        <v>21</v>
      </c>
      <c r="V247" s="70" t="s">
        <v>21</v>
      </c>
      <c r="W247" s="70" t="s">
        <v>21</v>
      </c>
      <c r="X247" s="70" t="s">
        <v>21</v>
      </c>
      <c r="Y247" s="70" t="s">
        <v>21</v>
      </c>
      <c r="Z247" s="70" t="s">
        <v>21</v>
      </c>
      <c r="AA247" s="70" t="s">
        <v>21</v>
      </c>
      <c r="AB247" s="70" t="s">
        <v>21</v>
      </c>
      <c r="AC247" s="70" t="s">
        <v>21</v>
      </c>
      <c r="AD247" s="70" t="s">
        <v>21</v>
      </c>
      <c r="AE247" s="70" t="s">
        <v>21</v>
      </c>
      <c r="AF247" s="70" t="s">
        <v>21</v>
      </c>
      <c r="AG247" s="70" t="s">
        <v>21</v>
      </c>
      <c r="AH247" s="70" t="s">
        <v>21</v>
      </c>
      <c r="AI247" s="70" t="s">
        <v>21</v>
      </c>
      <c r="AJ247" s="70" t="s">
        <v>21</v>
      </c>
      <c r="AK247" s="70" t="s">
        <v>21</v>
      </c>
      <c r="AL247" s="70" t="s">
        <v>21</v>
      </c>
      <c r="AM247" s="70" t="s">
        <v>21</v>
      </c>
    </row>
    <row r="248" spans="5:39" x14ac:dyDescent="0.25">
      <c r="E248" s="335"/>
      <c r="F248" s="86" t="s">
        <v>738</v>
      </c>
      <c r="G248" s="70" t="s">
        <v>24</v>
      </c>
      <c r="H248" s="70" t="s">
        <v>24</v>
      </c>
      <c r="I248" s="70" t="s">
        <v>24</v>
      </c>
      <c r="J248" s="70" t="s">
        <v>24</v>
      </c>
      <c r="K248" s="70" t="s">
        <v>24</v>
      </c>
      <c r="L248" s="70" t="s">
        <v>24</v>
      </c>
      <c r="M248" s="70" t="s">
        <v>24</v>
      </c>
      <c r="N248" s="70" t="s">
        <v>24</v>
      </c>
      <c r="O248" s="70" t="s">
        <v>24</v>
      </c>
      <c r="P248" s="70" t="s">
        <v>24</v>
      </c>
      <c r="Q248" s="70" t="s">
        <v>24</v>
      </c>
      <c r="R248" s="70" t="s">
        <v>24</v>
      </c>
      <c r="S248" s="70" t="s">
        <v>24</v>
      </c>
      <c r="T248" s="70" t="s">
        <v>24</v>
      </c>
      <c r="U248" s="70" t="s">
        <v>24</v>
      </c>
      <c r="V248" s="70" t="s">
        <v>24</v>
      </c>
      <c r="W248" s="70" t="s">
        <v>24</v>
      </c>
      <c r="X248" s="70" t="s">
        <v>24</v>
      </c>
      <c r="Y248" s="70" t="s">
        <v>24</v>
      </c>
      <c r="Z248" s="70" t="s">
        <v>24</v>
      </c>
      <c r="AA248" s="70" t="s">
        <v>24</v>
      </c>
      <c r="AB248" s="70" t="s">
        <v>24</v>
      </c>
      <c r="AC248" s="70" t="s">
        <v>24</v>
      </c>
      <c r="AD248" s="70" t="s">
        <v>24</v>
      </c>
      <c r="AE248" s="70" t="s">
        <v>24</v>
      </c>
      <c r="AF248" s="70" t="s">
        <v>24</v>
      </c>
      <c r="AG248" s="70" t="s">
        <v>24</v>
      </c>
      <c r="AH248" s="70" t="s">
        <v>24</v>
      </c>
      <c r="AI248" s="70" t="s">
        <v>24</v>
      </c>
      <c r="AJ248" s="70" t="s">
        <v>24</v>
      </c>
      <c r="AK248" s="70" t="s">
        <v>24</v>
      </c>
      <c r="AL248" s="70" t="s">
        <v>24</v>
      </c>
      <c r="AM248" s="70" t="s">
        <v>24</v>
      </c>
    </row>
    <row r="249" spans="5:39" x14ac:dyDescent="0.25">
      <c r="E249" s="335"/>
      <c r="F249" s="86" t="s">
        <v>737</v>
      </c>
      <c r="G249" s="70" t="s">
        <v>2</v>
      </c>
      <c r="H249" s="70" t="s">
        <v>2</v>
      </c>
      <c r="I249" s="70" t="s">
        <v>2</v>
      </c>
      <c r="J249" s="70" t="s">
        <v>2</v>
      </c>
      <c r="K249" s="70" t="s">
        <v>2</v>
      </c>
      <c r="L249" s="70" t="s">
        <v>2</v>
      </c>
      <c r="M249" s="70" t="s">
        <v>2</v>
      </c>
      <c r="N249" s="70" t="s">
        <v>2</v>
      </c>
      <c r="O249" s="70" t="s">
        <v>19</v>
      </c>
      <c r="P249" s="70" t="s">
        <v>19</v>
      </c>
      <c r="Q249" s="70" t="s">
        <v>19</v>
      </c>
      <c r="R249" s="70" t="s">
        <v>19</v>
      </c>
      <c r="S249" s="70" t="s">
        <v>19</v>
      </c>
      <c r="T249" s="70" t="s">
        <v>19</v>
      </c>
      <c r="U249" s="70" t="s">
        <v>19</v>
      </c>
      <c r="V249" s="70" t="s">
        <v>19</v>
      </c>
      <c r="W249" s="70" t="s">
        <v>19</v>
      </c>
      <c r="X249" s="70" t="s">
        <v>19</v>
      </c>
      <c r="Y249" s="70" t="s">
        <v>19</v>
      </c>
      <c r="Z249" s="70" t="s">
        <v>19</v>
      </c>
      <c r="AA249" s="70" t="s">
        <v>19</v>
      </c>
      <c r="AB249" s="70" t="s">
        <v>19</v>
      </c>
      <c r="AC249" s="70" t="s">
        <v>19</v>
      </c>
      <c r="AD249" s="70" t="s">
        <v>19</v>
      </c>
      <c r="AE249" s="70" t="s">
        <v>19</v>
      </c>
      <c r="AF249" s="70" t="s">
        <v>19</v>
      </c>
      <c r="AG249" s="70" t="s">
        <v>19</v>
      </c>
      <c r="AH249" s="70" t="s">
        <v>19</v>
      </c>
      <c r="AI249" s="70" t="s">
        <v>19</v>
      </c>
      <c r="AJ249" s="70" t="s">
        <v>19</v>
      </c>
      <c r="AK249" s="70" t="s">
        <v>19</v>
      </c>
      <c r="AL249" s="70" t="s">
        <v>19</v>
      </c>
      <c r="AM249" s="70" t="s">
        <v>19</v>
      </c>
    </row>
    <row r="250" spans="5:39" x14ac:dyDescent="0.25">
      <c r="E250" s="335"/>
      <c r="F250" s="86" t="s">
        <v>739</v>
      </c>
      <c r="G250" s="70" t="s">
        <v>24</v>
      </c>
      <c r="H250" s="70" t="s">
        <v>24</v>
      </c>
      <c r="I250" s="70" t="s">
        <v>24</v>
      </c>
      <c r="J250" s="70" t="s">
        <v>24</v>
      </c>
      <c r="K250" s="70" t="s">
        <v>24</v>
      </c>
      <c r="L250" s="70" t="s">
        <v>24</v>
      </c>
      <c r="M250" s="70" t="s">
        <v>24</v>
      </c>
      <c r="N250" s="70" t="s">
        <v>24</v>
      </c>
      <c r="O250" s="70" t="s">
        <v>24</v>
      </c>
      <c r="P250" s="70" t="s">
        <v>24</v>
      </c>
      <c r="Q250" s="70" t="s">
        <v>24</v>
      </c>
      <c r="R250" s="70" t="s">
        <v>24</v>
      </c>
      <c r="S250" s="70" t="s">
        <v>24</v>
      </c>
      <c r="T250" s="70" t="s">
        <v>24</v>
      </c>
      <c r="U250" s="70" t="s">
        <v>24</v>
      </c>
      <c r="V250" s="70" t="s">
        <v>24</v>
      </c>
      <c r="W250" s="70" t="s">
        <v>24</v>
      </c>
      <c r="X250" s="70" t="s">
        <v>24</v>
      </c>
      <c r="Y250" s="70" t="s">
        <v>24</v>
      </c>
      <c r="Z250" s="70" t="s">
        <v>24</v>
      </c>
      <c r="AA250" s="70" t="s">
        <v>24</v>
      </c>
      <c r="AB250" s="70" t="s">
        <v>24</v>
      </c>
      <c r="AC250" s="70" t="s">
        <v>24</v>
      </c>
      <c r="AD250" s="70" t="s">
        <v>24</v>
      </c>
      <c r="AE250" s="70" t="s">
        <v>24</v>
      </c>
      <c r="AF250" s="70" t="s">
        <v>24</v>
      </c>
      <c r="AG250" s="70" t="s">
        <v>24</v>
      </c>
      <c r="AH250" s="70" t="s">
        <v>24</v>
      </c>
      <c r="AI250" s="70" t="s">
        <v>24</v>
      </c>
      <c r="AJ250" s="70" t="s">
        <v>24</v>
      </c>
      <c r="AK250" s="70" t="s">
        <v>24</v>
      </c>
      <c r="AL250" s="70" t="s">
        <v>24</v>
      </c>
      <c r="AM250" s="70" t="s">
        <v>24</v>
      </c>
    </row>
    <row r="251" spans="5:39" x14ac:dyDescent="0.25">
      <c r="E251" s="335"/>
      <c r="F251" s="86" t="s">
        <v>741</v>
      </c>
      <c r="G251" s="70" t="s">
        <v>2</v>
      </c>
      <c r="H251" s="70" t="s">
        <v>2</v>
      </c>
      <c r="I251" s="70" t="s">
        <v>2</v>
      </c>
      <c r="J251" s="70" t="s">
        <v>3</v>
      </c>
      <c r="K251" s="70" t="s">
        <v>2</v>
      </c>
      <c r="L251" s="70" t="s">
        <v>2</v>
      </c>
      <c r="M251" s="70" t="s">
        <v>2</v>
      </c>
      <c r="N251" s="70" t="s">
        <v>2</v>
      </c>
      <c r="O251" s="70" t="s">
        <v>19</v>
      </c>
      <c r="P251" s="70" t="s">
        <v>19</v>
      </c>
      <c r="Q251" s="70" t="s">
        <v>19</v>
      </c>
      <c r="R251" s="70" t="s">
        <v>19</v>
      </c>
      <c r="S251" s="70" t="s">
        <v>19</v>
      </c>
      <c r="T251" s="70" t="s">
        <v>19</v>
      </c>
      <c r="U251" s="70" t="s">
        <v>19</v>
      </c>
      <c r="V251" s="70" t="s">
        <v>19</v>
      </c>
      <c r="W251" s="70" t="s">
        <v>19</v>
      </c>
      <c r="X251" s="70" t="s">
        <v>19</v>
      </c>
      <c r="Y251" s="70" t="s">
        <v>19</v>
      </c>
      <c r="Z251" s="70" t="s">
        <v>19</v>
      </c>
      <c r="AA251" s="70" t="s">
        <v>19</v>
      </c>
      <c r="AB251" s="70" t="s">
        <v>19</v>
      </c>
      <c r="AC251" s="70" t="s">
        <v>19</v>
      </c>
      <c r="AD251" s="70" t="s">
        <v>19</v>
      </c>
      <c r="AE251" s="70" t="s">
        <v>19</v>
      </c>
      <c r="AF251" s="70" t="s">
        <v>19</v>
      </c>
      <c r="AG251" s="70" t="s">
        <v>19</v>
      </c>
      <c r="AH251" s="70" t="s">
        <v>19</v>
      </c>
      <c r="AI251" s="70" t="s">
        <v>19</v>
      </c>
      <c r="AJ251" s="70" t="s">
        <v>19</v>
      </c>
      <c r="AK251" s="70" t="s">
        <v>19</v>
      </c>
      <c r="AL251" s="70" t="s">
        <v>19</v>
      </c>
      <c r="AM251" s="70" t="s">
        <v>19</v>
      </c>
    </row>
    <row r="252" spans="5:39" x14ac:dyDescent="0.25">
      <c r="E252" s="335"/>
      <c r="F252" s="86" t="s">
        <v>740</v>
      </c>
      <c r="G252" s="70">
        <v>7</v>
      </c>
      <c r="H252" s="70">
        <v>7</v>
      </c>
      <c r="I252" s="70">
        <v>7</v>
      </c>
      <c r="J252" s="70">
        <v>6</v>
      </c>
      <c r="K252" s="70">
        <v>7</v>
      </c>
      <c r="L252" s="70">
        <v>7</v>
      </c>
      <c r="M252" s="70">
        <v>7</v>
      </c>
      <c r="N252" s="70">
        <v>7</v>
      </c>
      <c r="O252" s="70">
        <v>4</v>
      </c>
      <c r="P252" s="70">
        <v>4</v>
      </c>
      <c r="Q252" s="70">
        <v>4</v>
      </c>
      <c r="R252" s="70">
        <v>3</v>
      </c>
      <c r="S252" s="70">
        <v>3</v>
      </c>
      <c r="T252" s="70">
        <v>3</v>
      </c>
      <c r="U252" s="70">
        <v>3</v>
      </c>
      <c r="V252" s="70">
        <v>3</v>
      </c>
      <c r="W252" s="70">
        <v>3</v>
      </c>
      <c r="X252" s="70">
        <v>3</v>
      </c>
      <c r="Y252" s="70">
        <v>3</v>
      </c>
      <c r="Z252" s="70">
        <v>3</v>
      </c>
      <c r="AA252" s="70">
        <v>3</v>
      </c>
      <c r="AB252" s="70">
        <v>3</v>
      </c>
      <c r="AC252" s="70">
        <v>3</v>
      </c>
      <c r="AD252" s="70">
        <v>3</v>
      </c>
      <c r="AE252" s="70">
        <v>3</v>
      </c>
      <c r="AF252" s="70">
        <v>3</v>
      </c>
      <c r="AG252" s="70">
        <v>3</v>
      </c>
      <c r="AH252" s="70">
        <v>3</v>
      </c>
      <c r="AI252" s="70">
        <v>3</v>
      </c>
      <c r="AJ252" s="70">
        <v>3</v>
      </c>
      <c r="AK252" s="70">
        <v>3</v>
      </c>
      <c r="AL252" s="70">
        <v>3</v>
      </c>
      <c r="AM252" s="70">
        <v>3</v>
      </c>
    </row>
    <row r="253" spans="5:39" x14ac:dyDescent="0.25">
      <c r="E253" s="335"/>
      <c r="F253" s="86" t="s">
        <v>742</v>
      </c>
      <c r="G253" s="70">
        <v>3</v>
      </c>
      <c r="H253" s="70">
        <v>3</v>
      </c>
      <c r="I253" s="70">
        <v>3</v>
      </c>
      <c r="J253" s="70">
        <v>2</v>
      </c>
      <c r="K253" s="70">
        <v>3</v>
      </c>
      <c r="L253" s="70">
        <v>3</v>
      </c>
      <c r="M253" s="70">
        <v>3</v>
      </c>
      <c r="N253" s="70">
        <v>3</v>
      </c>
      <c r="O253" s="70">
        <v>3</v>
      </c>
      <c r="P253" s="70">
        <v>3</v>
      </c>
      <c r="Q253" s="70">
        <v>3</v>
      </c>
      <c r="R253" s="70">
        <v>3</v>
      </c>
      <c r="S253" s="70">
        <v>3</v>
      </c>
      <c r="T253" s="70">
        <v>3</v>
      </c>
      <c r="U253" s="70">
        <v>3</v>
      </c>
      <c r="V253" s="70">
        <v>3</v>
      </c>
      <c r="W253" s="70">
        <v>3</v>
      </c>
      <c r="X253" s="70">
        <v>3</v>
      </c>
      <c r="Y253" s="70">
        <v>3</v>
      </c>
      <c r="Z253" s="70">
        <v>3</v>
      </c>
      <c r="AA253" s="70">
        <v>3</v>
      </c>
      <c r="AB253" s="70">
        <v>3</v>
      </c>
      <c r="AC253" s="70">
        <v>3</v>
      </c>
      <c r="AD253" s="70">
        <v>3</v>
      </c>
      <c r="AE253" s="70">
        <v>3</v>
      </c>
      <c r="AF253" s="70">
        <v>3</v>
      </c>
      <c r="AG253" s="70">
        <v>3</v>
      </c>
      <c r="AH253" s="70">
        <v>3</v>
      </c>
      <c r="AI253" s="70">
        <v>3</v>
      </c>
      <c r="AJ253" s="70">
        <v>3</v>
      </c>
      <c r="AK253" s="70">
        <v>3</v>
      </c>
      <c r="AL253" s="70">
        <v>3</v>
      </c>
      <c r="AM253" s="70">
        <v>3</v>
      </c>
    </row>
    <row r="254" spans="5:39" ht="15.75" thickBot="1" x14ac:dyDescent="0.3">
      <c r="E254" s="336"/>
      <c r="F254" s="105" t="s">
        <v>971</v>
      </c>
      <c r="G254" s="70">
        <v>3</v>
      </c>
      <c r="H254" s="70">
        <v>3</v>
      </c>
      <c r="I254" s="70">
        <v>3</v>
      </c>
      <c r="J254" s="70">
        <v>3</v>
      </c>
      <c r="K254" s="70">
        <v>3</v>
      </c>
      <c r="L254" s="70">
        <v>3</v>
      </c>
      <c r="M254" s="70">
        <v>3</v>
      </c>
      <c r="N254" s="70">
        <v>3</v>
      </c>
      <c r="O254" s="70">
        <v>2</v>
      </c>
      <c r="P254" s="70">
        <v>2</v>
      </c>
      <c r="Q254" s="70">
        <v>2</v>
      </c>
      <c r="R254" s="70">
        <v>2</v>
      </c>
      <c r="S254" s="70">
        <v>2</v>
      </c>
      <c r="T254" s="70">
        <v>2</v>
      </c>
      <c r="U254" s="70">
        <v>2</v>
      </c>
      <c r="V254" s="70">
        <v>2</v>
      </c>
      <c r="W254" s="70">
        <v>2</v>
      </c>
      <c r="X254" s="70">
        <v>2</v>
      </c>
      <c r="Y254" s="70">
        <v>2</v>
      </c>
      <c r="Z254" s="70">
        <v>2</v>
      </c>
      <c r="AA254" s="70">
        <v>2</v>
      </c>
      <c r="AB254" s="70">
        <v>2</v>
      </c>
      <c r="AC254" s="70">
        <v>2</v>
      </c>
      <c r="AD254" s="70">
        <v>2</v>
      </c>
      <c r="AE254" s="70">
        <v>2</v>
      </c>
      <c r="AF254" s="70">
        <v>2</v>
      </c>
      <c r="AG254" s="70">
        <v>2</v>
      </c>
      <c r="AH254" s="70">
        <v>2</v>
      </c>
      <c r="AI254" s="70">
        <v>2</v>
      </c>
      <c r="AJ254" s="70">
        <v>2</v>
      </c>
      <c r="AK254" s="70">
        <v>2</v>
      </c>
      <c r="AL254" s="70">
        <v>2</v>
      </c>
      <c r="AM254" s="70">
        <v>2</v>
      </c>
    </row>
    <row r="255" spans="5:39" ht="15" customHeight="1" x14ac:dyDescent="0.25">
      <c r="E255" s="334" t="s">
        <v>743</v>
      </c>
      <c r="F255" s="108" t="s">
        <v>860</v>
      </c>
      <c r="G255" s="149">
        <v>357.18141336802489</v>
      </c>
      <c r="H255" s="149">
        <v>357.18141336802489</v>
      </c>
      <c r="I255" s="149">
        <v>357.18141336802489</v>
      </c>
      <c r="J255" s="149">
        <v>363.36138734806764</v>
      </c>
      <c r="K255" s="149">
        <v>357.18141336802489</v>
      </c>
      <c r="L255" s="149">
        <v>357.18141336802489</v>
      </c>
      <c r="M255" s="149">
        <v>357.18141336802489</v>
      </c>
      <c r="N255" s="149">
        <v>357.18141336802489</v>
      </c>
      <c r="O255" s="149">
        <v>203.39404060544092</v>
      </c>
      <c r="P255" s="149">
        <v>184.37276469618061</v>
      </c>
      <c r="Q255" s="149">
        <v>270.14984333082572</v>
      </c>
      <c r="R255" s="149">
        <v>282.5774711333334</v>
      </c>
      <c r="S255" s="149">
        <v>282.76168500000006</v>
      </c>
      <c r="T255" s="149">
        <v>282.67396411111122</v>
      </c>
      <c r="U255" s="149">
        <v>282.74466655574196</v>
      </c>
      <c r="V255" s="149">
        <v>282.84115953351977</v>
      </c>
      <c r="W255" s="149">
        <v>266.77489871851861</v>
      </c>
      <c r="X255" s="149">
        <v>267.00004900000005</v>
      </c>
      <c r="Y255" s="149">
        <v>254.88141275475553</v>
      </c>
      <c r="Z255" s="149">
        <v>285.25859027536239</v>
      </c>
      <c r="AA255" s="149">
        <v>279.92711938647352</v>
      </c>
      <c r="AB255" s="149">
        <v>277.93204242432068</v>
      </c>
      <c r="AC255" s="149">
        <v>295.25237050736894</v>
      </c>
      <c r="AD255" s="149">
        <v>294.94153560340385</v>
      </c>
      <c r="AE255" s="149">
        <v>295.43658437403559</v>
      </c>
      <c r="AF255" s="149">
        <v>295.34886348514675</v>
      </c>
      <c r="AG255" s="149">
        <v>294.75732173673714</v>
      </c>
      <c r="AH255" s="149">
        <v>270.40542930195153</v>
      </c>
      <c r="AI255" s="149">
        <v>286.48781624750012</v>
      </c>
      <c r="AJ255" s="149">
        <v>251.03373092592602</v>
      </c>
      <c r="AK255" s="149">
        <v>275.21342716603323</v>
      </c>
      <c r="AL255" s="149">
        <v>270.39356860603846</v>
      </c>
      <c r="AM255" s="149">
        <v>274.87281305317481</v>
      </c>
    </row>
    <row r="256" spans="5:39" x14ac:dyDescent="0.25">
      <c r="E256" s="335"/>
      <c r="F256" s="2" t="s">
        <v>861</v>
      </c>
      <c r="G256" s="150">
        <v>334.16128381974329</v>
      </c>
      <c r="H256" s="150">
        <v>334.16128381974329</v>
      </c>
      <c r="I256" s="150">
        <v>334.16128381974329</v>
      </c>
      <c r="J256" s="150">
        <v>375.30206117619264</v>
      </c>
      <c r="K256" s="150">
        <v>334.16128381974329</v>
      </c>
      <c r="L256" s="150">
        <v>334.16128381974329</v>
      </c>
      <c r="M256" s="150">
        <v>334.16128381974329</v>
      </c>
      <c r="N256" s="150">
        <v>334.16128381974329</v>
      </c>
      <c r="O256" s="150">
        <v>225.04210329951874</v>
      </c>
      <c r="P256" s="150">
        <v>204.32463357976201</v>
      </c>
      <c r="Q256" s="150">
        <v>288.14586714875668</v>
      </c>
      <c r="R256" s="150">
        <v>317.73882377922087</v>
      </c>
      <c r="S256" s="150">
        <v>317.94828668831178</v>
      </c>
      <c r="T256" s="150">
        <v>317.84854244588752</v>
      </c>
      <c r="U256" s="150">
        <v>317.92523048140822</v>
      </c>
      <c r="V256" s="150">
        <v>318.03494914807487</v>
      </c>
      <c r="W256" s="150">
        <v>300.11399763492074</v>
      </c>
      <c r="X256" s="150">
        <v>300.37000785714292</v>
      </c>
      <c r="Y256" s="150">
        <v>279.10378427872683</v>
      </c>
      <c r="Z256" s="150">
        <v>320.78742715132705</v>
      </c>
      <c r="AA256" s="150">
        <v>314.89705790890281</v>
      </c>
      <c r="AB256" s="150">
        <v>308.99671424223612</v>
      </c>
      <c r="AC256" s="150">
        <v>320.08343659788375</v>
      </c>
      <c r="AD256" s="150">
        <v>331.67219320328672</v>
      </c>
      <c r="AE256" s="150">
        <v>331.87414950697462</v>
      </c>
      <c r="AF256" s="150">
        <v>325.98378026455038</v>
      </c>
      <c r="AG256" s="150">
        <v>319.8814802941958</v>
      </c>
      <c r="AH256" s="150">
        <v>288.49115467405238</v>
      </c>
      <c r="AI256" s="150">
        <v>320.28745976801963</v>
      </c>
      <c r="AJ256" s="150">
        <v>282.5589924603176</v>
      </c>
      <c r="AK256" s="150">
        <v>305.51034062632141</v>
      </c>
      <c r="AL256" s="150">
        <v>300.09294227308902</v>
      </c>
      <c r="AM256" s="150">
        <v>302.65422047223348</v>
      </c>
    </row>
    <row r="257" spans="5:39" x14ac:dyDescent="0.25">
      <c r="E257" s="335"/>
      <c r="F257" s="2" t="s">
        <v>862</v>
      </c>
      <c r="G257" s="150">
        <v>235.80764411610704</v>
      </c>
      <c r="H257" s="150">
        <v>235.80764411610704</v>
      </c>
      <c r="I257" s="150">
        <v>235.80764411610704</v>
      </c>
      <c r="J257" s="150">
        <v>245.10820035961007</v>
      </c>
      <c r="K257" s="150">
        <v>235.80764411610704</v>
      </c>
      <c r="L257" s="150">
        <v>235.80764411610704</v>
      </c>
      <c r="M257" s="150">
        <v>235.80764411610704</v>
      </c>
      <c r="N257" s="150">
        <v>235.80764411610704</v>
      </c>
      <c r="O257" s="150">
        <v>131.07981375370434</v>
      </c>
      <c r="P257" s="150">
        <v>117.99073086805558</v>
      </c>
      <c r="Q257" s="150">
        <v>180.5053576473766</v>
      </c>
      <c r="R257" s="150">
        <v>187.48955493333338</v>
      </c>
      <c r="S257" s="150">
        <v>187.59482000000003</v>
      </c>
      <c r="T257" s="150">
        <v>187.54469377777781</v>
      </c>
      <c r="U257" s="150">
        <v>187.61093637470969</v>
      </c>
      <c r="V257" s="150">
        <v>187.66607521915415</v>
      </c>
      <c r="W257" s="150">
        <v>176.06237069629634</v>
      </c>
      <c r="X257" s="150">
        <v>176.19102800000002</v>
      </c>
      <c r="Y257" s="150">
        <v>170.03070237771743</v>
      </c>
      <c r="Z257" s="150">
        <v>189.0216230144928</v>
      </c>
      <c r="AA257" s="150">
        <v>184.77649679227059</v>
      </c>
      <c r="AB257" s="150">
        <v>183.20249076032613</v>
      </c>
      <c r="AC257" s="150">
        <v>194.83011127206794</v>
      </c>
      <c r="AD257" s="150">
        <v>194.57993437850757</v>
      </c>
      <c r="AE257" s="150">
        <v>194.93537633873461</v>
      </c>
      <c r="AF257" s="150">
        <v>194.88525011651242</v>
      </c>
      <c r="AG257" s="150">
        <v>194.4746693118409</v>
      </c>
      <c r="AH257" s="150">
        <v>180.55930220624907</v>
      </c>
      <c r="AI257" s="150">
        <v>188.88113607000008</v>
      </c>
      <c r="AJ257" s="150">
        <v>164.67027481481489</v>
      </c>
      <c r="AK257" s="150">
        <v>182.86159255469755</v>
      </c>
      <c r="AL257" s="150">
        <v>180.10738766327196</v>
      </c>
      <c r="AM257" s="150">
        <v>183.80898173239456</v>
      </c>
    </row>
    <row r="258" spans="5:39" x14ac:dyDescent="0.25">
      <c r="E258" s="335"/>
      <c r="F258" s="2" t="s">
        <v>863</v>
      </c>
      <c r="G258" s="150">
        <v>223.78747825592473</v>
      </c>
      <c r="H258" s="150">
        <v>223.78747825592473</v>
      </c>
      <c r="I258" s="150">
        <v>223.78747825592473</v>
      </c>
      <c r="J258" s="150">
        <v>254.66073942211011</v>
      </c>
      <c r="K258" s="150">
        <v>223.78747825592473</v>
      </c>
      <c r="L258" s="150">
        <v>223.78747825592473</v>
      </c>
      <c r="M258" s="150">
        <v>223.78747825592473</v>
      </c>
      <c r="N258" s="150">
        <v>223.78747825592473</v>
      </c>
      <c r="O258" s="150">
        <v>144.44134623067737</v>
      </c>
      <c r="P258" s="150">
        <v>130.17343942653065</v>
      </c>
      <c r="Q258" s="150">
        <v>190.34131098976573</v>
      </c>
      <c r="R258" s="150">
        <v>210.33175644526906</v>
      </c>
      <c r="S258" s="150">
        <v>210.45144953617813</v>
      </c>
      <c r="T258" s="150">
        <v>210.39445282622142</v>
      </c>
      <c r="U258" s="150">
        <v>210.46681076080466</v>
      </c>
      <c r="V258" s="150">
        <v>210.52950714175705</v>
      </c>
      <c r="W258" s="150">
        <v>197.61328436281184</v>
      </c>
      <c r="X258" s="150">
        <v>197.75957591836737</v>
      </c>
      <c r="Y258" s="150">
        <v>185.07057315927247</v>
      </c>
      <c r="Z258" s="150">
        <v>212.073815515044</v>
      </c>
      <c r="AA258" s="150">
        <v>207.3843188050873</v>
      </c>
      <c r="AB258" s="150">
        <v>202.68912242413492</v>
      </c>
      <c r="AC258" s="150">
        <v>209.02439234164785</v>
      </c>
      <c r="AD258" s="150">
        <v>218.29368183044954</v>
      </c>
      <c r="AE258" s="150">
        <v>218.40908543255691</v>
      </c>
      <c r="AF258" s="150">
        <v>213.71958872260024</v>
      </c>
      <c r="AG258" s="150">
        <v>208.90898873954046</v>
      </c>
      <c r="AH258" s="150">
        <v>190.44774036195852</v>
      </c>
      <c r="AI258" s="150">
        <v>210.39593236743977</v>
      </c>
      <c r="AJ258" s="150">
        <v>184.93470997732433</v>
      </c>
      <c r="AK258" s="150">
        <v>202.46925630879079</v>
      </c>
      <c r="AL258" s="150">
        <v>199.37360010694371</v>
      </c>
      <c r="AM258" s="150">
        <v>201.57433779440126</v>
      </c>
    </row>
    <row r="259" spans="5:39" ht="15.75" thickBot="1" x14ac:dyDescent="0.3">
      <c r="E259" s="335"/>
      <c r="F259" s="2" t="s">
        <v>745</v>
      </c>
      <c r="G259" s="324">
        <v>1860.0726687751285</v>
      </c>
      <c r="H259" s="324">
        <v>1860.0726687751285</v>
      </c>
      <c r="I259" s="324">
        <v>1860.0726687751285</v>
      </c>
      <c r="J259" s="324">
        <v>1412.8284508119405</v>
      </c>
      <c r="K259" s="324">
        <v>1209.7783839089034</v>
      </c>
      <c r="L259" s="324">
        <v>1209.7783839089034</v>
      </c>
      <c r="M259" s="324">
        <v>1209.7783839089034</v>
      </c>
      <c r="N259" s="324">
        <v>1209.7783839089034</v>
      </c>
      <c r="O259" s="324">
        <v>1149.8523016512845</v>
      </c>
      <c r="P259" s="324">
        <v>1048.6736842087334</v>
      </c>
      <c r="Q259" s="324">
        <v>1287.1472491053032</v>
      </c>
      <c r="R259" s="324">
        <v>1066.3169986654832</v>
      </c>
      <c r="S259" s="324">
        <v>1073.0584550965389</v>
      </c>
      <c r="T259" s="324">
        <v>1066.839921249966</v>
      </c>
      <c r="U259" s="324">
        <v>1066.9153886329336</v>
      </c>
      <c r="V259" s="324">
        <v>1067.4332177192407</v>
      </c>
      <c r="W259" s="324">
        <v>1009.8940417686744</v>
      </c>
      <c r="X259" s="324">
        <v>1010.7574493225436</v>
      </c>
      <c r="Y259" s="324">
        <v>1428.8704046340481</v>
      </c>
      <c r="Z259" s="324">
        <v>1421.7454639667101</v>
      </c>
      <c r="AA259" s="324">
        <v>1423.1794743916855</v>
      </c>
      <c r="AB259" s="324">
        <v>1424.8927841191778</v>
      </c>
      <c r="AC259" s="324">
        <v>1332.3064633848546</v>
      </c>
      <c r="AD259" s="324">
        <v>1327.7644067024537</v>
      </c>
      <c r="AE259" s="324">
        <v>1330.0878984170376</v>
      </c>
      <c r="AF259" s="324">
        <v>1331.0473981055825</v>
      </c>
      <c r="AG259" s="324">
        <v>1329.9576187803707</v>
      </c>
      <c r="AH259" s="324">
        <v>1421.3718706933478</v>
      </c>
      <c r="AI259" s="324">
        <v>1350.703277834727</v>
      </c>
      <c r="AJ259" s="324">
        <v>953.09956528200848</v>
      </c>
      <c r="AK259" s="324">
        <v>1407.535779881196</v>
      </c>
      <c r="AL259" s="324">
        <v>1609.4931486307835</v>
      </c>
      <c r="AM259" s="324">
        <v>1686.4582767455622</v>
      </c>
    </row>
    <row r="260" spans="5:39" ht="15" customHeight="1" x14ac:dyDescent="0.25">
      <c r="E260" s="334" t="s">
        <v>879</v>
      </c>
      <c r="F260" s="159" t="s">
        <v>900</v>
      </c>
      <c r="G260" s="149">
        <v>0.88096062571309841</v>
      </c>
      <c r="H260" s="149">
        <v>0.88096062571309841</v>
      </c>
      <c r="I260" s="149">
        <v>0.88096062571309841</v>
      </c>
      <c r="J260" s="149">
        <v>0.6496949334021398</v>
      </c>
      <c r="K260" s="149">
        <v>0.87807680090528817</v>
      </c>
      <c r="L260" s="149">
        <v>0.87807680090528817</v>
      </c>
      <c r="M260" s="149">
        <v>0.87807680090528817</v>
      </c>
      <c r="N260" s="149">
        <v>0.87807680090528817</v>
      </c>
      <c r="O260" s="149">
        <v>1.0347066611637079</v>
      </c>
      <c r="P260" s="149">
        <v>0.93794157905881081</v>
      </c>
      <c r="Q260" s="149">
        <v>1.2730802760932087</v>
      </c>
      <c r="R260" s="149">
        <v>1.3502365061886892</v>
      </c>
      <c r="S260" s="149">
        <v>1.351116733075574</v>
      </c>
      <c r="T260" s="149">
        <v>1.3506975774151531</v>
      </c>
      <c r="U260" s="149">
        <v>1.3510354140495964</v>
      </c>
      <c r="V260" s="149">
        <v>1.35149648527606</v>
      </c>
      <c r="W260" s="149">
        <v>1.2747272659063831</v>
      </c>
      <c r="X260" s="149">
        <v>1.2758030987681312</v>
      </c>
      <c r="Y260" s="149">
        <v>1.2178967660448488</v>
      </c>
      <c r="Z260" s="149">
        <v>1.3630476652966306</v>
      </c>
      <c r="AA260" s="149">
        <v>1.3375723625522611</v>
      </c>
      <c r="AB260" s="149">
        <v>1.3280393104793173</v>
      </c>
      <c r="AC260" s="149">
        <v>1.4108008242797649</v>
      </c>
      <c r="AD260" s="149">
        <v>1.4093155656246852</v>
      </c>
      <c r="AE260" s="149">
        <v>1.4116810511666498</v>
      </c>
      <c r="AF260" s="149">
        <v>1.4112618955062286</v>
      </c>
      <c r="AG260" s="149">
        <v>1.4084353387378001</v>
      </c>
      <c r="AH260" s="149">
        <v>1.2920749862003078</v>
      </c>
      <c r="AI260" s="149">
        <v>1.3689212608641714</v>
      </c>
      <c r="AJ260" s="149">
        <v>1.199511434586372</v>
      </c>
      <c r="AK260" s="149">
        <v>1.3031085868108438</v>
      </c>
      <c r="AL260" s="149">
        <v>1.2860752853702682</v>
      </c>
      <c r="AM260" s="149">
        <v>1.3440451254733448</v>
      </c>
    </row>
    <row r="261" spans="5:39" x14ac:dyDescent="0.25">
      <c r="E261" s="335"/>
      <c r="F261" s="2" t="s">
        <v>941</v>
      </c>
      <c r="G261" s="150">
        <v>0.49628380986842641</v>
      </c>
      <c r="H261" s="150">
        <v>0.49628380986842641</v>
      </c>
      <c r="I261" s="150">
        <v>0.49628380986842641</v>
      </c>
      <c r="J261" s="150">
        <v>0.3231171467236385</v>
      </c>
      <c r="K261" s="150">
        <v>0.49628380986842641</v>
      </c>
      <c r="L261" s="150">
        <v>0.49628380986842641</v>
      </c>
      <c r="M261" s="150">
        <v>0.49628380986842641</v>
      </c>
      <c r="N261" s="150">
        <v>0.49628380986842641</v>
      </c>
      <c r="O261" s="150">
        <v>0.41575101143315224</v>
      </c>
      <c r="P261" s="150">
        <v>0.37687025231905025</v>
      </c>
      <c r="Q261" s="150">
        <v>0.37943340129420788</v>
      </c>
      <c r="R261" s="150">
        <v>0.39688837009590877</v>
      </c>
      <c r="S261" s="150">
        <v>0.39714710389021007</v>
      </c>
      <c r="T261" s="150">
        <v>0.39702389732149523</v>
      </c>
      <c r="U261" s="150">
        <v>0.3971232009846597</v>
      </c>
      <c r="V261" s="150">
        <v>0.39725872821024616</v>
      </c>
      <c r="W261" s="150">
        <v>0.37469319231374565</v>
      </c>
      <c r="X261" s="150">
        <v>0.37500942250678049</v>
      </c>
      <c r="Y261" s="150">
        <v>0.35798844143610331</v>
      </c>
      <c r="Z261" s="150">
        <v>0.40065408079480147</v>
      </c>
      <c r="AA261" s="150">
        <v>0.39316587310854023</v>
      </c>
      <c r="AB261" s="150">
        <v>0.39036372883090559</v>
      </c>
      <c r="AC261" s="150">
        <v>0.41469063909320258</v>
      </c>
      <c r="AD261" s="150">
        <v>0.41425406232751477</v>
      </c>
      <c r="AE261" s="150">
        <v>0.41494937288750389</v>
      </c>
      <c r="AF261" s="150">
        <v>0.41482616631878899</v>
      </c>
      <c r="AG261" s="150">
        <v>0.41399532853321341</v>
      </c>
      <c r="AH261" s="150">
        <v>0.37979237930860038</v>
      </c>
      <c r="AI261" s="150">
        <v>0.40238056482979767</v>
      </c>
      <c r="AJ261" s="150">
        <v>0.35258425912968289</v>
      </c>
      <c r="AK261" s="150">
        <v>0.3865453537337965</v>
      </c>
      <c r="AL261" s="150">
        <v>0.37977572061231346</v>
      </c>
      <c r="AM261" s="150">
        <v>0.386066951193276</v>
      </c>
    </row>
    <row r="262" spans="5:39" x14ac:dyDescent="0.25">
      <c r="E262" s="335"/>
      <c r="F262" s="2" t="s">
        <v>902</v>
      </c>
      <c r="G262" s="150">
        <v>0.92435808527998775</v>
      </c>
      <c r="H262" s="150">
        <v>0.92435808527998775</v>
      </c>
      <c r="I262" s="150">
        <v>0.92435808527998775</v>
      </c>
      <c r="J262" s="150">
        <v>0.60874447626262929</v>
      </c>
      <c r="K262" s="150">
        <v>0.92081648342067746</v>
      </c>
      <c r="L262" s="150">
        <v>0.92081648342067746</v>
      </c>
      <c r="M262" s="150">
        <v>0.92081648342067746</v>
      </c>
      <c r="N262" s="150">
        <v>0.92081648342067746</v>
      </c>
      <c r="O262" s="150">
        <v>1.701233047808568</v>
      </c>
      <c r="P262" s="150">
        <v>1.701233047808568</v>
      </c>
      <c r="Q262" s="150">
        <v>1.701233047808568</v>
      </c>
      <c r="R262" s="150">
        <v>1.701233047808568</v>
      </c>
      <c r="S262" s="150">
        <v>1.701233047808568</v>
      </c>
      <c r="T262" s="150">
        <v>1.701233047808568</v>
      </c>
      <c r="U262" s="150">
        <v>1.701233047808568</v>
      </c>
      <c r="V262" s="150">
        <v>1.701233047808568</v>
      </c>
      <c r="W262" s="150">
        <v>1.701233047808568</v>
      </c>
      <c r="X262" s="150">
        <v>1.701233047808568</v>
      </c>
      <c r="Y262" s="150">
        <v>1.701233047808568</v>
      </c>
      <c r="Z262" s="150">
        <v>1.701233047808568</v>
      </c>
      <c r="AA262" s="150">
        <v>1.701233047808568</v>
      </c>
      <c r="AB262" s="150">
        <v>1.701233047808568</v>
      </c>
      <c r="AC262" s="150">
        <v>1.701233047808568</v>
      </c>
      <c r="AD262" s="150">
        <v>1.701233047808568</v>
      </c>
      <c r="AE262" s="150">
        <v>1.701233047808568</v>
      </c>
      <c r="AF262" s="150">
        <v>1.701233047808568</v>
      </c>
      <c r="AG262" s="150">
        <v>1.701233047808568</v>
      </c>
      <c r="AH262" s="150">
        <v>1.701233047808568</v>
      </c>
      <c r="AI262" s="150">
        <v>1.701233047808568</v>
      </c>
      <c r="AJ262" s="150">
        <v>1.701233047808568</v>
      </c>
      <c r="AK262" s="150">
        <v>1.701233047808568</v>
      </c>
      <c r="AL262" s="150">
        <v>1.701233047808568</v>
      </c>
      <c r="AM262" s="150">
        <v>1.701233047808568</v>
      </c>
    </row>
    <row r="263" spans="5:39" x14ac:dyDescent="0.25">
      <c r="E263" s="335"/>
      <c r="F263" s="151" t="s">
        <v>868</v>
      </c>
      <c r="G263" s="150" t="s">
        <v>898</v>
      </c>
      <c r="H263" s="150" t="s">
        <v>898</v>
      </c>
      <c r="I263" s="150" t="s">
        <v>898</v>
      </c>
      <c r="J263" s="150" t="s">
        <v>898</v>
      </c>
      <c r="K263" s="150" t="s">
        <v>898</v>
      </c>
      <c r="L263" s="150" t="s">
        <v>898</v>
      </c>
      <c r="M263" s="150" t="s">
        <v>898</v>
      </c>
      <c r="N263" s="150" t="s">
        <v>898</v>
      </c>
      <c r="O263" s="150" t="s">
        <v>898</v>
      </c>
      <c r="P263" s="150" t="s">
        <v>898</v>
      </c>
      <c r="Q263" s="150" t="s">
        <v>898</v>
      </c>
      <c r="R263" s="150" t="s">
        <v>898</v>
      </c>
      <c r="S263" s="150" t="s">
        <v>898</v>
      </c>
      <c r="T263" s="150" t="s">
        <v>898</v>
      </c>
      <c r="U263" s="150" t="s">
        <v>898</v>
      </c>
      <c r="V263" s="150" t="s">
        <v>898</v>
      </c>
      <c r="W263" s="150" t="s">
        <v>898</v>
      </c>
      <c r="X263" s="150" t="s">
        <v>898</v>
      </c>
      <c r="Y263" s="150" t="s">
        <v>898</v>
      </c>
      <c r="Z263" s="150" t="s">
        <v>898</v>
      </c>
      <c r="AA263" s="150" t="s">
        <v>898</v>
      </c>
      <c r="AB263" s="150" t="s">
        <v>898</v>
      </c>
      <c r="AC263" s="150" t="s">
        <v>898</v>
      </c>
      <c r="AD263" s="150" t="s">
        <v>898</v>
      </c>
      <c r="AE263" s="150" t="s">
        <v>898</v>
      </c>
      <c r="AF263" s="150" t="s">
        <v>898</v>
      </c>
      <c r="AG263" s="150" t="s">
        <v>898</v>
      </c>
      <c r="AH263" s="150" t="s">
        <v>898</v>
      </c>
      <c r="AI263" s="150" t="s">
        <v>898</v>
      </c>
      <c r="AJ263" s="150" t="s">
        <v>898</v>
      </c>
      <c r="AK263" s="150" t="s">
        <v>898</v>
      </c>
      <c r="AL263" s="150" t="s">
        <v>898</v>
      </c>
      <c r="AM263" s="150" t="s">
        <v>898</v>
      </c>
    </row>
    <row r="264" spans="5:39" x14ac:dyDescent="0.25">
      <c r="E264" s="335"/>
      <c r="F264" s="2" t="s">
        <v>865</v>
      </c>
      <c r="G264" s="150">
        <v>0.62134677779173497</v>
      </c>
      <c r="H264" s="150">
        <v>0.62134677779173497</v>
      </c>
      <c r="I264" s="150">
        <v>0.62134677779173497</v>
      </c>
      <c r="J264" s="150">
        <v>0.40425950473248157</v>
      </c>
      <c r="K264" s="150">
        <v>0.61917373812233434</v>
      </c>
      <c r="L264" s="150">
        <v>0.61917373812233434</v>
      </c>
      <c r="M264" s="150">
        <v>0.61917373812233434</v>
      </c>
      <c r="N264" s="150">
        <v>0.61917373812233434</v>
      </c>
      <c r="O264" s="150">
        <v>0.68182963625019843</v>
      </c>
      <c r="P264" s="150">
        <v>0.61806537890079183</v>
      </c>
      <c r="Q264" s="150">
        <v>0.79818033227655549</v>
      </c>
      <c r="R264" s="150">
        <v>0.6920204000179776</v>
      </c>
      <c r="S264" s="150">
        <v>0.6924715320674939</v>
      </c>
      <c r="T264" s="150">
        <v>0.69225670728201016</v>
      </c>
      <c r="U264" s="150">
        <v>0.69242985460978312</v>
      </c>
      <c r="V264" s="150">
        <v>0.69266616187381558</v>
      </c>
      <c r="W264" s="150">
        <v>0.6533205615632226</v>
      </c>
      <c r="X264" s="150">
        <v>0.65387194517929803</v>
      </c>
      <c r="Y264" s="150">
        <v>0.62419391221909282</v>
      </c>
      <c r="Z264" s="150">
        <v>0.69858634858323776</v>
      </c>
      <c r="AA264" s="150">
        <v>0.68552979951577087</v>
      </c>
      <c r="AB264" s="150">
        <v>0.68064393953592772</v>
      </c>
      <c r="AC264" s="150">
        <v>0.72306069809916818</v>
      </c>
      <c r="AD264" s="150">
        <v>0.72229947642881065</v>
      </c>
      <c r="AE264" s="150">
        <v>0.72351183014868459</v>
      </c>
      <c r="AF264" s="150">
        <v>0.72329700536320074</v>
      </c>
      <c r="AG264" s="150">
        <v>0.72184834437929446</v>
      </c>
      <c r="AH264" s="150">
        <v>0.66221157901251981</v>
      </c>
      <c r="AI264" s="150">
        <v>0.70159667154189254</v>
      </c>
      <c r="AJ264" s="150">
        <v>0.6147711004583063</v>
      </c>
      <c r="AK264" s="150">
        <v>0.65171869567225216</v>
      </c>
      <c r="AL264" s="150">
        <v>0.64818238328293309</v>
      </c>
      <c r="AM264" s="150">
        <v>0.68134255821300704</v>
      </c>
    </row>
    <row r="265" spans="5:39" x14ac:dyDescent="0.25">
      <c r="E265" s="335"/>
      <c r="F265" s="2" t="s">
        <v>866</v>
      </c>
      <c r="G265" s="150" t="s">
        <v>899</v>
      </c>
      <c r="H265" s="150" t="s">
        <v>899</v>
      </c>
      <c r="I265" s="150" t="s">
        <v>899</v>
      </c>
      <c r="J265" s="150" t="s">
        <v>899</v>
      </c>
      <c r="K265" s="150" t="s">
        <v>899</v>
      </c>
      <c r="L265" s="150" t="s">
        <v>899</v>
      </c>
      <c r="M265" s="150" t="s">
        <v>899</v>
      </c>
      <c r="N265" s="150" t="s">
        <v>899</v>
      </c>
      <c r="O265" s="150" t="s">
        <v>899</v>
      </c>
      <c r="P265" s="150" t="s">
        <v>899</v>
      </c>
      <c r="Q265" s="150" t="s">
        <v>2081</v>
      </c>
      <c r="R265" s="150" t="s">
        <v>899</v>
      </c>
      <c r="S265" s="150" t="s">
        <v>899</v>
      </c>
      <c r="T265" s="150" t="s">
        <v>899</v>
      </c>
      <c r="U265" s="150" t="s">
        <v>899</v>
      </c>
      <c r="V265" s="150" t="s">
        <v>899</v>
      </c>
      <c r="W265" s="150" t="s">
        <v>899</v>
      </c>
      <c r="X265" s="150" t="s">
        <v>899</v>
      </c>
      <c r="Y265" s="150" t="s">
        <v>899</v>
      </c>
      <c r="Z265" s="150" t="s">
        <v>899</v>
      </c>
      <c r="AA265" s="150" t="s">
        <v>899</v>
      </c>
      <c r="AB265" s="150" t="s">
        <v>899</v>
      </c>
      <c r="AC265" s="150" t="s">
        <v>899</v>
      </c>
      <c r="AD265" s="150" t="s">
        <v>899</v>
      </c>
      <c r="AE265" s="150" t="s">
        <v>899</v>
      </c>
      <c r="AF265" s="150" t="s">
        <v>899</v>
      </c>
      <c r="AG265" s="150" t="s">
        <v>899</v>
      </c>
      <c r="AH265" s="150" t="s">
        <v>899</v>
      </c>
      <c r="AI265" s="150" t="s">
        <v>899</v>
      </c>
      <c r="AJ265" s="150" t="s">
        <v>899</v>
      </c>
      <c r="AK265" s="150" t="s">
        <v>899</v>
      </c>
      <c r="AL265" s="150" t="s">
        <v>899</v>
      </c>
      <c r="AM265" s="150" t="s">
        <v>899</v>
      </c>
    </row>
    <row r="266" spans="5:39" x14ac:dyDescent="0.25">
      <c r="E266" s="335"/>
      <c r="F266" s="2" t="s">
        <v>867</v>
      </c>
      <c r="G266" s="150" t="s">
        <v>899</v>
      </c>
      <c r="H266" s="150" t="s">
        <v>899</v>
      </c>
      <c r="I266" s="150" t="s">
        <v>899</v>
      </c>
      <c r="J266" s="150" t="s">
        <v>899</v>
      </c>
      <c r="K266" s="150" t="s">
        <v>899</v>
      </c>
      <c r="L266" s="150" t="s">
        <v>899</v>
      </c>
      <c r="M266" s="150" t="s">
        <v>899</v>
      </c>
      <c r="N266" s="150" t="s">
        <v>899</v>
      </c>
      <c r="O266" s="150" t="s">
        <v>899</v>
      </c>
      <c r="P266" s="150" t="s">
        <v>899</v>
      </c>
      <c r="Q266" s="150" t="s">
        <v>899</v>
      </c>
      <c r="R266" s="150" t="s">
        <v>899</v>
      </c>
      <c r="S266" s="150" t="s">
        <v>899</v>
      </c>
      <c r="T266" s="150" t="s">
        <v>899</v>
      </c>
      <c r="U266" s="150" t="s">
        <v>899</v>
      </c>
      <c r="V266" s="150" t="s">
        <v>899</v>
      </c>
      <c r="W266" s="150" t="s">
        <v>899</v>
      </c>
      <c r="X266" s="150" t="s">
        <v>899</v>
      </c>
      <c r="Y266" s="150" t="s">
        <v>899</v>
      </c>
      <c r="Z266" s="150" t="s">
        <v>899</v>
      </c>
      <c r="AA266" s="150" t="s">
        <v>899</v>
      </c>
      <c r="AB266" s="150" t="s">
        <v>899</v>
      </c>
      <c r="AC266" s="150" t="s">
        <v>899</v>
      </c>
      <c r="AD266" s="150" t="s">
        <v>899</v>
      </c>
      <c r="AE266" s="150" t="s">
        <v>899</v>
      </c>
      <c r="AF266" s="150" t="s">
        <v>899</v>
      </c>
      <c r="AG266" s="150" t="s">
        <v>899</v>
      </c>
      <c r="AH266" s="150" t="s">
        <v>899</v>
      </c>
      <c r="AI266" s="150" t="s">
        <v>899</v>
      </c>
      <c r="AJ266" s="150" t="s">
        <v>899</v>
      </c>
      <c r="AK266" s="150" t="s">
        <v>899</v>
      </c>
      <c r="AL266" s="150" t="s">
        <v>899</v>
      </c>
      <c r="AM266" s="150" t="s">
        <v>899</v>
      </c>
    </row>
    <row r="267" spans="5:39" x14ac:dyDescent="0.25">
      <c r="E267" s="335"/>
      <c r="F267" s="2" t="s">
        <v>903</v>
      </c>
      <c r="G267" s="150">
        <v>0.85902215817225813</v>
      </c>
      <c r="H267" s="150">
        <v>0.85902215817225813</v>
      </c>
      <c r="I267" s="150">
        <v>0.85902215817225813</v>
      </c>
      <c r="J267" s="150">
        <v>0.63325000757761829</v>
      </c>
      <c r="K267" s="150">
        <v>0.85902215817225813</v>
      </c>
      <c r="L267" s="150">
        <v>0.85902215817225813</v>
      </c>
      <c r="M267" s="150">
        <v>0.85902215817225813</v>
      </c>
      <c r="N267" s="150">
        <v>0.85902215817225813</v>
      </c>
      <c r="O267" s="150">
        <v>1.0639298687416765</v>
      </c>
      <c r="P267" s="150">
        <v>0.96443184996199638</v>
      </c>
      <c r="Q267" s="150">
        <v>1.2336774780476898</v>
      </c>
      <c r="R267" s="150">
        <v>1.051255472966284</v>
      </c>
      <c r="S267" s="150">
        <v>1.0519407924107285</v>
      </c>
      <c r="T267" s="150">
        <v>1.0516144498181361</v>
      </c>
      <c r="U267" s="150">
        <v>1.0518774797460777</v>
      </c>
      <c r="V267" s="150">
        <v>1.0522364565979299</v>
      </c>
      <c r="W267" s="150">
        <v>0.99246614106593067</v>
      </c>
      <c r="X267" s="150">
        <v>0.99330375372025148</v>
      </c>
      <c r="Y267" s="150">
        <v>0.94821954149835908</v>
      </c>
      <c r="Z267" s="150">
        <v>1.0612298745363324</v>
      </c>
      <c r="AA267" s="150">
        <v>1.041395533431835</v>
      </c>
      <c r="AB267" s="150">
        <v>1.0339733721143021</v>
      </c>
      <c r="AC267" s="150">
        <v>1.0984091164708811</v>
      </c>
      <c r="AD267" s="150">
        <v>1.0972527366198206</v>
      </c>
      <c r="AE267" s="150">
        <v>1.0990944359153256</v>
      </c>
      <c r="AF267" s="150">
        <v>1.0987680933227331</v>
      </c>
      <c r="AG267" s="150">
        <v>1.0965674171753759</v>
      </c>
      <c r="AH267" s="150">
        <v>1.0059725792483449</v>
      </c>
      <c r="AI267" s="150">
        <v>1.0658028878255354</v>
      </c>
      <c r="AJ267" s="150">
        <v>0.93390524898039196</v>
      </c>
      <c r="AK267" s="150">
        <v>0.98908689008457584</v>
      </c>
      <c r="AL267" s="150">
        <v>0.98289192514008905</v>
      </c>
      <c r="AM267" s="150">
        <v>1.0146652382915273</v>
      </c>
    </row>
    <row r="268" spans="5:39" x14ac:dyDescent="0.25">
      <c r="E268" s="335"/>
      <c r="F268" s="2" t="s">
        <v>869</v>
      </c>
      <c r="G268" s="150" t="s">
        <v>899</v>
      </c>
      <c r="H268" s="150" t="s">
        <v>899</v>
      </c>
      <c r="I268" s="150" t="s">
        <v>899</v>
      </c>
      <c r="J268" s="150" t="s">
        <v>899</v>
      </c>
      <c r="K268" s="150" t="s">
        <v>899</v>
      </c>
      <c r="L268" s="150" t="s">
        <v>899</v>
      </c>
      <c r="M268" s="150" t="s">
        <v>899</v>
      </c>
      <c r="N268" s="150" t="s">
        <v>899</v>
      </c>
      <c r="O268" s="150" t="s">
        <v>899</v>
      </c>
      <c r="P268" s="150" t="s">
        <v>899</v>
      </c>
      <c r="Q268" s="150" t="s">
        <v>899</v>
      </c>
      <c r="R268" s="150" t="s">
        <v>899</v>
      </c>
      <c r="S268" s="150" t="s">
        <v>899</v>
      </c>
      <c r="T268" s="150" t="s">
        <v>899</v>
      </c>
      <c r="U268" s="150" t="s">
        <v>899</v>
      </c>
      <c r="V268" s="150" t="s">
        <v>899</v>
      </c>
      <c r="W268" s="150" t="s">
        <v>899</v>
      </c>
      <c r="X268" s="150" t="s">
        <v>899</v>
      </c>
      <c r="Y268" s="150" t="s">
        <v>899</v>
      </c>
      <c r="Z268" s="150" t="s">
        <v>899</v>
      </c>
      <c r="AA268" s="150" t="s">
        <v>899</v>
      </c>
      <c r="AB268" s="150" t="s">
        <v>899</v>
      </c>
      <c r="AC268" s="150" t="s">
        <v>899</v>
      </c>
      <c r="AD268" s="150" t="s">
        <v>899</v>
      </c>
      <c r="AE268" s="150" t="s">
        <v>899</v>
      </c>
      <c r="AF268" s="150" t="s">
        <v>899</v>
      </c>
      <c r="AG268" s="150" t="s">
        <v>899</v>
      </c>
      <c r="AH268" s="150" t="s">
        <v>899</v>
      </c>
      <c r="AI268" s="150" t="s">
        <v>899</v>
      </c>
      <c r="AJ268" s="150" t="s">
        <v>899</v>
      </c>
      <c r="AK268" s="150" t="s">
        <v>899</v>
      </c>
      <c r="AL268" s="150" t="s">
        <v>899</v>
      </c>
      <c r="AM268" s="150" t="s">
        <v>899</v>
      </c>
    </row>
    <row r="269" spans="5:39" x14ac:dyDescent="0.25">
      <c r="E269" s="335"/>
      <c r="F269" s="2" t="s">
        <v>904</v>
      </c>
      <c r="G269" s="150">
        <v>0.64181318533043197</v>
      </c>
      <c r="H269" s="150">
        <v>0.64181318533043197</v>
      </c>
      <c r="I269" s="150">
        <v>0.64181318533043197</v>
      </c>
      <c r="J269" s="150">
        <v>0.43425372385910793</v>
      </c>
      <c r="K269" s="150">
        <v>0.64018834182326634</v>
      </c>
      <c r="L269" s="150">
        <v>0.64018834182326634</v>
      </c>
      <c r="M269" s="150">
        <v>0.64018834182326634</v>
      </c>
      <c r="N269" s="150">
        <v>0.64018834182326634</v>
      </c>
      <c r="O269" s="150">
        <v>1.7158073051988696</v>
      </c>
      <c r="P269" s="150">
        <v>1.7838908608521813</v>
      </c>
      <c r="Q269" s="150">
        <v>1.0932394918297403</v>
      </c>
      <c r="R269" s="150">
        <v>1.1130734673896248</v>
      </c>
      <c r="S269" s="150">
        <v>1.1127707854465618</v>
      </c>
      <c r="T269" s="150">
        <v>1.1129149197051631</v>
      </c>
      <c r="U269" s="150">
        <v>1.11279874846514</v>
      </c>
      <c r="V269" s="150">
        <v>1.1126402007806784</v>
      </c>
      <c r="W269" s="150">
        <v>1.139038686026302</v>
      </c>
      <c r="X269" s="150">
        <v>1.1386687414292254</v>
      </c>
      <c r="Y269" s="150">
        <v>1.1585808817710814</v>
      </c>
      <c r="Z269" s="150">
        <v>1.1086681185080403</v>
      </c>
      <c r="AA269" s="150">
        <v>1.1174282623410341</v>
      </c>
      <c r="AB269" s="150">
        <v>1.1207063748001633</v>
      </c>
      <c r="AC269" s="150">
        <v>1.0922473306818958</v>
      </c>
      <c r="AD269" s="150">
        <v>1.0927580637467098</v>
      </c>
      <c r="AE269" s="150">
        <v>1.0919446487388331</v>
      </c>
      <c r="AF269" s="150">
        <v>1.0920887829974344</v>
      </c>
      <c r="AG269" s="150">
        <v>1.0930607456897727</v>
      </c>
      <c r="AH269" s="150">
        <v>1.1330733584902861</v>
      </c>
      <c r="AI269" s="150">
        <v>1.1066483763874144</v>
      </c>
      <c r="AJ269" s="150">
        <v>2.3298060213639169</v>
      </c>
      <c r="AK269" s="150">
        <v>2.2810623690826026</v>
      </c>
      <c r="AL269" s="150">
        <v>2.2865345734445373</v>
      </c>
      <c r="AM269" s="150">
        <v>2.2584682220804129</v>
      </c>
    </row>
    <row r="270" spans="5:39" x14ac:dyDescent="0.25">
      <c r="E270" s="335"/>
      <c r="F270" s="2" t="s">
        <v>905</v>
      </c>
      <c r="G270" s="150">
        <v>0.74897768507416784</v>
      </c>
      <c r="H270" s="150">
        <v>1.9855332833013826</v>
      </c>
      <c r="I270" s="150">
        <v>1.9855332833013826</v>
      </c>
      <c r="J270" s="150">
        <v>0.63651378619321575</v>
      </c>
      <c r="K270" s="150">
        <v>0.53101628142273771</v>
      </c>
      <c r="L270" s="150">
        <v>0.53101628142273771</v>
      </c>
      <c r="M270" s="150">
        <v>0.53101628142273771</v>
      </c>
      <c r="N270" s="150">
        <v>0.53101628142273771</v>
      </c>
      <c r="O270" s="150">
        <v>2.2781590626559813</v>
      </c>
      <c r="P270" s="150">
        <v>2.0651071314536633</v>
      </c>
      <c r="Q270" s="150">
        <v>2.0172479340713054</v>
      </c>
      <c r="R270" s="150">
        <v>1.7764385088160697</v>
      </c>
      <c r="S270" s="150">
        <v>1.777640914331297</v>
      </c>
      <c r="T270" s="150">
        <v>1.7770682670922231</v>
      </c>
      <c r="U270" s="150">
        <v>1.7775298063683576</v>
      </c>
      <c r="V270" s="150">
        <v>1.778159739096969</v>
      </c>
      <c r="W270" s="150">
        <v>1.6330510570374781</v>
      </c>
      <c r="X270" s="150">
        <v>1.634479651136679</v>
      </c>
      <c r="Y270" s="150">
        <v>1.5970263574078394</v>
      </c>
      <c r="Z270" s="150">
        <v>1.7939509930361222</v>
      </c>
      <c r="AA270" s="150">
        <v>1.7591519725202214</v>
      </c>
      <c r="AB270" s="150">
        <v>1.7461563510433558</v>
      </c>
      <c r="AC270" s="150">
        <v>1.9367016866792164</v>
      </c>
      <c r="AD270" s="150">
        <v>1.9345069688552097</v>
      </c>
      <c r="AE270" s="150">
        <v>1.9380073056741902</v>
      </c>
      <c r="AF270" s="150">
        <v>1.9373869335493732</v>
      </c>
      <c r="AG270" s="150">
        <v>1.9332048285482422</v>
      </c>
      <c r="AH270" s="150">
        <v>1.7626972851109242</v>
      </c>
      <c r="AI270" s="150">
        <v>1.8749451806072166</v>
      </c>
      <c r="AJ270" s="150">
        <v>1.4058788694328479</v>
      </c>
      <c r="AK270" s="150">
        <v>1.5847706247444953</v>
      </c>
      <c r="AL270" s="150">
        <v>1.6052266315063881</v>
      </c>
      <c r="AM270" s="150">
        <v>1.7650845295503113</v>
      </c>
    </row>
    <row r="271" spans="5:39" ht="15.75" thickBot="1" x14ac:dyDescent="0.3">
      <c r="E271" s="336"/>
      <c r="F271" s="2" t="s">
        <v>906</v>
      </c>
      <c r="G271" s="150">
        <v>0.87833074043419668</v>
      </c>
      <c r="H271" s="150">
        <v>2.3284471001377689</v>
      </c>
      <c r="I271" s="150">
        <v>2.3284471001377689</v>
      </c>
      <c r="J271" s="150">
        <v>0.73651275067355737</v>
      </c>
      <c r="K271" s="150">
        <v>0.62272606105542483</v>
      </c>
      <c r="L271" s="150">
        <v>0.62272606105542483</v>
      </c>
      <c r="M271" s="150">
        <v>0.62272606105542483</v>
      </c>
      <c r="N271" s="150">
        <v>0.62272606105542483</v>
      </c>
      <c r="O271" s="150">
        <v>1.9820536403438085</v>
      </c>
      <c r="P271" s="150">
        <v>1.7841340353032831</v>
      </c>
      <c r="Q271" s="150">
        <v>1.81961046015503</v>
      </c>
      <c r="R271" s="150">
        <v>1.591195315272411</v>
      </c>
      <c r="S271" s="150">
        <v>1.5921283922205738</v>
      </c>
      <c r="T271" s="150">
        <v>1.5916840052098655</v>
      </c>
      <c r="U271" s="150">
        <v>1.5922614841271341</v>
      </c>
      <c r="V271" s="150">
        <v>1.5927503297758892</v>
      </c>
      <c r="W271" s="150">
        <v>1.4549735999682558</v>
      </c>
      <c r="X271" s="150">
        <v>1.4560816708743425</v>
      </c>
      <c r="Y271" s="150">
        <v>1.4382521618456729</v>
      </c>
      <c r="Z271" s="150">
        <v>1.6047858989259653</v>
      </c>
      <c r="AA271" s="150">
        <v>1.5676130928360783</v>
      </c>
      <c r="AB271" s="150">
        <v>1.5538520009060719</v>
      </c>
      <c r="AC271" s="150">
        <v>1.7252783983814945</v>
      </c>
      <c r="AD271" s="150">
        <v>1.722924245593648</v>
      </c>
      <c r="AE271" s="150">
        <v>1.7262971976778074</v>
      </c>
      <c r="AF271" s="150">
        <v>1.7258132606083245</v>
      </c>
      <c r="AG271" s="150">
        <v>1.7219085387391286</v>
      </c>
      <c r="AH271" s="150">
        <v>1.5889709760629598</v>
      </c>
      <c r="AI271" s="150">
        <v>1.6688018484274942</v>
      </c>
      <c r="AJ271" s="150">
        <v>1.2449869567652496</v>
      </c>
      <c r="AK271" s="150">
        <v>1.4215202811845378</v>
      </c>
      <c r="AL271" s="150">
        <v>1.4434617973463821</v>
      </c>
      <c r="AM271" s="150">
        <v>1.5934345114021908</v>
      </c>
    </row>
    <row r="272" spans="5:39" x14ac:dyDescent="0.25">
      <c r="E272" s="334" t="s">
        <v>880</v>
      </c>
      <c r="F272" s="159" t="s">
        <v>900</v>
      </c>
      <c r="G272" s="149">
        <v>0.69226722365627957</v>
      </c>
      <c r="H272" s="149">
        <v>0.69226722365627957</v>
      </c>
      <c r="I272" s="149">
        <v>0.69226722365627957</v>
      </c>
      <c r="J272" s="149">
        <v>0.57300680465838605</v>
      </c>
      <c r="K272" s="149">
        <v>0.68960609600741518</v>
      </c>
      <c r="L272" s="149">
        <v>0.68960609600741518</v>
      </c>
      <c r="M272" s="149">
        <v>0.68960609600741518</v>
      </c>
      <c r="N272" s="149">
        <v>0.68960609600741518</v>
      </c>
      <c r="O272" s="149">
        <v>0.32600179383924177</v>
      </c>
      <c r="P272" s="149">
        <v>0.29598993297664689</v>
      </c>
      <c r="Q272" s="149">
        <v>0.38591247424109398</v>
      </c>
      <c r="R272" s="149">
        <v>0.42952916433520594</v>
      </c>
      <c r="S272" s="149">
        <v>0.42981232277090142</v>
      </c>
      <c r="T272" s="149">
        <v>0.42967748542057022</v>
      </c>
      <c r="U272" s="149">
        <v>0.42978115467766609</v>
      </c>
      <c r="V272" s="149">
        <v>0.42992947576303037</v>
      </c>
      <c r="W272" s="149">
        <v>0.40570337951208735</v>
      </c>
      <c r="X272" s="149">
        <v>0.40604946204460396</v>
      </c>
      <c r="Y272" s="149">
        <v>0.37730112360249479</v>
      </c>
      <c r="Z272" s="149">
        <v>0.43365036061596052</v>
      </c>
      <c r="AA272" s="149">
        <v>0.42568757738339497</v>
      </c>
      <c r="AB272" s="149">
        <v>0.41771131041579623</v>
      </c>
      <c r="AC272" s="149">
        <v>0.43269868442315607</v>
      </c>
      <c r="AD272" s="149">
        <v>0.44836472384886239</v>
      </c>
      <c r="AE272" s="149">
        <v>0.44863773462332024</v>
      </c>
      <c r="AF272" s="149">
        <v>0.44067495139075469</v>
      </c>
      <c r="AG272" s="149">
        <v>0.43242567364869816</v>
      </c>
      <c r="AH272" s="149">
        <v>0.38999126109734167</v>
      </c>
      <c r="AI272" s="149">
        <v>0.43297448925157189</v>
      </c>
      <c r="AJ272" s="149">
        <v>0.38197198083420053</v>
      </c>
      <c r="AK272" s="149">
        <v>0.41299832278654547</v>
      </c>
      <c r="AL272" s="149">
        <v>0.40567491622307283</v>
      </c>
      <c r="AM272" s="149">
        <v>0.40913733127019636</v>
      </c>
    </row>
    <row r="273" spans="5:39" x14ac:dyDescent="0.25">
      <c r="E273" s="335"/>
      <c r="F273" s="2" t="s">
        <v>941</v>
      </c>
      <c r="G273" s="150">
        <v>0.46429861363954372</v>
      </c>
      <c r="H273" s="150">
        <v>0.46429861363954372</v>
      </c>
      <c r="I273" s="150">
        <v>0.46429861363954372</v>
      </c>
      <c r="J273" s="150">
        <v>0.33373532628713054</v>
      </c>
      <c r="K273" s="150">
        <v>0.46429861363954372</v>
      </c>
      <c r="L273" s="150">
        <v>0.46429861363954372</v>
      </c>
      <c r="M273" s="150">
        <v>0.46429861363954372</v>
      </c>
      <c r="N273" s="150">
        <v>0.46429861363954372</v>
      </c>
      <c r="O273" s="150">
        <v>0.46000109827856978</v>
      </c>
      <c r="P273" s="150">
        <v>0.41765320566241732</v>
      </c>
      <c r="Q273" s="150">
        <v>0.40470934609143355</v>
      </c>
      <c r="R273" s="150">
        <v>0.44627352414242177</v>
      </c>
      <c r="S273" s="150">
        <v>0.44656772095949715</v>
      </c>
      <c r="T273" s="150">
        <v>0.44642762723708029</v>
      </c>
      <c r="U273" s="150">
        <v>0.44653533783871319</v>
      </c>
      <c r="V273" s="150">
        <v>0.44668944093337165</v>
      </c>
      <c r="W273" s="150">
        <v>0.4215189373964231</v>
      </c>
      <c r="X273" s="150">
        <v>0.42187851128395965</v>
      </c>
      <c r="Y273" s="150">
        <v>0.39200947473167835</v>
      </c>
      <c r="Z273" s="150">
        <v>0.45055537725184108</v>
      </c>
      <c r="AA273" s="150">
        <v>0.44228218038829592</v>
      </c>
      <c r="AB273" s="150">
        <v>0.43399497415250898</v>
      </c>
      <c r="AC273" s="150">
        <v>0.44956660181196467</v>
      </c>
      <c r="AD273" s="150">
        <v>0.46584335134231331</v>
      </c>
      <c r="AE273" s="150">
        <v>0.46612700491129672</v>
      </c>
      <c r="AF273" s="150">
        <v>0.4578538080477515</v>
      </c>
      <c r="AG273" s="150">
        <v>0.44928294824298115</v>
      </c>
      <c r="AH273" s="150">
        <v>0.40519431257718852</v>
      </c>
      <c r="AI273" s="150">
        <v>0.44985315835567025</v>
      </c>
      <c r="AJ273" s="150">
        <v>0.39686241625611623</v>
      </c>
      <c r="AK273" s="150">
        <v>0.42909825985884587</v>
      </c>
      <c r="AL273" s="150">
        <v>0.42148936452139646</v>
      </c>
      <c r="AM273" s="150">
        <v>0.4250867550909404</v>
      </c>
    </row>
    <row r="274" spans="5:39" x14ac:dyDescent="0.25">
      <c r="E274" s="335"/>
      <c r="F274" s="2" t="s">
        <v>902</v>
      </c>
      <c r="G274" s="150">
        <v>0.92435808527998775</v>
      </c>
      <c r="H274" s="150">
        <v>0.92435808527998775</v>
      </c>
      <c r="I274" s="150">
        <v>0.92435808527998775</v>
      </c>
      <c r="J274" s="150">
        <v>0.60874447626262929</v>
      </c>
      <c r="K274" s="150">
        <v>0.92081648342067746</v>
      </c>
      <c r="L274" s="150">
        <v>0.92081648342067746</v>
      </c>
      <c r="M274" s="150">
        <v>0.92081648342067746</v>
      </c>
      <c r="N274" s="150">
        <v>0.92081648342067746</v>
      </c>
      <c r="O274" s="150">
        <v>1.701233047808568</v>
      </c>
      <c r="P274" s="150">
        <v>1.701233047808568</v>
      </c>
      <c r="Q274" s="150">
        <v>1.701233047808568</v>
      </c>
      <c r="R274" s="150">
        <v>1.701233047808568</v>
      </c>
      <c r="S274" s="150">
        <v>1.701233047808568</v>
      </c>
      <c r="T274" s="150">
        <v>1.701233047808568</v>
      </c>
      <c r="U274" s="150">
        <v>1.701233047808568</v>
      </c>
      <c r="V274" s="150">
        <v>1.701233047808568</v>
      </c>
      <c r="W274" s="150">
        <v>1.701233047808568</v>
      </c>
      <c r="X274" s="150">
        <v>1.701233047808568</v>
      </c>
      <c r="Y274" s="150">
        <v>1.701233047808568</v>
      </c>
      <c r="Z274" s="150">
        <v>1.701233047808568</v>
      </c>
      <c r="AA274" s="150">
        <v>1.701233047808568</v>
      </c>
      <c r="AB274" s="150">
        <v>1.701233047808568</v>
      </c>
      <c r="AC274" s="150">
        <v>1.701233047808568</v>
      </c>
      <c r="AD274" s="150">
        <v>1.701233047808568</v>
      </c>
      <c r="AE274" s="150">
        <v>1.701233047808568</v>
      </c>
      <c r="AF274" s="150">
        <v>1.701233047808568</v>
      </c>
      <c r="AG274" s="150">
        <v>1.701233047808568</v>
      </c>
      <c r="AH274" s="150">
        <v>1.701233047808568</v>
      </c>
      <c r="AI274" s="150">
        <v>1.701233047808568</v>
      </c>
      <c r="AJ274" s="150">
        <v>1.701233047808568</v>
      </c>
      <c r="AK274" s="150">
        <v>1.701233047808568</v>
      </c>
      <c r="AL274" s="150">
        <v>1.701233047808568</v>
      </c>
      <c r="AM274" s="150">
        <v>1.701233047808568</v>
      </c>
    </row>
    <row r="275" spans="5:39" x14ac:dyDescent="0.25">
      <c r="E275" s="335"/>
      <c r="F275" s="151" t="s">
        <v>868</v>
      </c>
      <c r="G275" s="150" t="s">
        <v>898</v>
      </c>
      <c r="H275" s="150" t="s">
        <v>898</v>
      </c>
      <c r="I275" s="150" t="s">
        <v>898</v>
      </c>
      <c r="J275" s="150" t="s">
        <v>898</v>
      </c>
      <c r="K275" s="150" t="s">
        <v>898</v>
      </c>
      <c r="L275" s="150" t="s">
        <v>898</v>
      </c>
      <c r="M275" s="150" t="s">
        <v>898</v>
      </c>
      <c r="N275" s="150" t="s">
        <v>898</v>
      </c>
      <c r="O275" s="150" t="s">
        <v>898</v>
      </c>
      <c r="P275" s="150" t="s">
        <v>898</v>
      </c>
      <c r="Q275" s="150" t="s">
        <v>898</v>
      </c>
      <c r="R275" s="150" t="s">
        <v>898</v>
      </c>
      <c r="S275" s="150" t="s">
        <v>898</v>
      </c>
      <c r="T275" s="150" t="s">
        <v>898</v>
      </c>
      <c r="U275" s="150" t="s">
        <v>898</v>
      </c>
      <c r="V275" s="150" t="s">
        <v>898</v>
      </c>
      <c r="W275" s="150" t="s">
        <v>898</v>
      </c>
      <c r="X275" s="150" t="s">
        <v>898</v>
      </c>
      <c r="Y275" s="150" t="s">
        <v>898</v>
      </c>
      <c r="Z275" s="150" t="s">
        <v>898</v>
      </c>
      <c r="AA275" s="150" t="s">
        <v>898</v>
      </c>
      <c r="AB275" s="150" t="s">
        <v>898</v>
      </c>
      <c r="AC275" s="150" t="s">
        <v>898</v>
      </c>
      <c r="AD275" s="150" t="s">
        <v>898</v>
      </c>
      <c r="AE275" s="150" t="s">
        <v>898</v>
      </c>
      <c r="AF275" s="150" t="s">
        <v>898</v>
      </c>
      <c r="AG275" s="150" t="s">
        <v>898</v>
      </c>
      <c r="AH275" s="150" t="s">
        <v>898</v>
      </c>
      <c r="AI275" s="150" t="s">
        <v>898</v>
      </c>
      <c r="AJ275" s="150" t="s">
        <v>898</v>
      </c>
      <c r="AK275" s="150" t="s">
        <v>898</v>
      </c>
      <c r="AL275" s="150" t="s">
        <v>898</v>
      </c>
      <c r="AM275" s="150" t="s">
        <v>898</v>
      </c>
    </row>
    <row r="276" spans="5:39" x14ac:dyDescent="0.25">
      <c r="E276" s="335"/>
      <c r="F276" s="2" t="s">
        <v>865</v>
      </c>
      <c r="G276" s="150">
        <v>0.37553788276702138</v>
      </c>
      <c r="H276" s="150">
        <v>0.37553788276702138</v>
      </c>
      <c r="I276" s="150">
        <v>0.37553788276702138</v>
      </c>
      <c r="J276" s="150">
        <v>0.32369506911090878</v>
      </c>
      <c r="K276" s="150">
        <v>0.37548793030265715</v>
      </c>
      <c r="L276" s="150">
        <v>0.37548793030265715</v>
      </c>
      <c r="M276" s="150">
        <v>0.37548793030265715</v>
      </c>
      <c r="N276" s="150">
        <v>0.37548793030265715</v>
      </c>
      <c r="O276" s="150">
        <v>0.2098678773327626</v>
      </c>
      <c r="P276" s="150">
        <v>0.19054735317287119</v>
      </c>
      <c r="Q276" s="150">
        <v>0.24097117701726309</v>
      </c>
      <c r="R276" s="150">
        <v>0.18976936752488593</v>
      </c>
      <c r="S276" s="150">
        <v>0.18989446915176714</v>
      </c>
      <c r="T276" s="150">
        <v>0.18983489694849037</v>
      </c>
      <c r="U276" s="150">
        <v>0.18988069884271405</v>
      </c>
      <c r="V276" s="150">
        <v>0.18994622826631849</v>
      </c>
      <c r="W276" s="150">
        <v>0.17924294815202413</v>
      </c>
      <c r="X276" s="150">
        <v>0.17939585014043449</v>
      </c>
      <c r="Y276" s="150">
        <v>0.16669460781153669</v>
      </c>
      <c r="Z276" s="150">
        <v>0.19159014449786552</v>
      </c>
      <c r="AA276" s="150">
        <v>0.18807212415547389</v>
      </c>
      <c r="AB276" s="150">
        <v>0.18454814659275454</v>
      </c>
      <c r="AC276" s="150">
        <v>0.22012724747444909</v>
      </c>
      <c r="AD276" s="150">
        <v>0.22809704784997892</v>
      </c>
      <c r="AE276" s="150">
        <v>0.22823593690251301</v>
      </c>
      <c r="AF276" s="150">
        <v>0.2241850219856879</v>
      </c>
      <c r="AG276" s="150">
        <v>0.21998835842191497</v>
      </c>
      <c r="AH276" s="150">
        <v>0.198400656010529</v>
      </c>
      <c r="AI276" s="150">
        <v>0.19129153920630931</v>
      </c>
      <c r="AJ276" s="150">
        <v>0.16875822932145609</v>
      </c>
      <c r="AK276" s="150">
        <v>0.18246591154140526</v>
      </c>
      <c r="AL276" s="150">
        <v>0.17923037284677726</v>
      </c>
      <c r="AM276" s="150">
        <v>0.18076009508256122</v>
      </c>
    </row>
    <row r="277" spans="5:39" x14ac:dyDescent="0.25">
      <c r="E277" s="335"/>
      <c r="F277" s="2" t="s">
        <v>866</v>
      </c>
      <c r="G277" s="150" t="s">
        <v>899</v>
      </c>
      <c r="H277" s="150" t="s">
        <v>899</v>
      </c>
      <c r="I277" s="150" t="s">
        <v>899</v>
      </c>
      <c r="J277" s="150" t="s">
        <v>899</v>
      </c>
      <c r="K277" s="150" t="s">
        <v>899</v>
      </c>
      <c r="L277" s="150" t="s">
        <v>899</v>
      </c>
      <c r="M277" s="150" t="s">
        <v>899</v>
      </c>
      <c r="N277" s="150" t="s">
        <v>899</v>
      </c>
      <c r="O277" s="150" t="s">
        <v>899</v>
      </c>
      <c r="P277" s="150" t="s">
        <v>899</v>
      </c>
      <c r="Q277" s="150" t="s">
        <v>899</v>
      </c>
      <c r="R277" s="150" t="s">
        <v>899</v>
      </c>
      <c r="S277" s="150" t="s">
        <v>899</v>
      </c>
      <c r="T277" s="150" t="s">
        <v>899</v>
      </c>
      <c r="U277" s="150" t="s">
        <v>899</v>
      </c>
      <c r="V277" s="150" t="s">
        <v>899</v>
      </c>
      <c r="W277" s="150" t="s">
        <v>899</v>
      </c>
      <c r="X277" s="150" t="s">
        <v>899</v>
      </c>
      <c r="Y277" s="150" t="s">
        <v>899</v>
      </c>
      <c r="Z277" s="150" t="s">
        <v>899</v>
      </c>
      <c r="AA277" s="150" t="s">
        <v>899</v>
      </c>
      <c r="AB277" s="150" t="s">
        <v>899</v>
      </c>
      <c r="AC277" s="150" t="s">
        <v>899</v>
      </c>
      <c r="AD277" s="150" t="s">
        <v>899</v>
      </c>
      <c r="AE277" s="150" t="s">
        <v>899</v>
      </c>
      <c r="AF277" s="150" t="s">
        <v>899</v>
      </c>
      <c r="AG277" s="150" t="s">
        <v>899</v>
      </c>
      <c r="AH277" s="150" t="s">
        <v>899</v>
      </c>
      <c r="AI277" s="150" t="s">
        <v>899</v>
      </c>
      <c r="AJ277" s="150" t="s">
        <v>899</v>
      </c>
      <c r="AK277" s="150" t="s">
        <v>899</v>
      </c>
      <c r="AL277" s="150" t="s">
        <v>899</v>
      </c>
      <c r="AM277" s="150" t="s">
        <v>899</v>
      </c>
    </row>
    <row r="278" spans="5:39" x14ac:dyDescent="0.25">
      <c r="E278" s="335"/>
      <c r="F278" s="2" t="s">
        <v>867</v>
      </c>
      <c r="G278" s="150" t="s">
        <v>899</v>
      </c>
      <c r="H278" s="150" t="s">
        <v>899</v>
      </c>
      <c r="I278" s="150" t="s">
        <v>899</v>
      </c>
      <c r="J278" s="150" t="s">
        <v>899</v>
      </c>
      <c r="K278" s="150" t="s">
        <v>899</v>
      </c>
      <c r="L278" s="150" t="s">
        <v>899</v>
      </c>
      <c r="M278" s="150" t="s">
        <v>899</v>
      </c>
      <c r="N278" s="150" t="s">
        <v>899</v>
      </c>
      <c r="O278" s="150" t="s">
        <v>2081</v>
      </c>
      <c r="P278" s="150" t="s">
        <v>2081</v>
      </c>
      <c r="Q278" s="150" t="s">
        <v>899</v>
      </c>
      <c r="R278" s="150" t="s">
        <v>899</v>
      </c>
      <c r="S278" s="150" t="s">
        <v>899</v>
      </c>
      <c r="T278" s="150" t="s">
        <v>899</v>
      </c>
      <c r="U278" s="150" t="s">
        <v>899</v>
      </c>
      <c r="V278" s="150" t="s">
        <v>899</v>
      </c>
      <c r="W278" s="150" t="s">
        <v>899</v>
      </c>
      <c r="X278" s="150" t="s">
        <v>899</v>
      </c>
      <c r="Y278" s="150" t="s">
        <v>899</v>
      </c>
      <c r="Z278" s="150" t="s">
        <v>899</v>
      </c>
      <c r="AA278" s="150" t="s">
        <v>899</v>
      </c>
      <c r="AB278" s="150" t="s">
        <v>899</v>
      </c>
      <c r="AC278" s="150" t="s">
        <v>899</v>
      </c>
      <c r="AD278" s="150" t="s">
        <v>899</v>
      </c>
      <c r="AE278" s="150" t="s">
        <v>899</v>
      </c>
      <c r="AF278" s="150" t="s">
        <v>899</v>
      </c>
      <c r="AG278" s="150" t="s">
        <v>899</v>
      </c>
      <c r="AH278" s="150" t="s">
        <v>899</v>
      </c>
      <c r="AI278" s="150" t="s">
        <v>899</v>
      </c>
      <c r="AJ278" s="150" t="s">
        <v>899</v>
      </c>
      <c r="AK278" s="150" t="s">
        <v>899</v>
      </c>
      <c r="AL278" s="150" t="s">
        <v>899</v>
      </c>
      <c r="AM278" s="150" t="s">
        <v>899</v>
      </c>
    </row>
    <row r="279" spans="5:39" x14ac:dyDescent="0.25">
      <c r="E279" s="335"/>
      <c r="F279" s="2" t="s">
        <v>903</v>
      </c>
      <c r="G279" s="150">
        <v>0.69883364456102093</v>
      </c>
      <c r="H279" s="150">
        <v>0.69883364456102093</v>
      </c>
      <c r="I279" s="150">
        <v>0.69883364456102093</v>
      </c>
      <c r="J279" s="150">
        <v>0.65405968096456746</v>
      </c>
      <c r="K279" s="150">
        <v>0.69883364456102093</v>
      </c>
      <c r="L279" s="150">
        <v>0.69883364456102093</v>
      </c>
      <c r="M279" s="150">
        <v>0.69883364456102093</v>
      </c>
      <c r="N279" s="150">
        <v>0.69883364456102093</v>
      </c>
      <c r="O279" s="150">
        <v>0.85612239219284325</v>
      </c>
      <c r="P279" s="150">
        <v>0.77730740834489032</v>
      </c>
      <c r="Q279" s="150">
        <v>0.80975930260615381</v>
      </c>
      <c r="R279" s="150">
        <v>0.72742404711360098</v>
      </c>
      <c r="S279" s="150">
        <v>0.7279035867406406</v>
      </c>
      <c r="T279" s="150">
        <v>0.72767523453728833</v>
      </c>
      <c r="U279" s="150">
        <v>0.72785080238417643</v>
      </c>
      <c r="V279" s="150">
        <v>0.72810198980786378</v>
      </c>
      <c r="W279" s="150">
        <v>0.68707417040961716</v>
      </c>
      <c r="X279" s="150">
        <v>0.68766027439822108</v>
      </c>
      <c r="Y279" s="150">
        <v>0.6389738651069754</v>
      </c>
      <c r="Z279" s="150">
        <v>0.73440345043801991</v>
      </c>
      <c r="AA279" s="150">
        <v>0.72091817286836735</v>
      </c>
      <c r="AB279" s="150">
        <v>0.70741006007837948</v>
      </c>
      <c r="AC279" s="150">
        <v>0.73279175045303058</v>
      </c>
      <c r="AD279" s="150">
        <v>0.75932278663756125</v>
      </c>
      <c r="AE279" s="150">
        <v>0.7597851408126709</v>
      </c>
      <c r="AF279" s="150">
        <v>0.74629986324301834</v>
      </c>
      <c r="AG279" s="150">
        <v>0.73232939627792082</v>
      </c>
      <c r="AH279" s="150">
        <v>0.66046509769700645</v>
      </c>
      <c r="AI279" s="150">
        <v>0.73325883646524648</v>
      </c>
      <c r="AJ279" s="150">
        <v>0.64688414024797991</v>
      </c>
      <c r="AK279" s="150">
        <v>0.69942843549982014</v>
      </c>
      <c r="AL279" s="150">
        <v>0.68702596674242</v>
      </c>
      <c r="AM279" s="150">
        <v>0.69288969888331842</v>
      </c>
    </row>
    <row r="280" spans="5:39" x14ac:dyDescent="0.25">
      <c r="E280" s="335"/>
      <c r="F280" s="2" t="s">
        <v>869</v>
      </c>
      <c r="G280" s="150" t="s">
        <v>899</v>
      </c>
      <c r="H280" s="150" t="s">
        <v>899</v>
      </c>
      <c r="I280" s="150" t="s">
        <v>899</v>
      </c>
      <c r="J280" s="150" t="s">
        <v>899</v>
      </c>
      <c r="K280" s="150" t="s">
        <v>899</v>
      </c>
      <c r="L280" s="150" t="s">
        <v>899</v>
      </c>
      <c r="M280" s="150" t="s">
        <v>899</v>
      </c>
      <c r="N280" s="150" t="s">
        <v>899</v>
      </c>
      <c r="O280" s="150" t="s">
        <v>899</v>
      </c>
      <c r="P280" s="150" t="s">
        <v>899</v>
      </c>
      <c r="Q280" s="150" t="s">
        <v>899</v>
      </c>
      <c r="R280" s="150" t="s">
        <v>899</v>
      </c>
      <c r="S280" s="150" t="s">
        <v>899</v>
      </c>
      <c r="T280" s="150" t="s">
        <v>899</v>
      </c>
      <c r="U280" s="150" t="s">
        <v>899</v>
      </c>
      <c r="V280" s="150" t="s">
        <v>899</v>
      </c>
      <c r="W280" s="150" t="s">
        <v>899</v>
      </c>
      <c r="X280" s="150" t="s">
        <v>899</v>
      </c>
      <c r="Y280" s="150" t="s">
        <v>899</v>
      </c>
      <c r="Z280" s="150" t="s">
        <v>899</v>
      </c>
      <c r="AA280" s="150" t="s">
        <v>899</v>
      </c>
      <c r="AB280" s="150" t="s">
        <v>899</v>
      </c>
      <c r="AC280" s="150" t="s">
        <v>899</v>
      </c>
      <c r="AD280" s="150" t="s">
        <v>899</v>
      </c>
      <c r="AE280" s="150" t="s">
        <v>899</v>
      </c>
      <c r="AF280" s="150" t="s">
        <v>899</v>
      </c>
      <c r="AG280" s="150" t="s">
        <v>899</v>
      </c>
      <c r="AH280" s="150" t="s">
        <v>899</v>
      </c>
      <c r="AI280" s="150" t="s">
        <v>899</v>
      </c>
      <c r="AJ280" s="150" t="s">
        <v>899</v>
      </c>
      <c r="AK280" s="150" t="s">
        <v>899</v>
      </c>
      <c r="AL280" s="150" t="s">
        <v>899</v>
      </c>
      <c r="AM280" s="150" t="s">
        <v>899</v>
      </c>
    </row>
    <row r="281" spans="5:39" x14ac:dyDescent="0.25">
      <c r="E281" s="335"/>
      <c r="F281" s="2" t="s">
        <v>904</v>
      </c>
      <c r="G281" s="150">
        <v>0.72222535546900724</v>
      </c>
      <c r="H281" s="150">
        <v>0.72222535546900724</v>
      </c>
      <c r="I281" s="150">
        <v>0.72222535546900724</v>
      </c>
      <c r="J281" s="150">
        <v>0.49556035372610119</v>
      </c>
      <c r="K281" s="150">
        <v>0.71998323066251202</v>
      </c>
      <c r="L281" s="150">
        <v>0.71998323066251202</v>
      </c>
      <c r="M281" s="150">
        <v>0.71998323066251202</v>
      </c>
      <c r="N281" s="150">
        <v>0.71998323066251202</v>
      </c>
      <c r="O281" s="150">
        <v>2.0350849704071625</v>
      </c>
      <c r="P281" s="150">
        <v>2.0727135720501697</v>
      </c>
      <c r="Q281" s="150">
        <v>1.3510901703913865</v>
      </c>
      <c r="R281" s="150">
        <v>1.3422814080502259</v>
      </c>
      <c r="S281" s="150">
        <v>1.3421264262069472</v>
      </c>
      <c r="T281" s="150">
        <v>1.3422002270846991</v>
      </c>
      <c r="U281" s="150">
        <v>1.3421434855205052</v>
      </c>
      <c r="V281" s="150">
        <v>1.3420623045549784</v>
      </c>
      <c r="W281" s="150">
        <v>1.3553220368429855</v>
      </c>
      <c r="X281" s="150">
        <v>1.3551326145900895</v>
      </c>
      <c r="Y281" s="150">
        <v>1.3708675174617213</v>
      </c>
      <c r="Z281" s="150">
        <v>1.3400257429681139</v>
      </c>
      <c r="AA281" s="150">
        <v>1.3443840338308912</v>
      </c>
      <c r="AB281" s="150">
        <v>1.3487497047814438</v>
      </c>
      <c r="AC281" s="150">
        <v>1.3046726230175825</v>
      </c>
      <c r="AD281" s="150">
        <v>1.2947992553919652</v>
      </c>
      <c r="AE281" s="150">
        <v>1.2946271930302715</v>
      </c>
      <c r="AF281" s="150">
        <v>1.2996456590280789</v>
      </c>
      <c r="AG281" s="150">
        <v>1.3048446853792763</v>
      </c>
      <c r="AH281" s="150">
        <v>1.3315885575036597</v>
      </c>
      <c r="AI281" s="150">
        <v>1.3403956694003418</v>
      </c>
      <c r="AJ281" s="150">
        <v>2.7366220100426379</v>
      </c>
      <c r="AK281" s="150">
        <v>2.7026585531238831</v>
      </c>
      <c r="AL281" s="150">
        <v>2.7106752314580249</v>
      </c>
      <c r="AM281" s="150">
        <v>2.7068850461867977</v>
      </c>
    </row>
    <row r="282" spans="5:39" x14ac:dyDescent="0.25">
      <c r="E282" s="335"/>
      <c r="F282" s="2" t="s">
        <v>905</v>
      </c>
      <c r="G282" s="150">
        <v>0.42899961365018247</v>
      </c>
      <c r="H282" s="150">
        <v>1.1372742184455362</v>
      </c>
      <c r="I282" s="150">
        <v>1.1372742184455362</v>
      </c>
      <c r="J282" s="150">
        <v>0.44930384907756415</v>
      </c>
      <c r="K282" s="150">
        <v>0.30415562988335554</v>
      </c>
      <c r="L282" s="150">
        <v>0.30415562988335554</v>
      </c>
      <c r="M282" s="150">
        <v>0.30415562988335554</v>
      </c>
      <c r="N282" s="150">
        <v>0.30415562988335554</v>
      </c>
      <c r="O282" s="150">
        <v>-1.0354637852298896</v>
      </c>
      <c r="P282" s="150">
        <v>-1.316275154645874</v>
      </c>
      <c r="Q282" s="150">
        <v>-2.342319924574614</v>
      </c>
      <c r="R282" s="150">
        <v>2.6302467099585853</v>
      </c>
      <c r="S282" s="150">
        <v>2.6779845750219029</v>
      </c>
      <c r="T282" s="150">
        <v>2.6541970483828718</v>
      </c>
      <c r="U282" s="150">
        <v>2.641663538121946</v>
      </c>
      <c r="V282" s="150">
        <v>2.6658283433282546</v>
      </c>
      <c r="W282" s="150">
        <v>1.9457904850406125</v>
      </c>
      <c r="X282" s="150">
        <v>1.9729986824630585</v>
      </c>
      <c r="Y282" s="150">
        <v>-2.0774872023857682</v>
      </c>
      <c r="Z282" s="150">
        <v>-2.5061156805282865</v>
      </c>
      <c r="AA282" s="150">
        <v>-2.4815246720120223</v>
      </c>
      <c r="AB282" s="150">
        <v>-2.4567722248392836</v>
      </c>
      <c r="AC282" s="150">
        <v>-9.1157935071104568</v>
      </c>
      <c r="AD282" s="150">
        <v>-9.2538211346709591</v>
      </c>
      <c r="AE282" s="150">
        <v>-9.0023084398375222</v>
      </c>
      <c r="AF282" s="150">
        <v>-9.0564069860582741</v>
      </c>
      <c r="AG282" s="150">
        <v>-9.3825184043173628</v>
      </c>
      <c r="AH282" s="150">
        <v>-3.4140632049627921</v>
      </c>
      <c r="AI282" s="150">
        <v>-6.1546258834035301</v>
      </c>
      <c r="AJ282" s="150">
        <v>1.9356712874653441</v>
      </c>
      <c r="AK282" s="150">
        <v>-3.3883048422302728</v>
      </c>
      <c r="AL282" s="150">
        <v>-1.2043976406341126</v>
      </c>
      <c r="AM282" s="150">
        <v>-0.99165471698689411</v>
      </c>
    </row>
    <row r="283" spans="5:39" ht="15.75" thickBot="1" x14ac:dyDescent="0.3">
      <c r="E283" s="336"/>
      <c r="F283" s="2" t="s">
        <v>906</v>
      </c>
      <c r="G283" s="150">
        <v>0.83355831068668018</v>
      </c>
      <c r="H283" s="150">
        <v>2.2097557810109998</v>
      </c>
      <c r="I283" s="150">
        <v>2.2097557810109998</v>
      </c>
      <c r="J283" s="150">
        <v>0.73651275067355737</v>
      </c>
      <c r="K283" s="150">
        <v>0.59098294022742215</v>
      </c>
      <c r="L283" s="150">
        <v>0.59098294022742215</v>
      </c>
      <c r="M283" s="150">
        <v>0.59098294022742215</v>
      </c>
      <c r="N283" s="150">
        <v>0.59098294022742215</v>
      </c>
      <c r="O283" s="150">
        <v>-0.89721480665369979</v>
      </c>
      <c r="P283" s="150">
        <v>-1.1320929958297155</v>
      </c>
      <c r="Q283" s="150">
        <v>-2.0888181981475338</v>
      </c>
      <c r="R283" s="150">
        <v>5.7046442201946359</v>
      </c>
      <c r="S283" s="150">
        <v>5.8076577687609516</v>
      </c>
      <c r="T283" s="150">
        <v>5.7563174421296663</v>
      </c>
      <c r="U283" s="150">
        <v>5.7297231771963011</v>
      </c>
      <c r="V283" s="150">
        <v>5.7818633103043791</v>
      </c>
      <c r="W283" s="150">
        <v>4.1978167175134047</v>
      </c>
      <c r="X283" s="150">
        <v>4.2560357217966382</v>
      </c>
      <c r="Y283" s="150">
        <v>-1.8597037663417846</v>
      </c>
      <c r="Z283" s="150">
        <v>-2.2366838093855343</v>
      </c>
      <c r="AA283" s="150">
        <v>-2.2062751700917675</v>
      </c>
      <c r="AB283" s="150">
        <v>-2.1755809283741829</v>
      </c>
      <c r="AC283" s="150">
        <v>-8.0364087106911715</v>
      </c>
      <c r="AD283" s="150">
        <v>-8.2221798590363129</v>
      </c>
      <c r="AE283" s="150">
        <v>-7.9980650516597809</v>
      </c>
      <c r="AF283" s="150">
        <v>-8.0156369312976832</v>
      </c>
      <c r="AG283" s="150">
        <v>-8.2722037559943864</v>
      </c>
      <c r="AH283" s="150">
        <v>-3.0426265298259532</v>
      </c>
      <c r="AI283" s="150">
        <v>-5.4579912066074083</v>
      </c>
      <c r="AJ283" s="150">
        <v>4.1508631783604821</v>
      </c>
      <c r="AK283" s="150">
        <v>-3.0314430804503179</v>
      </c>
      <c r="AL283" s="150">
        <v>-1.0802282581816596</v>
      </c>
      <c r="AM283" s="150">
        <v>-0.89162606915025511</v>
      </c>
    </row>
    <row r="284" spans="5:39" ht="15" customHeight="1" x14ac:dyDescent="0.25">
      <c r="E284" s="334" t="s">
        <v>881</v>
      </c>
      <c r="F284" s="153" t="s">
        <v>889</v>
      </c>
      <c r="G284" s="150" t="s">
        <v>929</v>
      </c>
      <c r="H284" s="150" t="s">
        <v>929</v>
      </c>
      <c r="I284" s="150" t="s">
        <v>929</v>
      </c>
      <c r="J284" s="150" t="s">
        <v>929</v>
      </c>
      <c r="K284" s="150" t="s">
        <v>929</v>
      </c>
      <c r="L284" s="150" t="s">
        <v>929</v>
      </c>
      <c r="M284" s="150" t="s">
        <v>929</v>
      </c>
      <c r="N284" s="150" t="s">
        <v>929</v>
      </c>
      <c r="O284" s="150" t="s">
        <v>2082</v>
      </c>
      <c r="P284" s="150" t="s">
        <v>2082</v>
      </c>
      <c r="Q284" s="150" t="s">
        <v>2082</v>
      </c>
      <c r="R284" s="150" t="s">
        <v>2082</v>
      </c>
      <c r="S284" s="150" t="s">
        <v>2082</v>
      </c>
      <c r="T284" s="150" t="s">
        <v>2082</v>
      </c>
      <c r="U284" s="150" t="s">
        <v>2082</v>
      </c>
      <c r="V284" s="150" t="s">
        <v>2082</v>
      </c>
      <c r="W284" s="150" t="s">
        <v>2082</v>
      </c>
      <c r="X284" s="150" t="s">
        <v>2082</v>
      </c>
      <c r="Y284" s="150" t="s">
        <v>2082</v>
      </c>
      <c r="Z284" s="150" t="s">
        <v>2082</v>
      </c>
      <c r="AA284" s="150" t="s">
        <v>2082</v>
      </c>
      <c r="AB284" s="150" t="s">
        <v>2082</v>
      </c>
      <c r="AC284" s="150" t="s">
        <v>2082</v>
      </c>
      <c r="AD284" s="150" t="s">
        <v>2082</v>
      </c>
      <c r="AE284" s="150" t="s">
        <v>2082</v>
      </c>
      <c r="AF284" s="150" t="s">
        <v>2082</v>
      </c>
      <c r="AG284" s="150" t="s">
        <v>2082</v>
      </c>
      <c r="AH284" s="150" t="s">
        <v>2082</v>
      </c>
      <c r="AI284" s="150" t="s">
        <v>2082</v>
      </c>
      <c r="AJ284" s="150" t="s">
        <v>2082</v>
      </c>
      <c r="AK284" s="150" t="s">
        <v>2082</v>
      </c>
      <c r="AL284" s="150" t="s">
        <v>2082</v>
      </c>
      <c r="AM284" s="150" t="s">
        <v>2082</v>
      </c>
    </row>
    <row r="285" spans="5:39" x14ac:dyDescent="0.25">
      <c r="E285" s="335"/>
      <c r="F285" s="151" t="s">
        <v>890</v>
      </c>
      <c r="G285" s="150" t="s">
        <v>907</v>
      </c>
      <c r="H285" s="150" t="s">
        <v>907</v>
      </c>
      <c r="I285" s="150" t="s">
        <v>907</v>
      </c>
      <c r="J285" s="150" t="s">
        <v>907</v>
      </c>
      <c r="K285" s="150" t="s">
        <v>907</v>
      </c>
      <c r="L285" s="150" t="s">
        <v>907</v>
      </c>
      <c r="M285" s="150" t="s">
        <v>907</v>
      </c>
      <c r="N285" s="150" t="s">
        <v>907</v>
      </c>
      <c r="O285" s="150" t="s">
        <v>907</v>
      </c>
      <c r="P285" s="150" t="s">
        <v>907</v>
      </c>
      <c r="Q285" s="150" t="s">
        <v>2083</v>
      </c>
      <c r="R285" s="150" t="s">
        <v>907</v>
      </c>
      <c r="S285" s="150" t="s">
        <v>907</v>
      </c>
      <c r="T285" s="150" t="s">
        <v>907</v>
      </c>
      <c r="U285" s="150" t="s">
        <v>907</v>
      </c>
      <c r="V285" s="150" t="s">
        <v>907</v>
      </c>
      <c r="W285" s="150" t="s">
        <v>907</v>
      </c>
      <c r="X285" s="150" t="s">
        <v>907</v>
      </c>
      <c r="Y285" s="150" t="s">
        <v>2083</v>
      </c>
      <c r="Z285" s="150" t="s">
        <v>2083</v>
      </c>
      <c r="AA285" s="150" t="s">
        <v>2083</v>
      </c>
      <c r="AB285" s="150" t="s">
        <v>2083</v>
      </c>
      <c r="AC285" s="150" t="s">
        <v>2083</v>
      </c>
      <c r="AD285" s="150" t="s">
        <v>2083</v>
      </c>
      <c r="AE285" s="150" t="s">
        <v>2083</v>
      </c>
      <c r="AF285" s="150" t="s">
        <v>2083</v>
      </c>
      <c r="AG285" s="150" t="s">
        <v>2083</v>
      </c>
      <c r="AH285" s="150" t="s">
        <v>2083</v>
      </c>
      <c r="AI285" s="150" t="s">
        <v>2083</v>
      </c>
      <c r="AJ285" s="150" t="s">
        <v>907</v>
      </c>
      <c r="AK285" s="150" t="s">
        <v>2083</v>
      </c>
      <c r="AL285" s="150" t="s">
        <v>907</v>
      </c>
      <c r="AM285" s="150" t="s">
        <v>907</v>
      </c>
    </row>
    <row r="286" spans="5:39" x14ac:dyDescent="0.25">
      <c r="E286" s="335"/>
      <c r="F286" s="151" t="s">
        <v>870</v>
      </c>
      <c r="G286" s="150" t="s">
        <v>908</v>
      </c>
      <c r="H286" s="150" t="s">
        <v>908</v>
      </c>
      <c r="I286" s="150" t="s">
        <v>908</v>
      </c>
      <c r="J286" s="150" t="s">
        <v>908</v>
      </c>
      <c r="K286" s="150" t="s">
        <v>908</v>
      </c>
      <c r="L286" s="150" t="s">
        <v>908</v>
      </c>
      <c r="M286" s="150" t="s">
        <v>908</v>
      </c>
      <c r="N286" s="150" t="s">
        <v>908</v>
      </c>
      <c r="O286" s="150" t="s">
        <v>908</v>
      </c>
      <c r="P286" s="150" t="s">
        <v>908</v>
      </c>
      <c r="Q286" s="150" t="s">
        <v>908</v>
      </c>
      <c r="R286" s="150" t="s">
        <v>908</v>
      </c>
      <c r="S286" s="150" t="s">
        <v>908</v>
      </c>
      <c r="T286" s="150" t="s">
        <v>908</v>
      </c>
      <c r="U286" s="150" t="s">
        <v>908</v>
      </c>
      <c r="V286" s="150" t="s">
        <v>908</v>
      </c>
      <c r="W286" s="150" t="s">
        <v>908</v>
      </c>
      <c r="X286" s="150" t="s">
        <v>908</v>
      </c>
      <c r="Y286" s="150" t="s">
        <v>908</v>
      </c>
      <c r="Z286" s="150" t="s">
        <v>908</v>
      </c>
      <c r="AA286" s="150" t="s">
        <v>908</v>
      </c>
      <c r="AB286" s="150" t="s">
        <v>908</v>
      </c>
      <c r="AC286" s="150" t="s">
        <v>908</v>
      </c>
      <c r="AD286" s="150" t="s">
        <v>908</v>
      </c>
      <c r="AE286" s="150" t="s">
        <v>908</v>
      </c>
      <c r="AF286" s="150" t="s">
        <v>908</v>
      </c>
      <c r="AG286" s="150" t="s">
        <v>908</v>
      </c>
      <c r="AH286" s="150" t="s">
        <v>908</v>
      </c>
      <c r="AI286" s="150" t="s">
        <v>908</v>
      </c>
      <c r="AJ286" s="150" t="s">
        <v>908</v>
      </c>
      <c r="AK286" s="150" t="s">
        <v>908</v>
      </c>
      <c r="AL286" s="150" t="s">
        <v>908</v>
      </c>
      <c r="AM286" s="150" t="s">
        <v>908</v>
      </c>
    </row>
    <row r="287" spans="5:39" x14ac:dyDescent="0.25">
      <c r="E287" s="335"/>
      <c r="F287" s="148" t="s">
        <v>940</v>
      </c>
      <c r="G287" s="150">
        <v>0.49209010571592926</v>
      </c>
      <c r="H287" s="150">
        <v>0.6876725378649976</v>
      </c>
      <c r="I287" s="150">
        <v>0.6876725378649976</v>
      </c>
      <c r="J287" s="150">
        <v>0.38234069759255324</v>
      </c>
      <c r="K287" s="150">
        <v>0.3099242410820795</v>
      </c>
      <c r="L287" s="150">
        <v>0.3099242410820795</v>
      </c>
      <c r="M287" s="150">
        <v>0.3099242410820795</v>
      </c>
      <c r="N287" s="150">
        <v>0.3099242410820795</v>
      </c>
      <c r="O287" s="150">
        <v>1.2769548276944507</v>
      </c>
      <c r="P287" s="150">
        <v>1.1559774962566254</v>
      </c>
      <c r="Q287" s="150">
        <v>1.0898176174251437</v>
      </c>
      <c r="R287" s="150">
        <v>0.67811051189734828</v>
      </c>
      <c r="S287" s="150">
        <v>0.68383379669544508</v>
      </c>
      <c r="T287" s="150">
        <v>0.67855392099679179</v>
      </c>
      <c r="U287" s="150">
        <v>0.67861793107138058</v>
      </c>
      <c r="V287" s="150">
        <v>0.6790571220605105</v>
      </c>
      <c r="W287" s="150">
        <v>0.63715418588666295</v>
      </c>
      <c r="X287" s="150">
        <v>0.63788382536791843</v>
      </c>
      <c r="Y287" s="150">
        <v>0.9816238206721819</v>
      </c>
      <c r="Z287" s="150">
        <v>0.976942692288574</v>
      </c>
      <c r="AA287" s="150">
        <v>0.97788508328886248</v>
      </c>
      <c r="AB287" s="150">
        <v>0.97901086499041379</v>
      </c>
      <c r="AC287" s="150">
        <v>0.89642541150223332</v>
      </c>
      <c r="AD287" s="150">
        <v>0.89285753186253647</v>
      </c>
      <c r="AE287" s="150">
        <v>0.89468232736421494</v>
      </c>
      <c r="AF287" s="150">
        <v>0.89543610528780571</v>
      </c>
      <c r="AG287" s="150">
        <v>0.89457998148464324</v>
      </c>
      <c r="AH287" s="150">
        <v>0.96696252140025007</v>
      </c>
      <c r="AI287" s="150">
        <v>0.91090614617928967</v>
      </c>
      <c r="AJ287" s="150">
        <v>0.60825411153954601</v>
      </c>
      <c r="AK287" s="150">
        <v>0.93824597990937109</v>
      </c>
      <c r="AL287" s="150">
        <v>1.0793258586163565</v>
      </c>
      <c r="AM287" s="150">
        <v>1.1793338502366366</v>
      </c>
    </row>
    <row r="288" spans="5:39" x14ac:dyDescent="0.25">
      <c r="E288" s="335"/>
      <c r="F288" s="148" t="s">
        <v>872</v>
      </c>
      <c r="G288" s="150" t="s">
        <v>909</v>
      </c>
      <c r="H288" s="150" t="s">
        <v>909</v>
      </c>
      <c r="I288" s="150" t="s">
        <v>909</v>
      </c>
      <c r="J288" s="150" t="s">
        <v>909</v>
      </c>
      <c r="K288" s="150" t="s">
        <v>909</v>
      </c>
      <c r="L288" s="150" t="s">
        <v>909</v>
      </c>
      <c r="M288" s="150" t="s">
        <v>909</v>
      </c>
      <c r="N288" s="150" t="s">
        <v>909</v>
      </c>
      <c r="O288" s="150" t="s">
        <v>909</v>
      </c>
      <c r="P288" s="150" t="s">
        <v>909</v>
      </c>
      <c r="Q288" s="150" t="s">
        <v>909</v>
      </c>
      <c r="R288" s="150" t="s">
        <v>909</v>
      </c>
      <c r="S288" s="150" t="s">
        <v>909</v>
      </c>
      <c r="T288" s="150" t="s">
        <v>909</v>
      </c>
      <c r="U288" s="150" t="s">
        <v>909</v>
      </c>
      <c r="V288" s="150" t="s">
        <v>909</v>
      </c>
      <c r="W288" s="150" t="s">
        <v>909</v>
      </c>
      <c r="X288" s="150" t="s">
        <v>909</v>
      </c>
      <c r="Y288" s="150" t="s">
        <v>909</v>
      </c>
      <c r="Z288" s="150" t="s">
        <v>909</v>
      </c>
      <c r="AA288" s="150" t="s">
        <v>909</v>
      </c>
      <c r="AB288" s="150" t="s">
        <v>909</v>
      </c>
      <c r="AC288" s="150" t="s">
        <v>909</v>
      </c>
      <c r="AD288" s="150" t="s">
        <v>909</v>
      </c>
      <c r="AE288" s="150" t="s">
        <v>909</v>
      </c>
      <c r="AF288" s="150" t="s">
        <v>909</v>
      </c>
      <c r="AG288" s="150" t="s">
        <v>909</v>
      </c>
      <c r="AH288" s="150" t="s">
        <v>909</v>
      </c>
      <c r="AI288" s="150" t="s">
        <v>909</v>
      </c>
      <c r="AJ288" s="150" t="s">
        <v>909</v>
      </c>
      <c r="AK288" s="150" t="s">
        <v>909</v>
      </c>
      <c r="AL288" s="150" t="s">
        <v>909</v>
      </c>
      <c r="AM288" s="150" t="s">
        <v>909</v>
      </c>
    </row>
    <row r="289" spans="5:39" x14ac:dyDescent="0.25">
      <c r="E289" s="335"/>
      <c r="F289" s="148" t="s">
        <v>873</v>
      </c>
      <c r="G289" s="150" t="s">
        <v>910</v>
      </c>
      <c r="H289" s="150" t="s">
        <v>910</v>
      </c>
      <c r="I289" s="150" t="s">
        <v>910</v>
      </c>
      <c r="J289" s="150" t="s">
        <v>910</v>
      </c>
      <c r="K289" s="150" t="s">
        <v>910</v>
      </c>
      <c r="L289" s="150" t="s">
        <v>910</v>
      </c>
      <c r="M289" s="150" t="s">
        <v>910</v>
      </c>
      <c r="N289" s="150" t="s">
        <v>910</v>
      </c>
      <c r="O289" s="150" t="s">
        <v>910</v>
      </c>
      <c r="P289" s="150" t="s">
        <v>910</v>
      </c>
      <c r="Q289" s="150" t="s">
        <v>910</v>
      </c>
      <c r="R289" s="150" t="s">
        <v>910</v>
      </c>
      <c r="S289" s="150" t="s">
        <v>910</v>
      </c>
      <c r="T289" s="150" t="s">
        <v>910</v>
      </c>
      <c r="U289" s="150" t="s">
        <v>910</v>
      </c>
      <c r="V289" s="150" t="s">
        <v>910</v>
      </c>
      <c r="W289" s="150" t="s">
        <v>910</v>
      </c>
      <c r="X289" s="150" t="s">
        <v>910</v>
      </c>
      <c r="Y289" s="150" t="s">
        <v>910</v>
      </c>
      <c r="Z289" s="150" t="s">
        <v>910</v>
      </c>
      <c r="AA289" s="150" t="s">
        <v>910</v>
      </c>
      <c r="AB289" s="150" t="s">
        <v>910</v>
      </c>
      <c r="AC289" s="150" t="s">
        <v>910</v>
      </c>
      <c r="AD289" s="150" t="s">
        <v>910</v>
      </c>
      <c r="AE289" s="150" t="s">
        <v>910</v>
      </c>
      <c r="AF289" s="150" t="s">
        <v>910</v>
      </c>
      <c r="AG289" s="150" t="s">
        <v>910</v>
      </c>
      <c r="AH289" s="150" t="s">
        <v>910</v>
      </c>
      <c r="AI289" s="150" t="s">
        <v>910</v>
      </c>
      <c r="AJ289" s="150" t="s">
        <v>910</v>
      </c>
      <c r="AK289" s="150" t="s">
        <v>910</v>
      </c>
      <c r="AL289" s="150" t="s">
        <v>910</v>
      </c>
      <c r="AM289" s="150" t="s">
        <v>910</v>
      </c>
    </row>
    <row r="290" spans="5:39" x14ac:dyDescent="0.25">
      <c r="E290" s="335"/>
      <c r="F290" s="152" t="s">
        <v>874</v>
      </c>
      <c r="G290" s="150" t="s">
        <v>908</v>
      </c>
      <c r="H290" s="150" t="s">
        <v>908</v>
      </c>
      <c r="I290" s="150" t="s">
        <v>908</v>
      </c>
      <c r="J290" s="150" t="s">
        <v>908</v>
      </c>
      <c r="K290" s="150" t="s">
        <v>908</v>
      </c>
      <c r="L290" s="150" t="s">
        <v>908</v>
      </c>
      <c r="M290" s="150" t="s">
        <v>908</v>
      </c>
      <c r="N290" s="150" t="s">
        <v>908</v>
      </c>
      <c r="O290" s="150" t="s">
        <v>908</v>
      </c>
      <c r="P290" s="150" t="s">
        <v>908</v>
      </c>
      <c r="Q290" s="150" t="s">
        <v>908</v>
      </c>
      <c r="R290" s="150" t="s">
        <v>908</v>
      </c>
      <c r="S290" s="150" t="s">
        <v>908</v>
      </c>
      <c r="T290" s="150" t="s">
        <v>908</v>
      </c>
      <c r="U290" s="150" t="s">
        <v>908</v>
      </c>
      <c r="V290" s="150" t="s">
        <v>908</v>
      </c>
      <c r="W290" s="150" t="s">
        <v>908</v>
      </c>
      <c r="X290" s="150" t="s">
        <v>908</v>
      </c>
      <c r="Y290" s="150" t="s">
        <v>908</v>
      </c>
      <c r="Z290" s="150" t="s">
        <v>908</v>
      </c>
      <c r="AA290" s="150" t="s">
        <v>908</v>
      </c>
      <c r="AB290" s="150" t="s">
        <v>908</v>
      </c>
      <c r="AC290" s="150" t="s">
        <v>908</v>
      </c>
      <c r="AD290" s="150" t="s">
        <v>908</v>
      </c>
      <c r="AE290" s="150" t="s">
        <v>908</v>
      </c>
      <c r="AF290" s="150" t="s">
        <v>908</v>
      </c>
      <c r="AG290" s="150" t="s">
        <v>908</v>
      </c>
      <c r="AH290" s="150" t="s">
        <v>908</v>
      </c>
      <c r="AI290" s="150" t="s">
        <v>908</v>
      </c>
      <c r="AJ290" s="150" t="s">
        <v>908</v>
      </c>
      <c r="AK290" s="150" t="s">
        <v>908</v>
      </c>
      <c r="AL290" s="150" t="s">
        <v>908</v>
      </c>
      <c r="AM290" s="150" t="s">
        <v>908</v>
      </c>
    </row>
    <row r="291" spans="5:39" x14ac:dyDescent="0.25">
      <c r="E291" s="335"/>
      <c r="F291" s="148" t="s">
        <v>875</v>
      </c>
      <c r="G291" s="150">
        <v>0.40076033289635932</v>
      </c>
      <c r="H291" s="150">
        <v>0.63643590812664141</v>
      </c>
      <c r="I291" s="150">
        <v>0.63643590812664141</v>
      </c>
      <c r="J291" s="150">
        <v>0.22119862561626016</v>
      </c>
      <c r="K291" s="150">
        <v>0.25778972973078434</v>
      </c>
      <c r="L291" s="150">
        <v>0.25778972973078434</v>
      </c>
      <c r="M291" s="150">
        <v>0.25778972973078434</v>
      </c>
      <c r="N291" s="150">
        <v>0.25778972973078434</v>
      </c>
      <c r="O291" s="150">
        <v>3.7512945493804555</v>
      </c>
      <c r="P291" s="150">
        <v>2.2623414349000894</v>
      </c>
      <c r="Q291" s="150">
        <v>2.2090991535374584</v>
      </c>
      <c r="R291" s="150">
        <v>0.69672179663766398</v>
      </c>
      <c r="S291" s="150">
        <v>0.71224132979637655</v>
      </c>
      <c r="T291" s="150">
        <v>0.70477860812716786</v>
      </c>
      <c r="U291" s="150">
        <v>0.69754411083252954</v>
      </c>
      <c r="V291" s="150">
        <v>0.7055930994387688</v>
      </c>
      <c r="W291" s="150">
        <v>0.62141138673894203</v>
      </c>
      <c r="X291" s="150">
        <v>0.63825577579619341</v>
      </c>
      <c r="Y291" s="150">
        <v>1.3044410521620604</v>
      </c>
      <c r="Z291" s="150">
        <v>1.377845847460023</v>
      </c>
      <c r="AA291" s="150">
        <v>1.3864665077967622</v>
      </c>
      <c r="AB291" s="150">
        <v>1.3951039694297338</v>
      </c>
      <c r="AC291" s="150">
        <v>1.1137415706557061</v>
      </c>
      <c r="AD291" s="150">
        <v>1.1120075074701838</v>
      </c>
      <c r="AE291" s="150">
        <v>1.1168355485536381</v>
      </c>
      <c r="AF291" s="150">
        <v>1.1154059658195046</v>
      </c>
      <c r="AG291" s="150">
        <v>1.1087141829335554</v>
      </c>
      <c r="AH291" s="150">
        <v>1.1127096523571289</v>
      </c>
      <c r="AI291" s="150">
        <v>1.1536314177364304</v>
      </c>
      <c r="AJ291" s="150">
        <v>0.60276753439236053</v>
      </c>
      <c r="AK291" s="150">
        <v>1.2620632241608261</v>
      </c>
      <c r="AL291" s="150">
        <v>1.4948483965830803</v>
      </c>
      <c r="AM291" s="150">
        <v>1.9486638864854289</v>
      </c>
    </row>
    <row r="292" spans="5:39" x14ac:dyDescent="0.25">
      <c r="E292" s="335"/>
      <c r="F292" s="152" t="s">
        <v>876</v>
      </c>
      <c r="G292" s="150" t="s">
        <v>908</v>
      </c>
      <c r="H292" s="150" t="s">
        <v>908</v>
      </c>
      <c r="I292" s="150" t="s">
        <v>908</v>
      </c>
      <c r="J292" s="150" t="s">
        <v>908</v>
      </c>
      <c r="K292" s="150" t="s">
        <v>908</v>
      </c>
      <c r="L292" s="150" t="s">
        <v>908</v>
      </c>
      <c r="M292" s="150" t="s">
        <v>908</v>
      </c>
      <c r="N292" s="150" t="s">
        <v>908</v>
      </c>
      <c r="O292" s="150" t="s">
        <v>908</v>
      </c>
      <c r="P292" s="150" t="s">
        <v>908</v>
      </c>
      <c r="Q292" s="150" t="s">
        <v>908</v>
      </c>
      <c r="R292" s="150" t="s">
        <v>908</v>
      </c>
      <c r="S292" s="150" t="s">
        <v>908</v>
      </c>
      <c r="T292" s="150" t="s">
        <v>908</v>
      </c>
      <c r="U292" s="150" t="s">
        <v>908</v>
      </c>
      <c r="V292" s="150" t="s">
        <v>908</v>
      </c>
      <c r="W292" s="150" t="s">
        <v>908</v>
      </c>
      <c r="X292" s="150" t="s">
        <v>908</v>
      </c>
      <c r="Y292" s="150" t="s">
        <v>908</v>
      </c>
      <c r="Z292" s="150" t="s">
        <v>908</v>
      </c>
      <c r="AA292" s="150" t="s">
        <v>908</v>
      </c>
      <c r="AB292" s="150" t="s">
        <v>908</v>
      </c>
      <c r="AC292" s="150" t="s">
        <v>908</v>
      </c>
      <c r="AD292" s="150" t="s">
        <v>908</v>
      </c>
      <c r="AE292" s="150" t="s">
        <v>908</v>
      </c>
      <c r="AF292" s="150" t="s">
        <v>908</v>
      </c>
      <c r="AG292" s="150" t="s">
        <v>908</v>
      </c>
      <c r="AH292" s="150" t="s">
        <v>908</v>
      </c>
      <c r="AI292" s="150" t="s">
        <v>908</v>
      </c>
      <c r="AJ292" s="150" t="s">
        <v>908</v>
      </c>
      <c r="AK292" s="150" t="s">
        <v>908</v>
      </c>
      <c r="AL292" s="150" t="s">
        <v>908</v>
      </c>
      <c r="AM292" s="150" t="s">
        <v>908</v>
      </c>
    </row>
    <row r="293" spans="5:39" ht="15" customHeight="1" x14ac:dyDescent="0.25">
      <c r="E293" s="335"/>
      <c r="F293" s="148" t="s">
        <v>877</v>
      </c>
      <c r="G293" s="150">
        <v>0.50447143871696432</v>
      </c>
      <c r="H293" s="150">
        <v>0.59499487477777646</v>
      </c>
      <c r="I293" s="150">
        <v>0.59499487477777646</v>
      </c>
      <c r="J293" s="150">
        <v>0.30662182125477777</v>
      </c>
      <c r="K293" s="150">
        <v>0.36749697211914673</v>
      </c>
      <c r="L293" s="150">
        <v>0.36749697211914673</v>
      </c>
      <c r="M293" s="150">
        <v>0.36749697211914673</v>
      </c>
      <c r="N293" s="150">
        <v>0.36749697211914673</v>
      </c>
      <c r="O293" s="150">
        <v>102.94011563982946</v>
      </c>
      <c r="P293" s="150">
        <v>5.012295880705067</v>
      </c>
      <c r="Q293" s="150">
        <v>1.8298329833560281</v>
      </c>
      <c r="R293" s="150">
        <v>0.72585906177886728</v>
      </c>
      <c r="S293" s="150">
        <v>0.69934649014216299</v>
      </c>
      <c r="T293" s="150">
        <v>0.70775058157753268</v>
      </c>
      <c r="U293" s="150">
        <v>0.72665247809992284</v>
      </c>
      <c r="V293" s="150">
        <v>0.70854353506076784</v>
      </c>
      <c r="W293" s="150">
        <v>0.71060041208830671</v>
      </c>
      <c r="X293" s="150">
        <v>0.67413463776694482</v>
      </c>
      <c r="Y293" s="150">
        <v>1.5656241134515712</v>
      </c>
      <c r="Z293" s="150">
        <v>1.6481737926891291</v>
      </c>
      <c r="AA293" s="150">
        <v>1.6576865210253351</v>
      </c>
      <c r="AB293" s="150">
        <v>1.667410189675667</v>
      </c>
      <c r="AC293" s="150">
        <v>1.2112775667635602</v>
      </c>
      <c r="AD293" s="150">
        <v>1.207453247072662</v>
      </c>
      <c r="AE293" s="150">
        <v>1.2140452542123954</v>
      </c>
      <c r="AF293" s="150">
        <v>1.2127380580410758</v>
      </c>
      <c r="AG293" s="150">
        <v>1.2044794528050649</v>
      </c>
      <c r="AH293" s="150">
        <v>1.4700167879995429</v>
      </c>
      <c r="AI293" s="150">
        <v>1.2709027343312667</v>
      </c>
      <c r="AJ293" s="150">
        <v>0.72292122305896467</v>
      </c>
      <c r="AK293" s="150">
        <v>1.5146680878437018</v>
      </c>
      <c r="AL293" s="150">
        <v>2.3117170042079969</v>
      </c>
      <c r="AM293" s="150">
        <v>2.8514376862041431</v>
      </c>
    </row>
    <row r="294" spans="5:39" ht="15.75" thickBot="1" x14ac:dyDescent="0.3">
      <c r="E294" s="336"/>
      <c r="F294" s="105" t="s">
        <v>878</v>
      </c>
      <c r="G294" s="150">
        <v>0.9264062926136365</v>
      </c>
      <c r="H294" s="150">
        <v>0.9264062926136365</v>
      </c>
      <c r="I294" s="150">
        <v>0.9264062926136365</v>
      </c>
      <c r="J294" s="150">
        <v>0.98831387202380971</v>
      </c>
      <c r="K294" s="150">
        <v>0.99285196022727296</v>
      </c>
      <c r="L294" s="150">
        <v>0.99285196022727296</v>
      </c>
      <c r="M294" s="150">
        <v>0.99285196022727296</v>
      </c>
      <c r="N294" s="150">
        <v>0.99285196022727296</v>
      </c>
      <c r="O294" s="150">
        <v>2.0876311693548391</v>
      </c>
      <c r="P294" s="150">
        <v>2.0876311693548391</v>
      </c>
      <c r="Q294" s="150">
        <v>2.0876311693548391</v>
      </c>
      <c r="R294" s="150">
        <v>2.3379589318548395</v>
      </c>
      <c r="S294" s="150">
        <v>2.3379589318548395</v>
      </c>
      <c r="T294" s="150">
        <v>2.3379589318548395</v>
      </c>
      <c r="U294" s="150">
        <v>2.3379589318548395</v>
      </c>
      <c r="V294" s="150">
        <v>2.3379589318548395</v>
      </c>
      <c r="W294" s="150">
        <v>2.5489856455645166</v>
      </c>
      <c r="X294" s="150">
        <v>2.5489856455645166</v>
      </c>
      <c r="Y294" s="150">
        <v>2.3379589318548395</v>
      </c>
      <c r="Z294" s="150">
        <v>2.3379589318548395</v>
      </c>
      <c r="AA294" s="150">
        <v>2.3379589318548395</v>
      </c>
      <c r="AB294" s="150">
        <v>2.3379589318548395</v>
      </c>
      <c r="AC294" s="150">
        <v>2.3379589318548395</v>
      </c>
      <c r="AD294" s="150">
        <v>2.3379589318548395</v>
      </c>
      <c r="AE294" s="150">
        <v>2.3379589318548395</v>
      </c>
      <c r="AF294" s="150">
        <v>2.3379589318548395</v>
      </c>
      <c r="AG294" s="150">
        <v>2.3379589318548395</v>
      </c>
      <c r="AH294" s="150">
        <v>2.3379589318548395</v>
      </c>
      <c r="AI294" s="150">
        <v>2.3379589318548395</v>
      </c>
      <c r="AJ294" s="150">
        <v>2.5859575258064522</v>
      </c>
      <c r="AK294" s="150">
        <v>2.5859575258064522</v>
      </c>
      <c r="AL294" s="150">
        <v>2.4050774854838717</v>
      </c>
      <c r="AM294" s="150">
        <v>2.4050774854838717</v>
      </c>
    </row>
    <row r="295" spans="5:39" ht="15" customHeight="1" x14ac:dyDescent="0.25">
      <c r="E295" s="334" t="s">
        <v>888</v>
      </c>
      <c r="F295" s="187" t="s">
        <v>882</v>
      </c>
      <c r="G295" s="150" t="s">
        <v>911</v>
      </c>
      <c r="H295" s="150" t="s">
        <v>911</v>
      </c>
      <c r="I295" s="150" t="s">
        <v>911</v>
      </c>
      <c r="J295" s="150" t="s">
        <v>911</v>
      </c>
      <c r="K295" s="150" t="s">
        <v>911</v>
      </c>
      <c r="L295" s="150" t="s">
        <v>911</v>
      </c>
      <c r="M295" s="150" t="s">
        <v>911</v>
      </c>
      <c r="N295" s="150" t="s">
        <v>911</v>
      </c>
      <c r="O295" s="150" t="s">
        <v>911</v>
      </c>
      <c r="P295" s="150" t="s">
        <v>911</v>
      </c>
      <c r="Q295" s="150" t="s">
        <v>911</v>
      </c>
      <c r="R295" s="150" t="s">
        <v>911</v>
      </c>
      <c r="S295" s="150" t="s">
        <v>911</v>
      </c>
      <c r="T295" s="150" t="s">
        <v>911</v>
      </c>
      <c r="U295" s="150" t="s">
        <v>911</v>
      </c>
      <c r="V295" s="150" t="s">
        <v>911</v>
      </c>
      <c r="W295" s="150" t="s">
        <v>911</v>
      </c>
      <c r="X295" s="150" t="s">
        <v>911</v>
      </c>
      <c r="Y295" s="150" t="s">
        <v>911</v>
      </c>
      <c r="Z295" s="150" t="s">
        <v>911</v>
      </c>
      <c r="AA295" s="150" t="s">
        <v>911</v>
      </c>
      <c r="AB295" s="150" t="s">
        <v>911</v>
      </c>
      <c r="AC295" s="150" t="s">
        <v>911</v>
      </c>
      <c r="AD295" s="150" t="s">
        <v>911</v>
      </c>
      <c r="AE295" s="150" t="s">
        <v>911</v>
      </c>
      <c r="AF295" s="150" t="s">
        <v>911</v>
      </c>
      <c r="AG295" s="150" t="s">
        <v>911</v>
      </c>
      <c r="AH295" s="150" t="s">
        <v>911</v>
      </c>
      <c r="AI295" s="150" t="s">
        <v>911</v>
      </c>
      <c r="AJ295" s="150" t="s">
        <v>911</v>
      </c>
      <c r="AK295" s="150" t="s">
        <v>911</v>
      </c>
      <c r="AL295" s="150" t="s">
        <v>911</v>
      </c>
      <c r="AM295" s="150" t="s">
        <v>911</v>
      </c>
    </row>
    <row r="296" spans="5:39" x14ac:dyDescent="0.25">
      <c r="E296" s="335"/>
      <c r="F296" s="188" t="s">
        <v>883</v>
      </c>
      <c r="G296" s="150" t="s">
        <v>898</v>
      </c>
      <c r="H296" s="150" t="s">
        <v>898</v>
      </c>
      <c r="I296" s="150" t="s">
        <v>898</v>
      </c>
      <c r="J296" s="150" t="s">
        <v>898</v>
      </c>
      <c r="K296" s="150" t="s">
        <v>898</v>
      </c>
      <c r="L296" s="150" t="s">
        <v>898</v>
      </c>
      <c r="M296" s="150" t="s">
        <v>898</v>
      </c>
      <c r="N296" s="150" t="s">
        <v>898</v>
      </c>
      <c r="O296" s="150" t="s">
        <v>898</v>
      </c>
      <c r="P296" s="150" t="s">
        <v>898</v>
      </c>
      <c r="Q296" s="150" t="s">
        <v>898</v>
      </c>
      <c r="R296" s="150" t="s">
        <v>898</v>
      </c>
      <c r="S296" s="150" t="s">
        <v>898</v>
      </c>
      <c r="T296" s="150" t="s">
        <v>898</v>
      </c>
      <c r="U296" s="150" t="s">
        <v>898</v>
      </c>
      <c r="V296" s="150" t="s">
        <v>898</v>
      </c>
      <c r="W296" s="150" t="s">
        <v>898</v>
      </c>
      <c r="X296" s="150" t="s">
        <v>898</v>
      </c>
      <c r="Y296" s="150" t="s">
        <v>898</v>
      </c>
      <c r="Z296" s="150" t="s">
        <v>898</v>
      </c>
      <c r="AA296" s="150" t="s">
        <v>898</v>
      </c>
      <c r="AB296" s="150" t="s">
        <v>898</v>
      </c>
      <c r="AC296" s="150" t="s">
        <v>898</v>
      </c>
      <c r="AD296" s="150" t="s">
        <v>898</v>
      </c>
      <c r="AE296" s="150" t="s">
        <v>898</v>
      </c>
      <c r="AF296" s="150" t="s">
        <v>898</v>
      </c>
      <c r="AG296" s="150" t="s">
        <v>898</v>
      </c>
      <c r="AH296" s="150" t="s">
        <v>898</v>
      </c>
      <c r="AI296" s="150" t="s">
        <v>898</v>
      </c>
      <c r="AJ296" s="150" t="s">
        <v>898</v>
      </c>
      <c r="AK296" s="150" t="s">
        <v>898</v>
      </c>
      <c r="AL296" s="150" t="s">
        <v>898</v>
      </c>
      <c r="AM296" s="150" t="s">
        <v>898</v>
      </c>
    </row>
    <row r="297" spans="5:39" x14ac:dyDescent="0.25">
      <c r="E297" s="335"/>
      <c r="F297" s="186" t="s">
        <v>884</v>
      </c>
      <c r="G297" s="150">
        <v>0.66405342185051153</v>
      </c>
      <c r="H297" s="150">
        <v>0.66405342185051153</v>
      </c>
      <c r="I297" s="150">
        <v>0.39664519987639119</v>
      </c>
      <c r="J297" s="150">
        <v>0.85087145502013384</v>
      </c>
      <c r="K297" s="150">
        <v>3.9833840820762472E-3</v>
      </c>
      <c r="L297" s="150">
        <v>3.9833840820762472E-3</v>
      </c>
      <c r="M297" s="150">
        <v>3.9833840820762472E-3</v>
      </c>
      <c r="N297" s="150">
        <v>3.9833840820762472E-3</v>
      </c>
      <c r="O297" s="150">
        <v>0.67015996959546531</v>
      </c>
      <c r="P297" s="150">
        <v>0.6440559836699522</v>
      </c>
      <c r="Q297" s="150">
        <v>0.75137431453385439</v>
      </c>
      <c r="R297" s="150">
        <v>0.6848312041509278</v>
      </c>
      <c r="S297" s="150">
        <v>0.70709445221329392</v>
      </c>
      <c r="T297" s="150">
        <v>0.69596937021004202</v>
      </c>
      <c r="U297" s="150">
        <v>0.68507900024621493</v>
      </c>
      <c r="V297" s="150">
        <v>0.69621716630532937</v>
      </c>
      <c r="W297" s="150">
        <v>0.70676684205131712</v>
      </c>
      <c r="X297" s="150">
        <v>0.73144247919583727</v>
      </c>
      <c r="Y297" s="150">
        <v>0.71466224118642829</v>
      </c>
      <c r="Z297" s="150">
        <v>0.70885423898751954</v>
      </c>
      <c r="AA297" s="150">
        <v>0.69772915698426763</v>
      </c>
      <c r="AB297" s="150">
        <v>0.6865909909251533</v>
      </c>
      <c r="AC297" s="150">
        <v>0.65192283040119547</v>
      </c>
      <c r="AD297" s="150">
        <v>0.66994598688919371</v>
      </c>
      <c r="AE297" s="150">
        <v>0.670714093901847</v>
      </c>
      <c r="AF297" s="150">
        <v>0.6613239839410795</v>
      </c>
      <c r="AG297" s="150">
        <v>0.65115472338854208</v>
      </c>
      <c r="AH297" s="150">
        <v>0.67484822305106551</v>
      </c>
      <c r="AI297" s="150">
        <v>0.62796574572621566</v>
      </c>
      <c r="AJ297" s="150">
        <v>1.5018836540202398</v>
      </c>
      <c r="AK297" s="150">
        <v>1.0644135359017084</v>
      </c>
      <c r="AL297" s="150">
        <v>1.1454395285048193</v>
      </c>
      <c r="AM297" s="150">
        <v>1.1664353465625092</v>
      </c>
    </row>
    <row r="298" spans="5:39" x14ac:dyDescent="0.25">
      <c r="E298" s="335"/>
      <c r="F298" s="186" t="s">
        <v>885</v>
      </c>
      <c r="G298" s="150" t="s">
        <v>912</v>
      </c>
      <c r="H298" s="150" t="s">
        <v>912</v>
      </c>
      <c r="I298" s="150" t="s">
        <v>912</v>
      </c>
      <c r="J298" s="150" t="s">
        <v>912</v>
      </c>
      <c r="K298" s="150" t="s">
        <v>912</v>
      </c>
      <c r="L298" s="150" t="s">
        <v>912</v>
      </c>
      <c r="M298" s="150" t="s">
        <v>912</v>
      </c>
      <c r="N298" s="150" t="s">
        <v>912</v>
      </c>
      <c r="O298" s="150" t="s">
        <v>912</v>
      </c>
      <c r="P298" s="150" t="s">
        <v>912</v>
      </c>
      <c r="Q298" s="150" t="s">
        <v>912</v>
      </c>
      <c r="R298" s="150" t="s">
        <v>912</v>
      </c>
      <c r="S298" s="150" t="s">
        <v>912</v>
      </c>
      <c r="T298" s="150" t="s">
        <v>912</v>
      </c>
      <c r="U298" s="150" t="s">
        <v>912</v>
      </c>
      <c r="V298" s="150" t="s">
        <v>912</v>
      </c>
      <c r="W298" s="150" t="s">
        <v>912</v>
      </c>
      <c r="X298" s="150" t="s">
        <v>912</v>
      </c>
      <c r="Y298" s="150" t="s">
        <v>912</v>
      </c>
      <c r="Z298" s="150" t="s">
        <v>912</v>
      </c>
      <c r="AA298" s="150" t="s">
        <v>912</v>
      </c>
      <c r="AB298" s="150" t="s">
        <v>912</v>
      </c>
      <c r="AC298" s="150" t="s">
        <v>912</v>
      </c>
      <c r="AD298" s="150" t="s">
        <v>912</v>
      </c>
      <c r="AE298" s="150" t="s">
        <v>912</v>
      </c>
      <c r="AF298" s="150" t="s">
        <v>912</v>
      </c>
      <c r="AG298" s="150" t="s">
        <v>912</v>
      </c>
      <c r="AH298" s="150" t="s">
        <v>912</v>
      </c>
      <c r="AI298" s="150" t="s">
        <v>912</v>
      </c>
      <c r="AJ298" s="150" t="s">
        <v>912</v>
      </c>
      <c r="AK298" s="150" t="s">
        <v>912</v>
      </c>
      <c r="AL298" s="150" t="s">
        <v>912</v>
      </c>
      <c r="AM298" s="150" t="s">
        <v>912</v>
      </c>
    </row>
    <row r="299" spans="5:39" x14ac:dyDescent="0.25">
      <c r="E299" s="335"/>
      <c r="F299" s="186" t="s">
        <v>886</v>
      </c>
      <c r="G299" s="150" t="s">
        <v>925</v>
      </c>
      <c r="H299" s="150" t="s">
        <v>925</v>
      </c>
      <c r="I299" s="150" t="s">
        <v>925</v>
      </c>
      <c r="J299" s="150" t="s">
        <v>1956</v>
      </c>
      <c r="K299" s="150" t="s">
        <v>1956</v>
      </c>
      <c r="L299" s="150" t="s">
        <v>1956</v>
      </c>
      <c r="M299" s="150" t="s">
        <v>1956</v>
      </c>
      <c r="N299" s="150" t="s">
        <v>1956</v>
      </c>
      <c r="O299" s="150" t="s">
        <v>925</v>
      </c>
      <c r="P299" s="150" t="s">
        <v>925</v>
      </c>
      <c r="Q299" s="150" t="s">
        <v>925</v>
      </c>
      <c r="R299" s="150" t="s">
        <v>2084</v>
      </c>
      <c r="S299" s="150" t="s">
        <v>2084</v>
      </c>
      <c r="T299" s="150" t="s">
        <v>2084</v>
      </c>
      <c r="U299" s="150" t="s">
        <v>2084</v>
      </c>
      <c r="V299" s="150" t="s">
        <v>2084</v>
      </c>
      <c r="W299" s="150" t="s">
        <v>2084</v>
      </c>
      <c r="X299" s="150" t="s">
        <v>2084</v>
      </c>
      <c r="Y299" s="150" t="s">
        <v>2084</v>
      </c>
      <c r="Z299" s="150" t="s">
        <v>2084</v>
      </c>
      <c r="AA299" s="150" t="s">
        <v>2084</v>
      </c>
      <c r="AB299" s="150" t="s">
        <v>2084</v>
      </c>
      <c r="AC299" s="150" t="s">
        <v>2084</v>
      </c>
      <c r="AD299" s="150" t="s">
        <v>2084</v>
      </c>
      <c r="AE299" s="150" t="s">
        <v>2084</v>
      </c>
      <c r="AF299" s="150" t="s">
        <v>2084</v>
      </c>
      <c r="AG299" s="150" t="s">
        <v>2084</v>
      </c>
      <c r="AH299" s="150" t="s">
        <v>2084</v>
      </c>
      <c r="AI299" s="150" t="s">
        <v>2084</v>
      </c>
      <c r="AJ299" s="150" t="s">
        <v>1956</v>
      </c>
      <c r="AK299" s="150" t="s">
        <v>925</v>
      </c>
      <c r="AL299" s="150" t="s">
        <v>925</v>
      </c>
      <c r="AM299" s="150" t="s">
        <v>925</v>
      </c>
    </row>
    <row r="300" spans="5:39" x14ac:dyDescent="0.25">
      <c r="E300" s="335"/>
      <c r="F300" s="186" t="s">
        <v>887</v>
      </c>
      <c r="G300" s="150">
        <v>0.73202458876800103</v>
      </c>
      <c r="H300" s="150">
        <v>0.73202458876800103</v>
      </c>
      <c r="I300" s="150">
        <v>0.43632273636770658</v>
      </c>
      <c r="J300" s="150">
        <v>0.9655338081255691</v>
      </c>
      <c r="K300" s="150">
        <v>4.9762224877258048E-3</v>
      </c>
      <c r="L300" s="150">
        <v>4.9762224877258048E-3</v>
      </c>
      <c r="M300" s="150">
        <v>4.9762224877258048E-3</v>
      </c>
      <c r="N300" s="150">
        <v>4.9762224877258048E-3</v>
      </c>
      <c r="O300" s="150">
        <v>0.72794299758792547</v>
      </c>
      <c r="P300" s="150">
        <v>0.69829586146575517</v>
      </c>
      <c r="Q300" s="150">
        <v>0.83123285825412141</v>
      </c>
      <c r="R300" s="150">
        <v>0.75758564939381812</v>
      </c>
      <c r="S300" s="150">
        <v>0.7834981302881362</v>
      </c>
      <c r="T300" s="150">
        <v>0.77054784596212711</v>
      </c>
      <c r="U300" s="150">
        <v>0.75787208580168197</v>
      </c>
      <c r="V300" s="150">
        <v>0.77083428236999096</v>
      </c>
      <c r="W300" s="150">
        <v>0.78105345940858861</v>
      </c>
      <c r="X300" s="150">
        <v>0.80982474655834458</v>
      </c>
      <c r="Y300" s="150">
        <v>0.79426483359104594</v>
      </c>
      <c r="Z300" s="150">
        <v>0.78703865416787355</v>
      </c>
      <c r="AA300" s="150">
        <v>0.77408836984186424</v>
      </c>
      <c r="AB300" s="150">
        <v>0.76112617327355536</v>
      </c>
      <c r="AC300" s="150">
        <v>0.72058938865757405</v>
      </c>
      <c r="AD300" s="150">
        <v>0.74142820517818275</v>
      </c>
      <c r="AE300" s="150">
        <v>0.74231714092680534</v>
      </c>
      <c r="AF300" s="150">
        <v>0.73145825903127293</v>
      </c>
      <c r="AG300" s="150">
        <v>0.71970045290895179</v>
      </c>
      <c r="AH300" s="150">
        <v>0.74748739484049453</v>
      </c>
      <c r="AI300" s="150">
        <v>0.69378443115012367</v>
      </c>
      <c r="AJ300" s="150">
        <v>1.6552224176616914</v>
      </c>
      <c r="AK300" s="150">
        <v>1.192289651305916</v>
      </c>
      <c r="AL300" s="150">
        <v>1.2777358818842144</v>
      </c>
      <c r="AM300" s="150">
        <v>1.2814563914962271</v>
      </c>
    </row>
    <row r="301" spans="5:39" ht="15.75" thickBot="1" x14ac:dyDescent="0.3">
      <c r="E301" s="336"/>
      <c r="F301" s="160" t="s">
        <v>972</v>
      </c>
      <c r="G301" s="150" t="s">
        <v>1150</v>
      </c>
      <c r="H301" s="150" t="s">
        <v>1150</v>
      </c>
      <c r="I301" s="150" t="s">
        <v>1150</v>
      </c>
      <c r="J301" s="150" t="s">
        <v>1150</v>
      </c>
      <c r="K301" s="150" t="s">
        <v>1150</v>
      </c>
      <c r="L301" s="150" t="s">
        <v>1150</v>
      </c>
      <c r="M301" s="150" t="s">
        <v>1150</v>
      </c>
      <c r="N301" s="150" t="s">
        <v>1150</v>
      </c>
      <c r="O301" s="150"/>
      <c r="P301" s="150"/>
      <c r="Q301" s="150"/>
      <c r="R301" s="150"/>
      <c r="S301" s="150"/>
      <c r="T301" s="150"/>
      <c r="U301" s="150"/>
      <c r="V301" s="150"/>
      <c r="W301" s="150"/>
      <c r="X301" s="150"/>
      <c r="Y301" s="150"/>
      <c r="Z301" s="150"/>
      <c r="AA301" s="150"/>
      <c r="AB301" s="150"/>
      <c r="AC301" s="150"/>
      <c r="AD301" s="150"/>
      <c r="AE301" s="150"/>
      <c r="AF301" s="150"/>
      <c r="AG301" s="150"/>
      <c r="AH301" s="150"/>
      <c r="AI301" s="150"/>
      <c r="AJ301" s="150"/>
      <c r="AK301" s="150"/>
      <c r="AL301" s="150"/>
      <c r="AM301" s="150"/>
    </row>
  </sheetData>
  <mergeCells count="32">
    <mergeCell ref="E255:E259"/>
    <mergeCell ref="E260:E271"/>
    <mergeCell ref="E232:E233"/>
    <mergeCell ref="E234:E235"/>
    <mergeCell ref="E236:E238"/>
    <mergeCell ref="E240:E242"/>
    <mergeCell ref="E4:E10"/>
    <mergeCell ref="E11:E14"/>
    <mergeCell ref="E15:E17"/>
    <mergeCell ref="E18:E27"/>
    <mergeCell ref="E36:E42"/>
    <mergeCell ref="E43:E62"/>
    <mergeCell ref="E63:E67"/>
    <mergeCell ref="E68:E72"/>
    <mergeCell ref="E76:E77"/>
    <mergeCell ref="E97:E117"/>
    <mergeCell ref="E295:E301"/>
    <mergeCell ref="E28:E35"/>
    <mergeCell ref="E73:E75"/>
    <mergeCell ref="E78:E96"/>
    <mergeCell ref="E225:E226"/>
    <mergeCell ref="E227:E229"/>
    <mergeCell ref="E272:E283"/>
    <mergeCell ref="E118:E138"/>
    <mergeCell ref="E139:E144"/>
    <mergeCell ref="E145:E164"/>
    <mergeCell ref="E165:E184"/>
    <mergeCell ref="E284:E294"/>
    <mergeCell ref="E243:E254"/>
    <mergeCell ref="E205:E224"/>
    <mergeCell ref="E185:E204"/>
    <mergeCell ref="E230:E231"/>
  </mergeCells>
  <conditionalFormatting sqref="G296:AM300 G284:AM284 G287:AM294">
    <cfRule type="expression" dxfId="107" priority="20">
      <formula>$A$5</formula>
    </cfRule>
  </conditionalFormatting>
  <conditionalFormatting sqref="G255:G259">
    <cfRule type="expression" dxfId="106" priority="19">
      <formula>$A$5</formula>
    </cfRule>
  </conditionalFormatting>
  <conditionalFormatting sqref="G260:G271">
    <cfRule type="expression" dxfId="105" priority="18">
      <formula>$A$5</formula>
    </cfRule>
  </conditionalFormatting>
  <conditionalFormatting sqref="G272:G283">
    <cfRule type="expression" dxfId="104" priority="17">
      <formula>$A$5</formula>
    </cfRule>
  </conditionalFormatting>
  <conditionalFormatting sqref="G295:AM295">
    <cfRule type="expression" dxfId="103" priority="16">
      <formula>$A$5</formula>
    </cfRule>
  </conditionalFormatting>
  <conditionalFormatting sqref="G286:AM286">
    <cfRule type="expression" dxfId="102" priority="15">
      <formula>$A$5</formula>
    </cfRule>
  </conditionalFormatting>
  <conditionalFormatting sqref="G285:AM285">
    <cfRule type="expression" dxfId="101" priority="14">
      <formula>$A$5</formula>
    </cfRule>
  </conditionalFormatting>
  <conditionalFormatting sqref="G301:AM301">
    <cfRule type="expression" dxfId="100" priority="13">
      <formula>$A$5</formula>
    </cfRule>
  </conditionalFormatting>
  <conditionalFormatting sqref="H255:K259">
    <cfRule type="expression" dxfId="99" priority="12">
      <formula>$A$5</formula>
    </cfRule>
  </conditionalFormatting>
  <conditionalFormatting sqref="H260:K271">
    <cfRule type="expression" dxfId="98" priority="11">
      <formula>$A$5</formula>
    </cfRule>
  </conditionalFormatting>
  <conditionalFormatting sqref="H272:K283">
    <cfRule type="expression" dxfId="97" priority="10">
      <formula>$A$5</formula>
    </cfRule>
  </conditionalFormatting>
  <conditionalFormatting sqref="L255:N259">
    <cfRule type="expression" dxfId="96" priority="9">
      <formula>$A$5</formula>
    </cfRule>
  </conditionalFormatting>
  <conditionalFormatting sqref="L260:N271">
    <cfRule type="expression" dxfId="95" priority="8">
      <formula>$A$5</formula>
    </cfRule>
  </conditionalFormatting>
  <conditionalFormatting sqref="L272:N283">
    <cfRule type="expression" dxfId="94" priority="7">
      <formula>$A$5</formula>
    </cfRule>
  </conditionalFormatting>
  <conditionalFormatting sqref="O255:AM259">
    <cfRule type="expression" dxfId="93" priority="3">
      <formula>$A$5</formula>
    </cfRule>
  </conditionalFormatting>
  <conditionalFormatting sqref="O260:AM271">
    <cfRule type="expression" dxfId="92" priority="2">
      <formula>$A$5</formula>
    </cfRule>
  </conditionalFormatting>
  <conditionalFormatting sqref="O272:AM283">
    <cfRule type="expression" dxfId="91" priority="1">
      <formula>$A$5</formula>
    </cfRule>
  </conditionalFormatting>
  <pageMargins left="0.75" right="0.75" top="1.5" bottom="0.85" header="0.75" footer="0.75"/>
  <pageSetup paperSize="3" scale="43" fitToHeight="0" orientation="landscape" blackAndWhite="1" r:id="rId1"/>
  <headerFooter scaleWithDoc="0">
    <oddHeader>&amp;L&amp;G&amp;C&amp;8Project: &amp;UIH35 - Upper Deck Retrofit&amp;U
Subject:&amp;U Bent Data&amp;U
Task: &amp;ULRFD Analysis&amp;U
Job #: &amp;U10365887&amp;R&amp;8Computed by: &amp;UMiller, Cole&amp;U Date:&amp;D
Checked by: ___________Date:   _______      
Workbook: &amp;U&amp;F, &amp;A&amp;U
Page: &amp;U&amp;P of &amp;N</oddHeader>
    <oddFooter>&amp;L&amp;4&amp;Z&amp;F</oddFooter>
  </headerFooter>
  <legacyDrawing r:id="rId2"/>
  <legacyDrawingHF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716A3-DD81-4280-8A63-D57211410850}">
  <sheetPr codeName="wsBentSearch">
    <tabColor rgb="FF800000"/>
  </sheetPr>
  <dimension ref="A1:CO455"/>
  <sheetViews>
    <sheetView tabSelected="1" topLeftCell="AT56" zoomScale="145" zoomScaleNormal="145" workbookViewId="0">
      <selection activeCell="BG134" sqref="BG134"/>
    </sheetView>
  </sheetViews>
  <sheetFormatPr defaultRowHeight="15" x14ac:dyDescent="0.25"/>
  <cols>
    <col min="5" max="5" width="19.5703125" style="7" customWidth="1"/>
    <col min="6" max="6" width="56" style="2" bestFit="1" customWidth="1"/>
    <col min="7" max="7" width="13.7109375" style="17" bestFit="1" customWidth="1"/>
    <col min="8" max="8" width="13.7109375" hidden="1" customWidth="1"/>
    <col min="9" max="14" width="13.7109375" customWidth="1"/>
    <col min="15" max="15" width="26.140625" bestFit="1" customWidth="1"/>
    <col min="16" max="17" width="13.7109375" customWidth="1"/>
    <col min="18" max="18" width="20.85546875" customWidth="1"/>
    <col min="19" max="21" width="13.7109375" customWidth="1"/>
    <col min="22" max="22" width="36.28515625" bestFit="1" customWidth="1"/>
    <col min="23" max="23" width="10.7109375" customWidth="1"/>
    <col min="24" max="24" width="13.7109375" customWidth="1"/>
    <col min="25" max="25" width="9.28515625" customWidth="1"/>
    <col min="26" max="26" width="5" bestFit="1" customWidth="1"/>
    <col min="27" max="27" width="2.85546875" customWidth="1"/>
    <col min="28" max="28" width="9.28515625" customWidth="1"/>
    <col min="29" max="29" width="5" bestFit="1" customWidth="1"/>
    <col min="30" max="30" width="2.85546875" customWidth="1"/>
    <col min="31" max="31" width="4.5703125" bestFit="1" customWidth="1"/>
    <col min="32" max="32" width="2.85546875" customWidth="1"/>
    <col min="33" max="33" width="9.28515625" customWidth="1"/>
    <col min="34" max="34" width="4.5703125" bestFit="1" customWidth="1"/>
    <col min="35" max="35" width="4.5703125" customWidth="1"/>
    <col min="36" max="180" width="13.7109375" customWidth="1"/>
  </cols>
  <sheetData>
    <row r="1" spans="1:93" ht="29.25" customHeight="1" x14ac:dyDescent="0.25">
      <c r="E1" s="154" t="s">
        <v>1143</v>
      </c>
      <c r="F1" s="66" t="s">
        <v>1958</v>
      </c>
    </row>
    <row r="2" spans="1:93" ht="29.25" customHeight="1" x14ac:dyDescent="0.25">
      <c r="E2" s="154" t="s">
        <v>1144</v>
      </c>
      <c r="F2" s="66" t="s">
        <v>1957</v>
      </c>
    </row>
    <row r="3" spans="1:93" ht="15.75" thickBot="1" x14ac:dyDescent="0.3">
      <c r="M3" s="137" t="s">
        <v>827</v>
      </c>
      <c r="S3" t="b">
        <v>1</v>
      </c>
      <c r="AK3" s="193"/>
      <c r="AL3" s="193"/>
      <c r="CI3" t="str">
        <f>ProjectSubject &amp;" - Back Span (" &amp; bkspanpgl &amp; "')"</f>
        <v>Bent 75R - Back Span (125')</v>
      </c>
    </row>
    <row r="4" spans="1:93" ht="15.75" thickBot="1" x14ac:dyDescent="0.3">
      <c r="D4" s="9"/>
      <c r="E4" s="82" t="s">
        <v>182</v>
      </c>
      <c r="F4" s="81" t="s">
        <v>25</v>
      </c>
      <c r="G4" s="66" t="s">
        <v>2075</v>
      </c>
      <c r="AJ4" s="201"/>
      <c r="AK4" s="202"/>
      <c r="AL4" s="202"/>
      <c r="AM4" s="202"/>
      <c r="AN4" s="202"/>
      <c r="AO4" s="202"/>
      <c r="AP4" s="202"/>
      <c r="AQ4" s="202"/>
      <c r="AR4" s="202"/>
      <c r="AS4" s="202"/>
      <c r="AT4" s="202"/>
      <c r="AU4" s="202"/>
      <c r="AV4" s="202"/>
      <c r="AW4" s="202"/>
      <c r="AX4" s="202"/>
      <c r="AY4" s="202"/>
      <c r="AZ4" s="202"/>
      <c r="BA4" s="202"/>
      <c r="BB4" s="202"/>
      <c r="BC4" s="202"/>
      <c r="BD4" s="202"/>
      <c r="BE4" s="203"/>
      <c r="BG4" s="225" t="str" cm="1">
        <f t="array" ref="BG4:BT4">_xlfn.ANCHORARRAY('Girder Geometries'!Q135)</f>
        <v>Tx28_x</v>
      </c>
      <c r="BH4" s="226" t="str">
        <v>Tx34_x</v>
      </c>
      <c r="BI4" s="226" t="str">
        <v>Tx40_x</v>
      </c>
      <c r="BJ4" s="226" t="str">
        <v>Tx46_x</v>
      </c>
      <c r="BK4" s="226" t="str">
        <v>Tx54_x</v>
      </c>
      <c r="BL4" s="226" t="str">
        <v>Tx62_x</v>
      </c>
      <c r="BM4" s="226" t="str">
        <v>Tx70_x</v>
      </c>
      <c r="BN4" s="226" t="str">
        <v>U-40_x</v>
      </c>
      <c r="BO4" s="226" t="str">
        <v>U-54_x</v>
      </c>
      <c r="BP4" s="226" t="str">
        <v>IV_x</v>
      </c>
      <c r="BQ4" s="226" t="str">
        <v>A_x</v>
      </c>
      <c r="BR4" s="226" t="str">
        <v>B_x</v>
      </c>
      <c r="BS4" s="226" t="str">
        <v>C_x</v>
      </c>
      <c r="BT4" s="227" t="str">
        <v>Type_54_x</v>
      </c>
      <c r="CI4" t="s">
        <v>2051</v>
      </c>
    </row>
    <row r="5" spans="1:93" x14ac:dyDescent="0.25">
      <c r="A5" t="b">
        <v>1</v>
      </c>
      <c r="B5" s="114"/>
      <c r="C5" s="114"/>
      <c r="E5" s="334" t="s">
        <v>26</v>
      </c>
      <c r="F5" s="3" t="s">
        <v>27</v>
      </c>
      <c r="G5" s="116" t="b" cm="1">
        <f t="array" ref="G5:G302">_xlfn.LET(_xlpm.results,_xlfn.XLOOKUP(ProjectSubject, BentDataTable[#Headers],BentDataTable[],"Choose Above"),IF(_xlpm.results="","",_xlpm.results))</f>
        <v>1</v>
      </c>
      <c r="H5" t="str" cm="1">
        <f t="array" ref="H5:H11">D5:D11 &amp; E5</f>
        <v>General Bridge Geometry and Superstructure</v>
      </c>
      <c r="M5" s="131"/>
      <c r="N5" s="131"/>
      <c r="O5" s="131"/>
      <c r="P5" s="131"/>
      <c r="Q5" s="131"/>
      <c r="R5" s="131"/>
      <c r="S5" s="131"/>
      <c r="T5" s="131"/>
      <c r="AJ5" s="204"/>
      <c r="AK5" s="228" t="str">
        <f>ProjectSubject &amp;" - Back Span (" &amp; bkspanpgl &amp; "')"</f>
        <v>Bent 75R - Back Span (125')</v>
      </c>
      <c r="AL5" s="205"/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  <c r="AY5" s="205"/>
      <c r="AZ5" s="205"/>
      <c r="BA5" s="205"/>
      <c r="BB5" s="205"/>
      <c r="BC5" s="205"/>
      <c r="BD5" s="205"/>
      <c r="BE5" s="206"/>
      <c r="BG5" s="220" cm="1">
        <f t="array" ref="BG5:BT17">_xlfn.ANCHORARRAY('Girder Geometries'!Q136)</f>
        <v>0</v>
      </c>
      <c r="BH5" s="219">
        <v>0</v>
      </c>
      <c r="BI5" s="219">
        <v>0</v>
      </c>
      <c r="BJ5" s="219">
        <v>0</v>
      </c>
      <c r="BK5" s="219">
        <v>0</v>
      </c>
      <c r="BL5" s="219">
        <v>0</v>
      </c>
      <c r="BM5" s="219">
        <v>0</v>
      </c>
      <c r="BN5" s="219">
        <v>0</v>
      </c>
      <c r="BO5" s="219">
        <v>0</v>
      </c>
      <c r="BP5" s="219">
        <v>0</v>
      </c>
      <c r="BQ5" s="219">
        <v>0</v>
      </c>
      <c r="BR5" s="219">
        <v>0</v>
      </c>
      <c r="BS5" s="219">
        <v>0</v>
      </c>
      <c r="BT5" s="221">
        <v>0</v>
      </c>
      <c r="CI5" cm="1">
        <f t="array" ref="CI5:CO17">MMULT(_xlfn.CHOOSECOLS(_xlfn.ANCHORARRAY(BG5),MATCH(bkspangirder &amp; "_x",_xlfn.ANCHORARRAY(BG4),0)),_xlfn.SEQUENCE(1,BkBms,1,0))+_xlfn.LET(_xlpm.num_x,COUNTA(_xlfn.CHOOSECOLS(_xlfn.ANCHORARRAY(BG5),1)),_xlpm.edge_offset,OSOHBack-_xlfn.XLOOKUP(bkspangirder,Table13[Girder Type],Table13[Width (ft)])/2,_xlpm.num_gir,BkBms,_xlpm.spa,(DeckWidth-OSOHBack-OSOHBackRT)/(_xlpm.num_gir-1),_xlfn.SEQUENCE(_xlpm.num_x,_xlpm.num_gir,1,0)*_xlpm.edge_offset+MMULT(_xlfn.SEQUENCE(_xlpm.num_x,,1,0),_xlfn.SEQUENCE(,_xlpm.num_gir,0))*_xlpm.spa)</f>
        <v>2</v>
      </c>
      <c r="CJ5">
        <v>8.2526041666666643</v>
      </c>
      <c r="CK5">
        <v>14.50520833333333</v>
      </c>
      <c r="CL5">
        <v>20.757812499999996</v>
      </c>
      <c r="CM5">
        <v>27.010416666666661</v>
      </c>
      <c r="CN5">
        <v>33.263020833333329</v>
      </c>
      <c r="CO5">
        <v>39.515624999999993</v>
      </c>
    </row>
    <row r="6" spans="1:93" ht="15.75" thickBot="1" x14ac:dyDescent="0.3">
      <c r="B6" s="114"/>
      <c r="C6" s="114"/>
      <c r="E6" s="335"/>
      <c r="F6" s="4" t="str">
        <f>IF(G5=FALSE,"Overall Deck Width (ft) =","Equivalent Slab Width at Centerline Bent (ft) =")</f>
        <v>Equivalent Slab Width at Centerline Bent (ft) =</v>
      </c>
      <c r="G6" s="70">
        <v>43.182291666666664</v>
      </c>
      <c r="H6" t="str">
        <v>General Bridge Geometry and Superstructure</v>
      </c>
      <c r="M6" s="131"/>
      <c r="N6" s="131"/>
      <c r="O6" s="131"/>
      <c r="P6" s="131"/>
      <c r="Q6" s="131"/>
      <c r="R6" s="131"/>
      <c r="S6" s="131"/>
      <c r="T6" s="131"/>
      <c r="AJ6" s="204"/>
      <c r="AK6" s="229" cm="1">
        <f t="array" ref="AK6:BD6">_xlfn.SEQUENCE(,20)</f>
        <v>1</v>
      </c>
      <c r="AL6" s="229">
        <v>2</v>
      </c>
      <c r="AM6" s="229">
        <v>3</v>
      </c>
      <c r="AN6" s="229">
        <v>4</v>
      </c>
      <c r="AO6" s="229">
        <v>5</v>
      </c>
      <c r="AP6" s="229">
        <v>6</v>
      </c>
      <c r="AQ6" s="229">
        <v>7</v>
      </c>
      <c r="AR6" s="229">
        <v>8</v>
      </c>
      <c r="AS6" s="229">
        <v>9</v>
      </c>
      <c r="AT6" s="229">
        <v>10</v>
      </c>
      <c r="AU6" s="229">
        <v>11</v>
      </c>
      <c r="AV6" s="229">
        <v>12</v>
      </c>
      <c r="AW6" s="229">
        <v>13</v>
      </c>
      <c r="AX6" s="229">
        <v>14</v>
      </c>
      <c r="AY6" s="229">
        <v>15</v>
      </c>
      <c r="AZ6" s="229">
        <v>16</v>
      </c>
      <c r="BA6" s="229">
        <v>17</v>
      </c>
      <c r="BB6" s="229">
        <v>18</v>
      </c>
      <c r="BC6" s="229">
        <v>19</v>
      </c>
      <c r="BD6" s="229">
        <v>20</v>
      </c>
      <c r="BE6" s="206"/>
      <c r="BG6" s="220">
        <v>0</v>
      </c>
      <c r="BH6" s="219">
        <v>0</v>
      </c>
      <c r="BI6" s="219">
        <v>0</v>
      </c>
      <c r="BJ6" s="219">
        <v>0</v>
      </c>
      <c r="BK6" s="219">
        <v>0</v>
      </c>
      <c r="BL6" s="219">
        <v>0</v>
      </c>
      <c r="BM6" s="219">
        <v>0</v>
      </c>
      <c r="BN6" s="219">
        <v>0</v>
      </c>
      <c r="BO6" s="219">
        <v>0</v>
      </c>
      <c r="BP6" s="219">
        <v>0</v>
      </c>
      <c r="BQ6" s="219">
        <v>0</v>
      </c>
      <c r="BR6" s="219">
        <v>0</v>
      </c>
      <c r="BS6" s="219">
        <v>0</v>
      </c>
      <c r="BT6" s="221">
        <v>0</v>
      </c>
      <c r="CI6">
        <v>2</v>
      </c>
      <c r="CJ6">
        <v>8.2526041666666643</v>
      </c>
      <c r="CK6">
        <v>14.50520833333333</v>
      </c>
      <c r="CL6">
        <v>20.757812499999996</v>
      </c>
      <c r="CM6">
        <v>27.010416666666661</v>
      </c>
      <c r="CN6">
        <v>33.263020833333329</v>
      </c>
      <c r="CO6">
        <v>39.515624999999993</v>
      </c>
    </row>
    <row r="7" spans="1:93" ht="15.75" thickBot="1" x14ac:dyDescent="0.3">
      <c r="B7" s="114"/>
      <c r="C7" s="114"/>
      <c r="E7" s="335"/>
      <c r="F7" s="4" t="s">
        <v>6</v>
      </c>
      <c r="G7" s="72">
        <v>0.02</v>
      </c>
      <c r="H7" t="str">
        <v>General Bridge Geometry and Superstructure</v>
      </c>
      <c r="M7" s="131"/>
      <c r="N7" s="131"/>
      <c r="O7" s="132">
        <f>OSOHBack-_xlfn.XLOOKUP(bkspangirder,Table13[Girder Type],Table13[Width (ft)])/2</f>
        <v>2</v>
      </c>
      <c r="P7" s="131"/>
      <c r="Q7" s="131"/>
      <c r="R7" s="132">
        <f>OSOHBackRT-_xlfn.XLOOKUP(bkspangirder,Table13[Girder Type],Table13[Width (ft)])/2</f>
        <v>2</v>
      </c>
      <c r="S7" s="131"/>
      <c r="T7" s="131"/>
      <c r="AJ7" s="204"/>
      <c r="AK7" s="231" cm="1">
        <f t="array" ref="AK7:AQ7">_xlfn.SEQUENCE(,BkBms)</f>
        <v>1</v>
      </c>
      <c r="AL7" s="232">
        <v>2</v>
      </c>
      <c r="AM7" s="232">
        <v>3</v>
      </c>
      <c r="AN7" s="232">
        <v>4</v>
      </c>
      <c r="AO7" s="232">
        <v>5</v>
      </c>
      <c r="AP7" s="232">
        <v>6</v>
      </c>
      <c r="AQ7" s="232">
        <v>7</v>
      </c>
      <c r="AR7" s="232"/>
      <c r="AS7" s="232"/>
      <c r="AT7" s="232"/>
      <c r="AU7" s="232"/>
      <c r="AV7" s="232"/>
      <c r="AW7" s="232"/>
      <c r="AX7" s="232"/>
      <c r="AY7" s="232"/>
      <c r="AZ7" s="232"/>
      <c r="BA7" s="232"/>
      <c r="BB7" s="232"/>
      <c r="BC7" s="232"/>
      <c r="BD7" s="233"/>
      <c r="BE7" s="206"/>
      <c r="BG7" s="220">
        <v>1.2083333333333333</v>
      </c>
      <c r="BH7" s="219">
        <v>1.2083333333333333</v>
      </c>
      <c r="BI7" s="219">
        <v>1.2083333333333333</v>
      </c>
      <c r="BJ7" s="219">
        <v>1.2083333333333333</v>
      </c>
      <c r="BK7" s="219">
        <v>1.2083333333333333</v>
      </c>
      <c r="BL7" s="219">
        <v>1.4583333333333333</v>
      </c>
      <c r="BM7" s="219">
        <v>1.4583333333333333</v>
      </c>
      <c r="BN7" s="219">
        <v>0.89583333333333326</v>
      </c>
      <c r="BO7" s="219">
        <v>0.89583333333333326</v>
      </c>
      <c r="BP7" s="219">
        <v>0.49999999999999994</v>
      </c>
      <c r="BQ7" s="219">
        <v>0.25</v>
      </c>
      <c r="BR7" s="219">
        <v>0.22916666666666669</v>
      </c>
      <c r="BS7" s="219">
        <v>0.29166666666666669</v>
      </c>
      <c r="BT7" s="221">
        <v>0.41666666666666663</v>
      </c>
      <c r="CI7">
        <v>2.5</v>
      </c>
      <c r="CJ7">
        <v>8.7526041666666643</v>
      </c>
      <c r="CK7">
        <v>15.00520833333333</v>
      </c>
      <c r="CL7">
        <v>21.257812499999996</v>
      </c>
      <c r="CM7">
        <v>27.510416666666661</v>
      </c>
      <c r="CN7">
        <v>33.763020833333329</v>
      </c>
      <c r="CO7">
        <v>40.015624999999993</v>
      </c>
    </row>
    <row r="8" spans="1:93" ht="15.75" thickTop="1" x14ac:dyDescent="0.25">
      <c r="E8" s="335"/>
      <c r="F8" s="4" t="s">
        <v>4</v>
      </c>
      <c r="G8" s="66">
        <v>7</v>
      </c>
      <c r="H8" t="str">
        <v>General Bridge Geometry and Superstructure</v>
      </c>
      <c r="M8" s="131"/>
      <c r="N8" s="131"/>
      <c r="O8" s="131"/>
      <c r="P8" s="131"/>
      <c r="Q8" s="131"/>
      <c r="R8" s="131"/>
      <c r="S8" s="131"/>
      <c r="T8" s="131"/>
      <c r="AJ8" s="204"/>
      <c r="AK8" s="254" cm="1">
        <f t="array" ref="AK8:AQ20">_xlfn.CHOOSECOLS(_xlfn.ANCHORARRAY(BG5),MATCH(bkspangirder &amp; "_x",_xlfn.ANCHORARRAY(BG4),0))+TRANSPOSE(_xlfn.ANCHORARRAY(BN38))-_xlfn.XLOOKUP(bkspangirder,Table13[Girder Type],Table13[Width (ft)])/2</f>
        <v>2</v>
      </c>
      <c r="AL8" s="308">
        <v>8</v>
      </c>
      <c r="AM8" s="308">
        <v>14</v>
      </c>
      <c r="AN8" s="308">
        <v>20.000000000000004</v>
      </c>
      <c r="AO8" s="308">
        <v>26.000000000000004</v>
      </c>
      <c r="AP8" s="308">
        <v>32.756999999999998</v>
      </c>
      <c r="AQ8" s="308">
        <v>39.513999999999996</v>
      </c>
      <c r="AR8" s="308"/>
      <c r="AS8" s="308"/>
      <c r="AT8" s="308"/>
      <c r="AU8" s="308"/>
      <c r="AV8" s="308"/>
      <c r="AW8" s="308"/>
      <c r="AX8" s="308"/>
      <c r="AY8" s="308"/>
      <c r="AZ8" s="308"/>
      <c r="BA8" s="308"/>
      <c r="BB8" s="308"/>
      <c r="BC8" s="308"/>
      <c r="BD8" s="255"/>
      <c r="BE8" s="206"/>
      <c r="BG8" s="220">
        <v>1.2083333333333333</v>
      </c>
      <c r="BH8" s="219">
        <v>1.2083333333333333</v>
      </c>
      <c r="BI8" s="219">
        <v>1.2083333333333333</v>
      </c>
      <c r="BJ8" s="219">
        <v>1.2083333333333333</v>
      </c>
      <c r="BK8" s="219">
        <v>1.2083333333333333</v>
      </c>
      <c r="BL8" s="219">
        <v>1.4583333333333333</v>
      </c>
      <c r="BM8" s="219">
        <v>1.4583333333333333</v>
      </c>
      <c r="BN8" s="219">
        <v>1.4583333333333335</v>
      </c>
      <c r="BO8" s="219">
        <v>1.7083333333333335</v>
      </c>
      <c r="BP8" s="219">
        <v>0.49999999999999994</v>
      </c>
      <c r="BQ8" s="219">
        <v>0.25</v>
      </c>
      <c r="BR8" s="219">
        <v>0.22916666666666669</v>
      </c>
      <c r="BS8" s="219">
        <v>0.29166666666666669</v>
      </c>
      <c r="BT8" s="221">
        <v>0.41666666666666663</v>
      </c>
      <c r="CI8">
        <v>2.5</v>
      </c>
      <c r="CJ8">
        <v>8.7526041666666643</v>
      </c>
      <c r="CK8">
        <v>15.00520833333333</v>
      </c>
      <c r="CL8">
        <v>21.257812499999996</v>
      </c>
      <c r="CM8">
        <v>27.510416666666661</v>
      </c>
      <c r="CN8">
        <v>33.763020833333329</v>
      </c>
      <c r="CO8">
        <v>40.015624999999993</v>
      </c>
    </row>
    <row r="9" spans="1:93" x14ac:dyDescent="0.25">
      <c r="A9" t="b">
        <f>NOT(A5)</f>
        <v>0</v>
      </c>
      <c r="B9" s="115"/>
      <c r="C9" s="115"/>
      <c r="E9" s="335"/>
      <c r="F9" s="4" t="s">
        <v>28</v>
      </c>
      <c r="G9" s="66">
        <v>0</v>
      </c>
      <c r="H9" t="str">
        <v>General Bridge Geometry and Superstructure</v>
      </c>
      <c r="M9" s="131"/>
      <c r="N9" s="131"/>
      <c r="O9" s="133">
        <f>OSOHBack</f>
        <v>2.8333333333333335</v>
      </c>
      <c r="P9" s="131"/>
      <c r="Q9" s="131"/>
      <c r="R9" s="133">
        <f>OSOHBackRT</f>
        <v>2.8333333333333335</v>
      </c>
      <c r="S9" s="131"/>
      <c r="T9" s="131"/>
      <c r="AJ9" s="204"/>
      <c r="AK9" s="254">
        <v>2</v>
      </c>
      <c r="AL9" s="308">
        <v>8</v>
      </c>
      <c r="AM9" s="308">
        <v>14</v>
      </c>
      <c r="AN9" s="308">
        <v>20.000000000000004</v>
      </c>
      <c r="AO9" s="308">
        <v>26.000000000000004</v>
      </c>
      <c r="AP9" s="308">
        <v>32.756999999999998</v>
      </c>
      <c r="AQ9" s="308">
        <v>39.513999999999996</v>
      </c>
      <c r="AR9" s="308"/>
      <c r="AS9" s="308"/>
      <c r="AT9" s="308"/>
      <c r="AU9" s="308"/>
      <c r="AV9" s="308"/>
      <c r="AW9" s="308"/>
      <c r="AX9" s="308"/>
      <c r="AY9" s="308"/>
      <c r="AZ9" s="308"/>
      <c r="BA9" s="308"/>
      <c r="BB9" s="308"/>
      <c r="BC9" s="308"/>
      <c r="BD9" s="255"/>
      <c r="BE9" s="206"/>
      <c r="BG9" s="220">
        <v>0.16666666666666674</v>
      </c>
      <c r="BH9" s="219">
        <v>0.16666666666666674</v>
      </c>
      <c r="BI9" s="219">
        <v>0.16666666666666674</v>
      </c>
      <c r="BJ9" s="219">
        <v>0.16666666666666674</v>
      </c>
      <c r="BK9" s="219">
        <v>0.16666666666666674</v>
      </c>
      <c r="BL9" s="219">
        <v>0.41666666666666674</v>
      </c>
      <c r="BM9" s="219">
        <v>0.41666666666666674</v>
      </c>
      <c r="BN9" s="219">
        <v>6.0416666666666661</v>
      </c>
      <c r="BO9" s="219">
        <v>6.2916666666666661</v>
      </c>
      <c r="BP9" s="219">
        <v>-0.25</v>
      </c>
      <c r="BQ9" s="219">
        <v>-0.16666666666666663</v>
      </c>
      <c r="BR9" s="219">
        <v>-0.25</v>
      </c>
      <c r="BS9" s="219">
        <v>-0.33333333333333326</v>
      </c>
      <c r="BT9" s="221">
        <v>0</v>
      </c>
      <c r="CI9">
        <v>1.75</v>
      </c>
      <c r="CJ9">
        <v>8.0026041666666643</v>
      </c>
      <c r="CK9">
        <v>14.25520833333333</v>
      </c>
      <c r="CL9">
        <v>20.507812499999996</v>
      </c>
      <c r="CM9">
        <v>26.760416666666661</v>
      </c>
      <c r="CN9">
        <v>33.013020833333329</v>
      </c>
      <c r="CO9">
        <v>39.265624999999993</v>
      </c>
    </row>
    <row r="10" spans="1:93" x14ac:dyDescent="0.25">
      <c r="B10" s="115"/>
      <c r="C10" s="115"/>
      <c r="E10" s="335"/>
      <c r="F10" s="4" t="s">
        <v>29</v>
      </c>
      <c r="G10" s="73">
        <v>0.14000000000000001</v>
      </c>
      <c r="H10" t="str">
        <v>General Bridge Geometry and Superstructure</v>
      </c>
      <c r="M10" s="131"/>
      <c r="N10" s="131"/>
      <c r="O10" s="131"/>
      <c r="P10" s="131"/>
      <c r="Q10" s="131"/>
      <c r="R10" s="131"/>
      <c r="S10" s="131"/>
      <c r="T10" s="131"/>
      <c r="AJ10" s="204"/>
      <c r="AK10" s="254">
        <v>2.5</v>
      </c>
      <c r="AL10" s="308">
        <v>8.5</v>
      </c>
      <c r="AM10" s="308">
        <v>14.5</v>
      </c>
      <c r="AN10" s="308">
        <v>20.500000000000004</v>
      </c>
      <c r="AO10" s="308">
        <v>26.500000000000004</v>
      </c>
      <c r="AP10" s="308">
        <v>33.256999999999998</v>
      </c>
      <c r="AQ10" s="308">
        <v>40.013999999999996</v>
      </c>
      <c r="AR10" s="308"/>
      <c r="AS10" s="308"/>
      <c r="AT10" s="308"/>
      <c r="AU10" s="308"/>
      <c r="AV10" s="308"/>
      <c r="AW10" s="308"/>
      <c r="AX10" s="308"/>
      <c r="AY10" s="308"/>
      <c r="AZ10" s="308"/>
      <c r="BA10" s="308"/>
      <c r="BB10" s="308"/>
      <c r="BC10" s="308"/>
      <c r="BD10" s="255"/>
      <c r="BE10" s="206"/>
      <c r="BG10" s="220">
        <v>0.16666666666666674</v>
      </c>
      <c r="BH10" s="219">
        <v>0.16666666666666674</v>
      </c>
      <c r="BI10" s="219">
        <v>0.16666666666666674</v>
      </c>
      <c r="BJ10" s="219">
        <v>0.16666666666666674</v>
      </c>
      <c r="BK10" s="219">
        <v>0.16666666666666674</v>
      </c>
      <c r="BL10" s="219">
        <v>0.41666666666666674</v>
      </c>
      <c r="BM10" s="219">
        <v>0.41666666666666674</v>
      </c>
      <c r="BN10" s="219">
        <v>6.604166666666667</v>
      </c>
      <c r="BO10" s="219">
        <v>7.104166666666667</v>
      </c>
      <c r="BP10" s="219">
        <v>-0.25</v>
      </c>
      <c r="BQ10" s="219">
        <v>-0.16666666666666663</v>
      </c>
      <c r="BR10" s="219">
        <v>-0.25</v>
      </c>
      <c r="BS10" s="219">
        <v>-0.33333333333333326</v>
      </c>
      <c r="BT10" s="221">
        <v>0</v>
      </c>
      <c r="CI10">
        <v>1.75</v>
      </c>
      <c r="CJ10">
        <v>8.0026041666666643</v>
      </c>
      <c r="CK10">
        <v>14.25520833333333</v>
      </c>
      <c r="CL10">
        <v>20.507812499999996</v>
      </c>
      <c r="CM10">
        <v>26.760416666666661</v>
      </c>
      <c r="CN10">
        <v>33.013020833333329</v>
      </c>
      <c r="CO10">
        <v>39.265624999999993</v>
      </c>
    </row>
    <row r="11" spans="1:93" ht="15.75" thickBot="1" x14ac:dyDescent="0.3">
      <c r="B11" s="115"/>
      <c r="C11" s="115"/>
      <c r="E11" s="336"/>
      <c r="F11" s="5" t="s">
        <v>30</v>
      </c>
      <c r="G11" s="66">
        <v>0</v>
      </c>
      <c r="H11" t="str">
        <v>General Bridge Geometry and Superstructure</v>
      </c>
      <c r="M11" s="131"/>
      <c r="N11" s="131"/>
      <c r="O11" s="300">
        <f>(DeckWidth-OSOHBack-OSOHBackRT)/(BkBms-1)</f>
        <v>6.2526041666666652</v>
      </c>
      <c r="P11" s="131"/>
      <c r="Q11" s="131"/>
      <c r="R11" s="134">
        <f>(DeckWidth-OSOHBack-OSOHBackRT)/(BkBms-1)-_xlfn.XLOOKUP(bkspangirder,Table13[Girder Type],Table13[Width (ft)])</f>
        <v>4.5859374999999982</v>
      </c>
      <c r="S11" s="131"/>
      <c r="T11" s="131"/>
      <c r="AJ11" s="204"/>
      <c r="AK11" s="254">
        <v>2.5</v>
      </c>
      <c r="AL11" s="308">
        <v>8.5</v>
      </c>
      <c r="AM11" s="308">
        <v>14.5</v>
      </c>
      <c r="AN11" s="308">
        <v>20.500000000000004</v>
      </c>
      <c r="AO11" s="308">
        <v>26.500000000000004</v>
      </c>
      <c r="AP11" s="308">
        <v>33.256999999999998</v>
      </c>
      <c r="AQ11" s="308">
        <v>40.013999999999996</v>
      </c>
      <c r="AR11" s="308"/>
      <c r="AS11" s="308"/>
      <c r="AT11" s="308"/>
      <c r="AU11" s="308"/>
      <c r="AV11" s="308"/>
      <c r="AW11" s="308"/>
      <c r="AX11" s="308"/>
      <c r="AY11" s="308"/>
      <c r="AZ11" s="308"/>
      <c r="BA11" s="308"/>
      <c r="BB11" s="308"/>
      <c r="BC11" s="308"/>
      <c r="BD11" s="255"/>
      <c r="BE11" s="206"/>
      <c r="BG11" s="220">
        <v>2.833333333333333</v>
      </c>
      <c r="BH11" s="219">
        <v>2.833333333333333</v>
      </c>
      <c r="BI11" s="219">
        <v>2.833333333333333</v>
      </c>
      <c r="BJ11" s="219">
        <v>2.833333333333333</v>
      </c>
      <c r="BK11" s="219">
        <v>2.833333333333333</v>
      </c>
      <c r="BL11" s="219">
        <v>3.083333333333333</v>
      </c>
      <c r="BM11" s="219">
        <v>3.083333333333333</v>
      </c>
      <c r="BN11" s="219">
        <v>7.5</v>
      </c>
      <c r="BO11" s="219">
        <v>8</v>
      </c>
      <c r="BP11" s="219">
        <v>1.9166666666666665</v>
      </c>
      <c r="BQ11" s="219">
        <v>1.1666666666666665</v>
      </c>
      <c r="BR11" s="219">
        <v>1.25</v>
      </c>
      <c r="BS11" s="219">
        <v>1.5</v>
      </c>
      <c r="BT11" s="221">
        <v>1.3333333333333333</v>
      </c>
      <c r="CI11">
        <v>3.9166666666666665</v>
      </c>
      <c r="CJ11">
        <v>10.16927083333333</v>
      </c>
      <c r="CK11">
        <v>16.421874999999996</v>
      </c>
      <c r="CL11">
        <v>22.674479166666664</v>
      </c>
      <c r="CM11">
        <v>28.927083333333329</v>
      </c>
      <c r="CN11">
        <v>35.179687499999993</v>
      </c>
      <c r="CO11">
        <v>41.432291666666657</v>
      </c>
    </row>
    <row r="12" spans="1:93" x14ac:dyDescent="0.25">
      <c r="E12" s="334" t="s">
        <v>34</v>
      </c>
      <c r="F12" s="3" t="s">
        <v>0</v>
      </c>
      <c r="G12" s="66" t="str">
        <v>IV</v>
      </c>
      <c r="H12" t="str" cm="1">
        <f t="array" ref="H12:H15">D12:D15 &amp; E12</f>
        <v>Back Span</v>
      </c>
      <c r="M12" s="131"/>
      <c r="N12" s="131"/>
      <c r="O12" s="131"/>
      <c r="P12" s="131"/>
      <c r="Q12" s="131"/>
      <c r="R12" s="131"/>
      <c r="S12" s="131"/>
      <c r="T12" s="131"/>
      <c r="AJ12" s="204"/>
      <c r="AK12" s="254">
        <v>1.7500000000000002</v>
      </c>
      <c r="AL12" s="308">
        <v>7.7500000000000009</v>
      </c>
      <c r="AM12" s="308">
        <v>13.75</v>
      </c>
      <c r="AN12" s="308">
        <v>19.750000000000004</v>
      </c>
      <c r="AO12" s="308">
        <v>25.750000000000004</v>
      </c>
      <c r="AP12" s="308">
        <v>32.506999999999998</v>
      </c>
      <c r="AQ12" s="308">
        <v>39.263999999999996</v>
      </c>
      <c r="AR12" s="308"/>
      <c r="AS12" s="308"/>
      <c r="AT12" s="308"/>
      <c r="AU12" s="308"/>
      <c r="AV12" s="308"/>
      <c r="AW12" s="308"/>
      <c r="AX12" s="308"/>
      <c r="AY12" s="308"/>
      <c r="AZ12" s="308"/>
      <c r="BA12" s="308"/>
      <c r="BB12" s="308"/>
      <c r="BC12" s="308"/>
      <c r="BD12" s="255"/>
      <c r="BE12" s="206"/>
      <c r="BG12" s="220">
        <v>2.833333333333333</v>
      </c>
      <c r="BH12" s="219">
        <v>2.833333333333333</v>
      </c>
      <c r="BI12" s="219">
        <v>2.833333333333333</v>
      </c>
      <c r="BJ12" s="219">
        <v>2.833333333333333</v>
      </c>
      <c r="BK12" s="219">
        <v>2.833333333333333</v>
      </c>
      <c r="BL12" s="219">
        <v>3.083333333333333</v>
      </c>
      <c r="BM12" s="219">
        <v>3.083333333333333</v>
      </c>
      <c r="BN12" s="219">
        <v>7.5</v>
      </c>
      <c r="BO12" s="219">
        <v>8</v>
      </c>
      <c r="BP12" s="219">
        <v>1.9166666666666665</v>
      </c>
      <c r="BQ12" s="219">
        <v>1.1666666666666665</v>
      </c>
      <c r="BR12" s="219">
        <v>1.25</v>
      </c>
      <c r="BS12" s="219">
        <v>1.5</v>
      </c>
      <c r="BT12" s="221">
        <v>1.3333333333333333</v>
      </c>
      <c r="CI12">
        <v>3.9166666666666665</v>
      </c>
      <c r="CJ12">
        <v>10.16927083333333</v>
      </c>
      <c r="CK12">
        <v>16.421874999999996</v>
      </c>
      <c r="CL12">
        <v>22.674479166666664</v>
      </c>
      <c r="CM12">
        <v>28.927083333333329</v>
      </c>
      <c r="CN12">
        <v>35.179687499999993</v>
      </c>
      <c r="CO12">
        <v>41.432291666666657</v>
      </c>
    </row>
    <row r="13" spans="1:93" x14ac:dyDescent="0.25">
      <c r="B13" s="115"/>
      <c r="C13" s="115"/>
      <c r="E13" s="335"/>
      <c r="F13" s="4" t="s">
        <v>5</v>
      </c>
      <c r="G13" s="64">
        <v>1.75</v>
      </c>
      <c r="H13" t="str">
        <v>Back Span</v>
      </c>
      <c r="M13" s="131"/>
      <c r="N13" s="131"/>
      <c r="O13" s="131"/>
      <c r="P13" s="131"/>
      <c r="Q13" s="131"/>
      <c r="R13" s="131"/>
      <c r="S13" s="131"/>
      <c r="T13" s="131"/>
      <c r="AJ13" s="204"/>
      <c r="AK13" s="254">
        <v>1.7500000000000002</v>
      </c>
      <c r="AL13" s="308">
        <v>7.7500000000000009</v>
      </c>
      <c r="AM13" s="308">
        <v>13.75</v>
      </c>
      <c r="AN13" s="308">
        <v>19.750000000000004</v>
      </c>
      <c r="AO13" s="308">
        <v>25.750000000000004</v>
      </c>
      <c r="AP13" s="308">
        <v>32.506999999999998</v>
      </c>
      <c r="AQ13" s="308">
        <v>39.263999999999996</v>
      </c>
      <c r="AR13" s="308"/>
      <c r="AS13" s="308"/>
      <c r="AT13" s="308"/>
      <c r="AU13" s="308"/>
      <c r="AV13" s="308"/>
      <c r="AW13" s="308"/>
      <c r="AX13" s="308"/>
      <c r="AY13" s="308"/>
      <c r="AZ13" s="308"/>
      <c r="BA13" s="308"/>
      <c r="BB13" s="308"/>
      <c r="BC13" s="308"/>
      <c r="BD13" s="255"/>
      <c r="BE13" s="206"/>
      <c r="BG13" s="220">
        <v>1.7916666666666667</v>
      </c>
      <c r="BH13" s="219">
        <v>1.7916666666666667</v>
      </c>
      <c r="BI13" s="219">
        <v>1.7916666666666667</v>
      </c>
      <c r="BJ13" s="219">
        <v>1.7916666666666667</v>
      </c>
      <c r="BK13" s="219">
        <v>1.7916666666666667</v>
      </c>
      <c r="BL13" s="219">
        <v>2.0416666666666665</v>
      </c>
      <c r="BM13" s="219">
        <v>2.0416666666666665</v>
      </c>
      <c r="BN13" s="219">
        <v>6.1875</v>
      </c>
      <c r="BO13" s="219">
        <v>6.6875</v>
      </c>
      <c r="BP13" s="219">
        <v>1.1666666666666665</v>
      </c>
      <c r="BQ13" s="219">
        <v>0.75</v>
      </c>
      <c r="BR13" s="219">
        <v>0.77083333333333326</v>
      </c>
      <c r="BS13" s="219">
        <v>0.875</v>
      </c>
      <c r="BT13" s="221">
        <v>0.91666666666666663</v>
      </c>
      <c r="CI13">
        <v>3.1666666666666665</v>
      </c>
      <c r="CJ13">
        <v>9.4192708333333304</v>
      </c>
      <c r="CK13">
        <v>15.671874999999996</v>
      </c>
      <c r="CL13">
        <v>21.924479166666664</v>
      </c>
      <c r="CM13">
        <v>28.177083333333329</v>
      </c>
      <c r="CN13">
        <v>34.429687499999993</v>
      </c>
      <c r="CO13">
        <v>40.682291666666657</v>
      </c>
    </row>
    <row r="14" spans="1:93" x14ac:dyDescent="0.25">
      <c r="B14" s="115"/>
      <c r="C14" s="115"/>
      <c r="E14" s="335"/>
      <c r="F14" s="4" t="s">
        <v>31</v>
      </c>
      <c r="G14" s="64">
        <v>1.75</v>
      </c>
      <c r="H14" t="str">
        <v>Back Span</v>
      </c>
      <c r="M14" s="131"/>
      <c r="N14" s="131"/>
      <c r="O14" s="131"/>
      <c r="P14" s="131"/>
      <c r="Q14" s="131"/>
      <c r="R14" s="131"/>
      <c r="S14" s="131"/>
      <c r="T14" s="131"/>
      <c r="AJ14" s="204"/>
      <c r="AK14" s="254">
        <v>3.916666666666667</v>
      </c>
      <c r="AL14" s="308">
        <v>9.9166666666666661</v>
      </c>
      <c r="AM14" s="308">
        <v>15.916666666666666</v>
      </c>
      <c r="AN14" s="308">
        <v>21.916666666666671</v>
      </c>
      <c r="AO14" s="308">
        <v>27.916666666666671</v>
      </c>
      <c r="AP14" s="308">
        <v>34.673666666666662</v>
      </c>
      <c r="AQ14" s="308">
        <v>41.43066666666666</v>
      </c>
      <c r="AR14" s="308"/>
      <c r="AS14" s="308"/>
      <c r="AT14" s="308"/>
      <c r="AU14" s="308"/>
      <c r="AV14" s="308"/>
      <c r="AW14" s="308"/>
      <c r="AX14" s="308"/>
      <c r="AY14" s="308"/>
      <c r="AZ14" s="308"/>
      <c r="BA14" s="308"/>
      <c r="BB14" s="308"/>
      <c r="BC14" s="308"/>
      <c r="BD14" s="255"/>
      <c r="BE14" s="206"/>
      <c r="BG14" s="220">
        <v>1.7916666666666667</v>
      </c>
      <c r="BH14" s="219">
        <v>1.7916666666666667</v>
      </c>
      <c r="BI14" s="219">
        <v>1.7916666666666667</v>
      </c>
      <c r="BJ14" s="219">
        <v>1.7916666666666667</v>
      </c>
      <c r="BK14" s="219">
        <v>1.7916666666666667</v>
      </c>
      <c r="BL14" s="219">
        <v>2.0416666666666665</v>
      </c>
      <c r="BM14" s="219">
        <v>2.0416666666666665</v>
      </c>
      <c r="BN14" s="219">
        <v>5.6249999999999991</v>
      </c>
      <c r="BO14" s="219">
        <v>5.8749999999999991</v>
      </c>
      <c r="BP14" s="219">
        <v>1.1666666666666665</v>
      </c>
      <c r="BQ14" s="219">
        <v>0.75</v>
      </c>
      <c r="BR14" s="219">
        <v>0.77083333333333326</v>
      </c>
      <c r="BS14" s="219">
        <v>0.875</v>
      </c>
      <c r="BT14" s="221">
        <v>0.91666666666666663</v>
      </c>
      <c r="CI14">
        <v>3.1666666666666665</v>
      </c>
      <c r="CJ14">
        <v>9.4192708333333304</v>
      </c>
      <c r="CK14">
        <v>15.671874999999996</v>
      </c>
      <c r="CL14">
        <v>21.924479166666664</v>
      </c>
      <c r="CM14">
        <v>28.177083333333329</v>
      </c>
      <c r="CN14">
        <v>34.429687499999993</v>
      </c>
      <c r="CO14">
        <v>40.682291666666657</v>
      </c>
    </row>
    <row r="15" spans="1:93" ht="15.75" thickBot="1" x14ac:dyDescent="0.3">
      <c r="B15" s="115"/>
      <c r="C15" s="115"/>
      <c r="E15" s="336"/>
      <c r="F15" s="5" t="s">
        <v>32</v>
      </c>
      <c r="G15" s="64">
        <v>1</v>
      </c>
      <c r="H15" t="str">
        <v>Back Span</v>
      </c>
      <c r="M15" s="131"/>
      <c r="N15" s="131"/>
      <c r="O15" s="131"/>
      <c r="P15" s="131"/>
      <c r="Q15" s="131"/>
      <c r="R15" s="131"/>
      <c r="S15" s="131"/>
      <c r="T15" s="131"/>
      <c r="AJ15" s="204"/>
      <c r="AK15" s="254">
        <v>3.916666666666667</v>
      </c>
      <c r="AL15" s="308">
        <v>9.9166666666666661</v>
      </c>
      <c r="AM15" s="308">
        <v>15.916666666666666</v>
      </c>
      <c r="AN15" s="308">
        <v>21.916666666666671</v>
      </c>
      <c r="AO15" s="308">
        <v>27.916666666666671</v>
      </c>
      <c r="AP15" s="308">
        <v>34.673666666666662</v>
      </c>
      <c r="AQ15" s="308">
        <v>41.43066666666666</v>
      </c>
      <c r="AR15" s="308"/>
      <c r="AS15" s="308"/>
      <c r="AT15" s="308"/>
      <c r="AU15" s="308"/>
      <c r="AV15" s="308"/>
      <c r="AW15" s="308"/>
      <c r="AX15" s="308"/>
      <c r="AY15" s="308"/>
      <c r="AZ15" s="308"/>
      <c r="BA15" s="308"/>
      <c r="BB15" s="308"/>
      <c r="BC15" s="308"/>
      <c r="BD15" s="255"/>
      <c r="BE15" s="206"/>
      <c r="BG15" s="220">
        <v>3</v>
      </c>
      <c r="BH15" s="219">
        <v>3</v>
      </c>
      <c r="BI15" s="219">
        <v>3</v>
      </c>
      <c r="BJ15" s="219">
        <v>3</v>
      </c>
      <c r="BK15" s="219">
        <v>3</v>
      </c>
      <c r="BL15" s="219">
        <v>3.5</v>
      </c>
      <c r="BM15" s="219">
        <v>3.5</v>
      </c>
      <c r="BN15" s="219">
        <v>1.8750000000000002</v>
      </c>
      <c r="BO15" s="219">
        <v>2.125</v>
      </c>
      <c r="BP15" s="219">
        <v>1.6666666666666665</v>
      </c>
      <c r="BQ15" s="219">
        <v>1</v>
      </c>
      <c r="BR15" s="219">
        <v>1</v>
      </c>
      <c r="BS15" s="219">
        <v>1.1666666666666667</v>
      </c>
      <c r="BT15" s="221">
        <v>1.3333333333333333</v>
      </c>
      <c r="CI15">
        <v>3.6666666666666665</v>
      </c>
      <c r="CJ15">
        <v>9.9192708333333304</v>
      </c>
      <c r="CK15">
        <v>16.171874999999996</v>
      </c>
      <c r="CL15">
        <v>22.424479166666664</v>
      </c>
      <c r="CM15">
        <v>28.677083333333329</v>
      </c>
      <c r="CN15">
        <v>34.929687499999993</v>
      </c>
      <c r="CO15">
        <v>41.182291666666657</v>
      </c>
    </row>
    <row r="16" spans="1:93" x14ac:dyDescent="0.25">
      <c r="E16" s="334" t="s">
        <v>35</v>
      </c>
      <c r="F16" s="71" t="s">
        <v>0</v>
      </c>
      <c r="G16" s="66" t="str">
        <v>IV</v>
      </c>
      <c r="H16" t="str" cm="1">
        <f t="array" ref="H16:H18">D16:D18 &amp; E16</f>
        <v>Forward Span</v>
      </c>
      <c r="M16" s="131"/>
      <c r="N16" s="131"/>
      <c r="O16" s="301">
        <f>DeckWidth</f>
        <v>43.182291666666664</v>
      </c>
      <c r="P16" s="131"/>
      <c r="Q16" s="131"/>
      <c r="R16" s="131"/>
      <c r="S16" s="131"/>
      <c r="T16" s="131"/>
      <c r="AJ16" s="204"/>
      <c r="AK16" s="254">
        <v>3.166666666666667</v>
      </c>
      <c r="AL16" s="308">
        <v>9.1666666666666661</v>
      </c>
      <c r="AM16" s="308">
        <v>15.166666666666666</v>
      </c>
      <c r="AN16" s="308">
        <v>21.166666666666671</v>
      </c>
      <c r="AO16" s="308">
        <v>27.166666666666671</v>
      </c>
      <c r="AP16" s="308">
        <v>33.923666666666662</v>
      </c>
      <c r="AQ16" s="308">
        <v>40.68066666666666</v>
      </c>
      <c r="AR16" s="308"/>
      <c r="AS16" s="308"/>
      <c r="AT16" s="308"/>
      <c r="AU16" s="308"/>
      <c r="AV16" s="308"/>
      <c r="AW16" s="308"/>
      <c r="AX16" s="308"/>
      <c r="AY16" s="308"/>
      <c r="AZ16" s="308"/>
      <c r="BA16" s="308"/>
      <c r="BB16" s="308"/>
      <c r="BC16" s="308"/>
      <c r="BD16" s="255"/>
      <c r="BE16" s="206"/>
      <c r="BG16" s="220">
        <v>3</v>
      </c>
      <c r="BH16" s="219">
        <v>3</v>
      </c>
      <c r="BI16" s="219">
        <v>3</v>
      </c>
      <c r="BJ16" s="219">
        <v>3</v>
      </c>
      <c r="BK16" s="219">
        <v>3</v>
      </c>
      <c r="BL16" s="219">
        <v>3.5</v>
      </c>
      <c r="BM16" s="219">
        <v>3.5</v>
      </c>
      <c r="BN16" s="219">
        <v>1.3125</v>
      </c>
      <c r="BO16" s="219">
        <v>1.3125</v>
      </c>
      <c r="BP16" s="219">
        <v>1.6666666666666665</v>
      </c>
      <c r="BQ16" s="219">
        <v>1</v>
      </c>
      <c r="BR16" s="219">
        <v>1</v>
      </c>
      <c r="BS16" s="219">
        <v>1.1666666666666667</v>
      </c>
      <c r="BT16" s="221">
        <v>1.3333333333333333</v>
      </c>
      <c r="CI16">
        <v>3.6666666666666665</v>
      </c>
      <c r="CJ16">
        <v>9.9192708333333304</v>
      </c>
      <c r="CK16">
        <v>16.171874999999996</v>
      </c>
      <c r="CL16">
        <v>22.424479166666664</v>
      </c>
      <c r="CM16">
        <v>28.677083333333329</v>
      </c>
      <c r="CN16">
        <v>34.929687499999993</v>
      </c>
      <c r="CO16">
        <v>41.182291666666657</v>
      </c>
    </row>
    <row r="17" spans="2:93" ht="15.75" thickBot="1" x14ac:dyDescent="0.3">
      <c r="B17" s="115"/>
      <c r="C17" s="115"/>
      <c r="E17" s="335"/>
      <c r="F17" s="4" t="s">
        <v>5</v>
      </c>
      <c r="G17" s="70">
        <v>1</v>
      </c>
      <c r="H17" t="str">
        <v>Forward Span</v>
      </c>
      <c r="M17" s="131"/>
      <c r="N17" s="131"/>
      <c r="O17" s="302">
        <f>caplength</f>
        <v>40.333333333333336</v>
      </c>
      <c r="P17" s="131"/>
      <c r="Q17" s="131"/>
      <c r="R17" s="131"/>
      <c r="S17" s="131"/>
      <c r="T17" s="131"/>
      <c r="AJ17" s="204"/>
      <c r="AK17" s="254">
        <v>3.166666666666667</v>
      </c>
      <c r="AL17" s="308">
        <v>9.1666666666666661</v>
      </c>
      <c r="AM17" s="308">
        <v>15.166666666666666</v>
      </c>
      <c r="AN17" s="308">
        <v>21.166666666666671</v>
      </c>
      <c r="AO17" s="308">
        <v>27.166666666666671</v>
      </c>
      <c r="AP17" s="308">
        <v>33.923666666666662</v>
      </c>
      <c r="AQ17" s="308">
        <v>40.68066666666666</v>
      </c>
      <c r="AR17" s="308"/>
      <c r="AS17" s="308"/>
      <c r="AT17" s="308"/>
      <c r="AU17" s="308"/>
      <c r="AV17" s="308"/>
      <c r="AW17" s="308"/>
      <c r="AX17" s="308"/>
      <c r="AY17" s="308"/>
      <c r="AZ17" s="308"/>
      <c r="BA17" s="308"/>
      <c r="BB17" s="308"/>
      <c r="BC17" s="308"/>
      <c r="BD17" s="255"/>
      <c r="BE17" s="206"/>
      <c r="BG17" s="222">
        <v>0</v>
      </c>
      <c r="BH17" s="223">
        <v>0</v>
      </c>
      <c r="BI17" s="223">
        <v>0</v>
      </c>
      <c r="BJ17" s="223">
        <v>0</v>
      </c>
      <c r="BK17" s="223">
        <v>0</v>
      </c>
      <c r="BL17" s="223">
        <v>0</v>
      </c>
      <c r="BM17" s="223">
        <v>0</v>
      </c>
      <c r="BN17" s="223">
        <v>0</v>
      </c>
      <c r="BO17" s="223">
        <v>0</v>
      </c>
      <c r="BP17" s="223">
        <v>0</v>
      </c>
      <c r="BQ17" s="223">
        <v>0</v>
      </c>
      <c r="BR17" s="223">
        <v>0</v>
      </c>
      <c r="BS17" s="223">
        <v>0</v>
      </c>
      <c r="BT17" s="224">
        <v>0</v>
      </c>
      <c r="CI17">
        <v>2</v>
      </c>
      <c r="CJ17">
        <v>8.2526041666666643</v>
      </c>
      <c r="CK17">
        <v>14.50520833333333</v>
      </c>
      <c r="CL17">
        <v>20.757812499999996</v>
      </c>
      <c r="CM17">
        <v>27.010416666666661</v>
      </c>
      <c r="CN17">
        <v>33.263020833333329</v>
      </c>
      <c r="CO17">
        <v>39.515624999999993</v>
      </c>
    </row>
    <row r="18" spans="2:93" ht="15.75" thickBot="1" x14ac:dyDescent="0.3">
      <c r="B18" s="115"/>
      <c r="C18" s="115"/>
      <c r="E18" s="336"/>
      <c r="F18" s="5" t="s">
        <v>31</v>
      </c>
      <c r="G18" s="64">
        <v>1.75</v>
      </c>
      <c r="H18" t="str">
        <v>Forward Span</v>
      </c>
      <c r="M18" s="131"/>
      <c r="N18" s="131"/>
      <c r="O18" s="131"/>
      <c r="P18" s="131"/>
      <c r="Q18" s="131"/>
      <c r="R18" s="131"/>
      <c r="S18" s="131"/>
      <c r="T18" s="131"/>
      <c r="AJ18" s="204"/>
      <c r="AK18" s="254">
        <v>3.666666666666667</v>
      </c>
      <c r="AL18" s="308">
        <v>9.6666666666666661</v>
      </c>
      <c r="AM18" s="308">
        <v>15.666666666666666</v>
      </c>
      <c r="AN18" s="308">
        <v>21.666666666666671</v>
      </c>
      <c r="AO18" s="308">
        <v>27.666666666666671</v>
      </c>
      <c r="AP18" s="308">
        <v>34.423666666666662</v>
      </c>
      <c r="AQ18" s="308">
        <v>41.18066666666666</v>
      </c>
      <c r="AR18" s="308"/>
      <c r="AS18" s="308"/>
      <c r="AT18" s="308"/>
      <c r="AU18" s="308"/>
      <c r="AV18" s="308"/>
      <c r="AW18" s="308"/>
      <c r="AX18" s="308"/>
      <c r="AY18" s="308"/>
      <c r="AZ18" s="308"/>
      <c r="BA18" s="308"/>
      <c r="BB18" s="308"/>
      <c r="BC18" s="308"/>
      <c r="BD18" s="255"/>
      <c r="BE18" s="206"/>
    </row>
    <row r="19" spans="2:93" ht="15.75" thickBot="1" x14ac:dyDescent="0.3">
      <c r="B19" s="115"/>
      <c r="C19" s="115"/>
      <c r="E19" s="334" t="s">
        <v>36</v>
      </c>
      <c r="F19" s="3" t="s">
        <v>37</v>
      </c>
      <c r="G19" s="70">
        <v>0</v>
      </c>
      <c r="H19" t="str" cm="1">
        <f t="array" ref="H19:H28">D19:D28&amp;E19</f>
        <v>Span Geometry</v>
      </c>
      <c r="M19" s="131"/>
      <c r="N19" s="131"/>
      <c r="O19" s="131"/>
      <c r="P19" s="131"/>
      <c r="Q19" s="131"/>
      <c r="R19" s="131"/>
      <c r="S19" s="131"/>
      <c r="T19" s="131"/>
      <c r="AJ19" s="204"/>
      <c r="AK19" s="254">
        <v>3.666666666666667</v>
      </c>
      <c r="AL19" s="308">
        <v>9.6666666666666661</v>
      </c>
      <c r="AM19" s="308">
        <v>15.666666666666666</v>
      </c>
      <c r="AN19" s="308">
        <v>21.666666666666671</v>
      </c>
      <c r="AO19" s="308">
        <v>27.666666666666671</v>
      </c>
      <c r="AP19" s="308">
        <v>34.423666666666662</v>
      </c>
      <c r="AQ19" s="308">
        <v>41.18066666666666</v>
      </c>
      <c r="AR19" s="308"/>
      <c r="AS19" s="308"/>
      <c r="AT19" s="308"/>
      <c r="AU19" s="308"/>
      <c r="AV19" s="308"/>
      <c r="AW19" s="308"/>
      <c r="AX19" s="308"/>
      <c r="AY19" s="308"/>
      <c r="AZ19" s="308"/>
      <c r="BA19" s="308"/>
      <c r="BB19" s="308"/>
      <c r="BC19" s="308"/>
      <c r="BD19" s="255"/>
      <c r="BE19" s="206"/>
      <c r="BG19" s="225" t="str" cm="1">
        <f t="array" ref="BG19:BT19">_xlfn.ANCHORARRAY('Girder Geometries'!Q151)</f>
        <v>Tx28_y</v>
      </c>
      <c r="BH19" s="226" t="str">
        <v>Tx34_y</v>
      </c>
      <c r="BI19" s="226" t="str">
        <v>Tx40_y</v>
      </c>
      <c r="BJ19" s="226" t="str">
        <v>Tx46_y</v>
      </c>
      <c r="BK19" s="226" t="str">
        <v>Tx54_y</v>
      </c>
      <c r="BL19" s="226" t="str">
        <v>Tx62_y</v>
      </c>
      <c r="BM19" s="226" t="str">
        <v>Tx70_y</v>
      </c>
      <c r="BN19" s="226" t="str">
        <v>U-40_y</v>
      </c>
      <c r="BO19" s="226" t="str">
        <v>U-54_y</v>
      </c>
      <c r="BP19" s="226" t="str">
        <v>IV_y</v>
      </c>
      <c r="BQ19" s="226" t="str">
        <v>A_y</v>
      </c>
      <c r="BR19" s="226" t="str">
        <v>B_y</v>
      </c>
      <c r="BS19" s="226" t="str">
        <v>C_y</v>
      </c>
      <c r="BT19" s="227" t="str">
        <v>Type_54_y</v>
      </c>
    </row>
    <row r="20" spans="2:93" ht="16.5" thickTop="1" thickBot="1" x14ac:dyDescent="0.3">
      <c r="E20" s="335"/>
      <c r="F20" s="4" t="s">
        <v>845</v>
      </c>
      <c r="G20" s="64">
        <v>-6.833333333333333</v>
      </c>
      <c r="H20" t="str">
        <v>Span Geometry</v>
      </c>
      <c r="M20" s="131"/>
      <c r="N20" s="131"/>
      <c r="O20" s="131"/>
      <c r="P20" s="131"/>
      <c r="Q20" s="131"/>
      <c r="R20" s="131"/>
      <c r="S20" s="131"/>
      <c r="T20" s="131"/>
      <c r="AJ20" s="204"/>
      <c r="AK20" s="321">
        <v>2</v>
      </c>
      <c r="AL20" s="310">
        <v>8</v>
      </c>
      <c r="AM20" s="310">
        <v>14</v>
      </c>
      <c r="AN20" s="310">
        <v>20.000000000000004</v>
      </c>
      <c r="AO20" s="310">
        <v>26.000000000000004</v>
      </c>
      <c r="AP20" s="310">
        <v>32.756999999999998</v>
      </c>
      <c r="AQ20" s="310">
        <v>39.513999999999996</v>
      </c>
      <c r="AR20" s="310"/>
      <c r="AS20" s="310"/>
      <c r="AT20" s="310"/>
      <c r="AU20" s="310"/>
      <c r="AV20" s="310"/>
      <c r="AW20" s="310"/>
      <c r="AX20" s="310"/>
      <c r="AY20" s="310"/>
      <c r="AZ20" s="310"/>
      <c r="BA20" s="310"/>
      <c r="BB20" s="310"/>
      <c r="BC20" s="310"/>
      <c r="BD20" s="320"/>
      <c r="BE20" s="206"/>
      <c r="BG20" s="220" cm="1">
        <f t="array" ref="BG20:BT32">_xlfn.ANCHORARRAY('Girder Geometries'!Q152)</f>
        <v>0</v>
      </c>
      <c r="BH20" s="219">
        <v>0</v>
      </c>
      <c r="BI20" s="219">
        <v>0</v>
      </c>
      <c r="BJ20" s="219">
        <v>0</v>
      </c>
      <c r="BK20" s="219">
        <v>0</v>
      </c>
      <c r="BL20" s="219">
        <v>0</v>
      </c>
      <c r="BM20" s="219">
        <v>0</v>
      </c>
      <c r="BN20" s="219">
        <v>0</v>
      </c>
      <c r="BO20" s="219">
        <v>0</v>
      </c>
      <c r="BP20" s="219">
        <v>0</v>
      </c>
      <c r="BQ20" s="219">
        <v>0</v>
      </c>
      <c r="BR20" s="219">
        <v>0</v>
      </c>
      <c r="BS20" s="219">
        <v>0</v>
      </c>
      <c r="BT20" s="221">
        <v>0</v>
      </c>
    </row>
    <row r="21" spans="2:93" ht="15.75" thickBot="1" x14ac:dyDescent="0.3">
      <c r="B21" s="115"/>
      <c r="C21" s="115"/>
      <c r="E21" s="335"/>
      <c r="F21" s="4" t="s">
        <v>38</v>
      </c>
      <c r="G21" s="65">
        <v>2.8333333333333335</v>
      </c>
      <c r="H21" t="str">
        <v>Span Geometry</v>
      </c>
      <c r="M21" s="131"/>
      <c r="N21" s="131"/>
      <c r="O21" s="131"/>
      <c r="P21" s="131"/>
      <c r="Q21" s="131"/>
      <c r="R21" s="131"/>
      <c r="S21" s="131"/>
      <c r="T21" s="131"/>
      <c r="AJ21" s="204"/>
      <c r="AK21" s="229" cm="1">
        <f t="array" ref="AK21:BD21">_xlfn.SEQUENCE(,20)</f>
        <v>1</v>
      </c>
      <c r="AL21" s="229">
        <v>2</v>
      </c>
      <c r="AM21" s="229">
        <v>3</v>
      </c>
      <c r="AN21" s="229">
        <v>4</v>
      </c>
      <c r="AO21" s="229">
        <v>5</v>
      </c>
      <c r="AP21" s="229">
        <v>6</v>
      </c>
      <c r="AQ21" s="229">
        <v>7</v>
      </c>
      <c r="AR21" s="229">
        <v>8</v>
      </c>
      <c r="AS21" s="229">
        <v>9</v>
      </c>
      <c r="AT21" s="229">
        <v>10</v>
      </c>
      <c r="AU21" s="229">
        <v>11</v>
      </c>
      <c r="AV21" s="229">
        <v>12</v>
      </c>
      <c r="AW21" s="229">
        <v>13</v>
      </c>
      <c r="AX21" s="229">
        <v>14</v>
      </c>
      <c r="AY21" s="229">
        <v>15</v>
      </c>
      <c r="AZ21" s="229">
        <v>16</v>
      </c>
      <c r="BA21" s="229">
        <v>17</v>
      </c>
      <c r="BB21" s="229">
        <v>18</v>
      </c>
      <c r="BC21" s="229">
        <v>19</v>
      </c>
      <c r="BD21" s="229">
        <v>20</v>
      </c>
      <c r="BE21" s="206"/>
      <c r="BG21" s="220">
        <v>-0.29166666666666669</v>
      </c>
      <c r="BH21" s="219">
        <v>-0.29166666666666669</v>
      </c>
      <c r="BI21" s="219">
        <v>-0.29166666666666669</v>
      </c>
      <c r="BJ21" s="219">
        <v>-0.29166666666666669</v>
      </c>
      <c r="BK21" s="219">
        <v>-0.29166666666666669</v>
      </c>
      <c r="BL21" s="219">
        <v>-0.29166666666666669</v>
      </c>
      <c r="BM21" s="219">
        <v>-0.29166666666666669</v>
      </c>
      <c r="BN21" s="219">
        <v>-0.48958333333333331</v>
      </c>
      <c r="BO21" s="219">
        <v>-0.48958333333333331</v>
      </c>
      <c r="BP21" s="219">
        <v>-0.66666666666666663</v>
      </c>
      <c r="BQ21" s="219">
        <v>-0.33333333333333331</v>
      </c>
      <c r="BR21" s="219">
        <v>-0.45833333333333331</v>
      </c>
      <c r="BS21" s="219">
        <v>-0.5</v>
      </c>
      <c r="BT21" s="221">
        <v>-0.33333333333333331</v>
      </c>
      <c r="CI21" t="str">
        <f>ProjectSubject &amp;" - Forward Span (" &amp; fdspanpgl &amp; "')"</f>
        <v>Bent 75R - Forward Span (115')</v>
      </c>
    </row>
    <row r="22" spans="2:93" ht="15.75" thickBot="1" x14ac:dyDescent="0.3">
      <c r="B22" s="115"/>
      <c r="C22" s="115"/>
      <c r="E22" s="335"/>
      <c r="F22" s="4" t="s">
        <v>39</v>
      </c>
      <c r="G22" s="65">
        <v>2.8333333333333335</v>
      </c>
      <c r="H22" t="str">
        <v>Span Geometry</v>
      </c>
      <c r="M22" s="131"/>
      <c r="N22" s="131"/>
      <c r="O22" s="131"/>
      <c r="P22" s="131"/>
      <c r="Q22" s="131"/>
      <c r="R22" s="131"/>
      <c r="S22" s="131"/>
      <c r="T22" s="131"/>
      <c r="AJ22" s="204"/>
      <c r="AK22" s="250" cm="1">
        <f t="array" ref="AK22:AQ22">_xlfn.SEQUENCE(,BkBms)</f>
        <v>1</v>
      </c>
      <c r="AL22" s="251">
        <v>2</v>
      </c>
      <c r="AM22" s="251">
        <v>3</v>
      </c>
      <c r="AN22" s="251">
        <v>4</v>
      </c>
      <c r="AO22" s="251">
        <v>5</v>
      </c>
      <c r="AP22" s="251">
        <v>6</v>
      </c>
      <c r="AQ22" s="251">
        <v>7</v>
      </c>
      <c r="AR22" s="251"/>
      <c r="AS22" s="251"/>
      <c r="AT22" s="251"/>
      <c r="AU22" s="251"/>
      <c r="AV22" s="251"/>
      <c r="AW22" s="251"/>
      <c r="AX22" s="251"/>
      <c r="AY22" s="251"/>
      <c r="AZ22" s="251"/>
      <c r="BA22" s="251"/>
      <c r="BB22" s="251"/>
      <c r="BC22" s="251"/>
      <c r="BD22" s="252"/>
      <c r="BE22" s="206"/>
      <c r="BG22" s="220">
        <v>-0.625</v>
      </c>
      <c r="BH22" s="219">
        <v>-0.625</v>
      </c>
      <c r="BI22" s="219">
        <v>-0.625</v>
      </c>
      <c r="BJ22" s="219">
        <v>-0.625</v>
      </c>
      <c r="BK22" s="219">
        <v>-0.625</v>
      </c>
      <c r="BL22" s="219">
        <v>-0.625</v>
      </c>
      <c r="BM22" s="219">
        <v>-0.625</v>
      </c>
      <c r="BN22" s="219">
        <v>-0.5625</v>
      </c>
      <c r="BO22" s="219">
        <v>-0.5625</v>
      </c>
      <c r="BP22" s="219">
        <v>-1.1666666666666665</v>
      </c>
      <c r="BQ22" s="219">
        <v>-0.58333333333333326</v>
      </c>
      <c r="BR22" s="219">
        <v>-0.6875</v>
      </c>
      <c r="BS22" s="219">
        <v>-0.79166666666666674</v>
      </c>
      <c r="BT22" s="221">
        <v>-0.75</v>
      </c>
      <c r="CI22" t="s">
        <v>2051</v>
      </c>
    </row>
    <row r="23" spans="2:93" ht="15.75" thickTop="1" x14ac:dyDescent="0.25">
      <c r="B23" s="115"/>
      <c r="C23" s="115"/>
      <c r="E23" s="335"/>
      <c r="F23" s="4" t="s">
        <v>40</v>
      </c>
      <c r="G23" s="65">
        <v>2.8333333333333335</v>
      </c>
      <c r="H23" t="str">
        <v>Span Geometry</v>
      </c>
      <c r="AJ23" s="204"/>
      <c r="AK23" s="254" cm="1">
        <f t="array" ref="AK23:AQ35">MMULT(_xlfn.CHOOSECOLS(_xlfn.ANCHORARRAY(BG20),MATCH(bkspangirder&amp;"_y",_xlfn.ANCHORARRAY(BG19),0)),_xlfn.SEQUENCE(1,BkBms,1,0))-bkspanhaunch/12</f>
        <v>-0.14583333333333334</v>
      </c>
      <c r="AL23" s="308">
        <v>-0.14583333333333334</v>
      </c>
      <c r="AM23" s="308">
        <v>-0.14583333333333334</v>
      </c>
      <c r="AN23" s="308">
        <v>-0.14583333333333334</v>
      </c>
      <c r="AO23" s="308">
        <v>-0.14583333333333334</v>
      </c>
      <c r="AP23" s="308">
        <v>-0.14583333333333334</v>
      </c>
      <c r="AQ23" s="308">
        <v>-0.14583333333333334</v>
      </c>
      <c r="AR23" s="308"/>
      <c r="AS23" s="308"/>
      <c r="AT23" s="308"/>
      <c r="AU23" s="308"/>
      <c r="AV23" s="308"/>
      <c r="AW23" s="308"/>
      <c r="AX23" s="308"/>
      <c r="AY23" s="308"/>
      <c r="AZ23" s="308"/>
      <c r="BA23" s="308"/>
      <c r="BB23" s="308"/>
      <c r="BC23" s="308"/>
      <c r="BD23" s="255"/>
      <c r="BE23" s="206"/>
      <c r="BG23" s="220">
        <v>-1.125</v>
      </c>
      <c r="BH23" s="219">
        <v>-1.625</v>
      </c>
      <c r="BI23" s="219">
        <v>-2.125</v>
      </c>
      <c r="BJ23" s="219">
        <v>-2.4583333333333335</v>
      </c>
      <c r="BK23" s="219">
        <v>-3.125</v>
      </c>
      <c r="BL23" s="219">
        <v>-3.7916666666666665</v>
      </c>
      <c r="BM23" s="219">
        <v>-4.458333333333333</v>
      </c>
      <c r="BN23" s="219">
        <v>-3.3333333333333335</v>
      </c>
      <c r="BO23" s="219">
        <v>-4.5</v>
      </c>
      <c r="BP23" s="219">
        <v>-3.0833333333333335</v>
      </c>
      <c r="BQ23" s="219">
        <v>-1.5</v>
      </c>
      <c r="BR23" s="219">
        <v>-1.8541666666666667</v>
      </c>
      <c r="BS23" s="219">
        <v>-2.125</v>
      </c>
      <c r="BT23" s="221">
        <v>-3.416666666666667</v>
      </c>
      <c r="CI23" cm="1">
        <f t="array" ref="CI23:CN35">MMULT(_xlfn.CHOOSECOLS(_xlfn.ANCHORARRAY(BG5),MATCH(fdspangirder &amp; "_x",_xlfn.ANCHORARRAY(BG4),0)),_xlfn.SEQUENCE(1,FdBms,1,0))+_xlfn.LET(_xlpm.num_x,COUNTA(_xlfn.CHOOSECOLS(_xlfn.ANCHORARRAY(BG5),1)),_xlpm.edge_offset,OSOH-_xlfn.XLOOKUP(fdspangirder,Table13[Girder Type],Table13[Width (ft)])/2,_xlpm.num_gir,FdBms,_xlpm.spa,(DeckWidth-OSOH-OSOHRT)/(_xlpm.num_gir-1),_xlfn.SEQUENCE(_xlpm.num_x,_xlpm.num_gir,1,0)*_xlpm.edge_offset+MMULT(_xlfn.SEQUENCE(_xlpm.num_x,,1,0),_xlfn.SEQUENCE(,_xlpm.num_gir,0))*_xlpm.spa)</f>
        <v>2</v>
      </c>
      <c r="CJ23">
        <v>9.5031249999999989</v>
      </c>
      <c r="CK23">
        <v>17.006249999999998</v>
      </c>
      <c r="CL23">
        <v>24.509374999999999</v>
      </c>
      <c r="CM23">
        <v>32.012499999999996</v>
      </c>
      <c r="CN23">
        <v>39.515624999999993</v>
      </c>
    </row>
    <row r="24" spans="2:93" x14ac:dyDescent="0.25">
      <c r="E24" s="335"/>
      <c r="F24" s="4" t="s">
        <v>41</v>
      </c>
      <c r="G24" s="65">
        <v>2.8333333333333335</v>
      </c>
      <c r="H24" t="str">
        <v>Span Geometry</v>
      </c>
      <c r="M24" s="131"/>
      <c r="N24" s="131"/>
      <c r="O24" s="131"/>
      <c r="P24" s="131"/>
      <c r="Q24" s="131"/>
      <c r="R24" s="131"/>
      <c r="S24" s="131"/>
      <c r="T24" s="131"/>
      <c r="AJ24" s="204"/>
      <c r="AK24" s="254">
        <v>-0.8125</v>
      </c>
      <c r="AL24" s="308">
        <v>-0.8125</v>
      </c>
      <c r="AM24" s="308">
        <v>-0.8125</v>
      </c>
      <c r="AN24" s="308">
        <v>-0.8125</v>
      </c>
      <c r="AO24" s="308">
        <v>-0.8125</v>
      </c>
      <c r="AP24" s="308">
        <v>-0.8125</v>
      </c>
      <c r="AQ24" s="308">
        <v>-0.8125</v>
      </c>
      <c r="AR24" s="308"/>
      <c r="AS24" s="308"/>
      <c r="AT24" s="308"/>
      <c r="AU24" s="308"/>
      <c r="AV24" s="308"/>
      <c r="AW24" s="308"/>
      <c r="AX24" s="308"/>
      <c r="AY24" s="308"/>
      <c r="AZ24" s="308"/>
      <c r="BA24" s="308"/>
      <c r="BB24" s="308"/>
      <c r="BC24" s="308"/>
      <c r="BD24" s="255"/>
      <c r="BE24" s="206"/>
      <c r="BG24" s="220">
        <v>-1.7708333333333335</v>
      </c>
      <c r="BH24" s="219">
        <v>-2.2708333333333335</v>
      </c>
      <c r="BI24" s="219">
        <v>-2.7708333333333335</v>
      </c>
      <c r="BJ24" s="219">
        <v>-3.104166666666667</v>
      </c>
      <c r="BK24" s="219">
        <v>-3.7708333333333335</v>
      </c>
      <c r="BL24" s="219">
        <v>-4.4375</v>
      </c>
      <c r="BM24" s="219">
        <v>-5.1041666666666661</v>
      </c>
      <c r="BN24" s="219">
        <v>-3.3333333333333335</v>
      </c>
      <c r="BO24" s="219">
        <v>-4.5</v>
      </c>
      <c r="BP24" s="219">
        <v>-3.8333333333333335</v>
      </c>
      <c r="BQ24" s="219">
        <v>-1.9166666666666667</v>
      </c>
      <c r="BR24" s="219">
        <v>-2.3333333333333335</v>
      </c>
      <c r="BS24" s="219">
        <v>-2.75</v>
      </c>
      <c r="BT24" s="221">
        <v>-3.8333333333333335</v>
      </c>
      <c r="CI24">
        <v>2</v>
      </c>
      <c r="CJ24">
        <v>9.5031249999999989</v>
      </c>
      <c r="CK24">
        <v>17.006249999999998</v>
      </c>
      <c r="CL24">
        <v>24.509374999999999</v>
      </c>
      <c r="CM24">
        <v>32.012499999999996</v>
      </c>
      <c r="CN24">
        <v>39.515624999999993</v>
      </c>
    </row>
    <row r="25" spans="2:93" x14ac:dyDescent="0.25">
      <c r="B25" s="298"/>
      <c r="C25" s="298"/>
      <c r="E25" s="335"/>
      <c r="F25" s="4" t="s">
        <v>42</v>
      </c>
      <c r="G25" s="66" t="str">
        <v>Yes</v>
      </c>
      <c r="H25" t="str">
        <v>Span Geometry</v>
      </c>
      <c r="M25" s="131"/>
      <c r="N25" s="131"/>
      <c r="O25" s="131"/>
      <c r="P25" s="131"/>
      <c r="Q25" s="131"/>
      <c r="R25" s="131"/>
      <c r="S25" s="131"/>
      <c r="T25" s="131"/>
      <c r="AJ25" s="204"/>
      <c r="AK25" s="254">
        <v>-1.3124999999999998</v>
      </c>
      <c r="AL25" s="308">
        <v>-1.3124999999999998</v>
      </c>
      <c r="AM25" s="308">
        <v>-1.3124999999999998</v>
      </c>
      <c r="AN25" s="308">
        <v>-1.3124999999999998</v>
      </c>
      <c r="AO25" s="308">
        <v>-1.3124999999999998</v>
      </c>
      <c r="AP25" s="308">
        <v>-1.3124999999999998</v>
      </c>
      <c r="AQ25" s="308">
        <v>-1.3124999999999998</v>
      </c>
      <c r="AR25" s="308"/>
      <c r="AS25" s="308"/>
      <c r="AT25" s="308"/>
      <c r="AU25" s="308"/>
      <c r="AV25" s="308"/>
      <c r="AW25" s="308"/>
      <c r="AX25" s="308"/>
      <c r="AY25" s="308"/>
      <c r="AZ25" s="308"/>
      <c r="BA25" s="308"/>
      <c r="BB25" s="308"/>
      <c r="BC25" s="308"/>
      <c r="BD25" s="255"/>
      <c r="BE25" s="206"/>
      <c r="BG25" s="220">
        <v>-2.3333333333333335</v>
      </c>
      <c r="BH25" s="219">
        <v>-2.8333333333333335</v>
      </c>
      <c r="BI25" s="219">
        <v>-3.3333333333333335</v>
      </c>
      <c r="BJ25" s="219">
        <v>-3.8333333333333335</v>
      </c>
      <c r="BK25" s="219">
        <v>-4.5</v>
      </c>
      <c r="BL25" s="219">
        <v>-5.166666666666667</v>
      </c>
      <c r="BM25" s="219">
        <v>-5.833333333333333</v>
      </c>
      <c r="BN25" s="219">
        <v>-0.5625</v>
      </c>
      <c r="BO25" s="219">
        <v>-0.5625</v>
      </c>
      <c r="BP25" s="219">
        <v>-4.5</v>
      </c>
      <c r="BQ25" s="219">
        <v>-2.3333333333333335</v>
      </c>
      <c r="BR25" s="219">
        <v>-2.8333333333333335</v>
      </c>
      <c r="BS25" s="219">
        <v>-3.3333333333333335</v>
      </c>
      <c r="BT25" s="221">
        <v>-4.5</v>
      </c>
      <c r="CI25">
        <v>2.5</v>
      </c>
      <c r="CJ25">
        <v>10.003124999999999</v>
      </c>
      <c r="CK25">
        <v>17.506249999999998</v>
      </c>
      <c r="CL25">
        <v>25.009374999999999</v>
      </c>
      <c r="CM25">
        <v>32.512499999999996</v>
      </c>
      <c r="CN25">
        <v>40.015624999999993</v>
      </c>
    </row>
    <row r="26" spans="2:93" x14ac:dyDescent="0.25">
      <c r="B26" s="298"/>
      <c r="C26" s="298"/>
      <c r="E26" s="335"/>
      <c r="F26" s="68" t="s">
        <v>44</v>
      </c>
      <c r="G26" s="67">
        <v>50</v>
      </c>
      <c r="H26" t="str">
        <v>Span Geometry</v>
      </c>
      <c r="M26" s="131"/>
      <c r="N26" s="131"/>
      <c r="O26" s="131"/>
      <c r="P26" s="131"/>
      <c r="Q26" s="131"/>
      <c r="R26" s="131"/>
      <c r="S26" s="131"/>
      <c r="T26" s="131"/>
      <c r="AJ26" s="204"/>
      <c r="AK26" s="254">
        <v>-3.229166666666667</v>
      </c>
      <c r="AL26" s="308">
        <v>-3.229166666666667</v>
      </c>
      <c r="AM26" s="308">
        <v>-3.229166666666667</v>
      </c>
      <c r="AN26" s="308">
        <v>-3.229166666666667</v>
      </c>
      <c r="AO26" s="308">
        <v>-3.229166666666667</v>
      </c>
      <c r="AP26" s="308">
        <v>-3.229166666666667</v>
      </c>
      <c r="AQ26" s="308">
        <v>-3.229166666666667</v>
      </c>
      <c r="AR26" s="308"/>
      <c r="AS26" s="308"/>
      <c r="AT26" s="308"/>
      <c r="AU26" s="308"/>
      <c r="AV26" s="308"/>
      <c r="AW26" s="308"/>
      <c r="AX26" s="308"/>
      <c r="AY26" s="308"/>
      <c r="AZ26" s="308"/>
      <c r="BA26" s="308"/>
      <c r="BB26" s="308"/>
      <c r="BC26" s="308"/>
      <c r="BD26" s="255"/>
      <c r="BE26" s="206"/>
      <c r="BG26" s="220">
        <v>-2.3333333333333335</v>
      </c>
      <c r="BH26" s="219">
        <v>-2.8333333333333335</v>
      </c>
      <c r="BI26" s="219">
        <v>-3.3333333333333335</v>
      </c>
      <c r="BJ26" s="219">
        <v>-3.8333333333333335</v>
      </c>
      <c r="BK26" s="219">
        <v>-4.5</v>
      </c>
      <c r="BL26" s="219">
        <v>-5.166666666666667</v>
      </c>
      <c r="BM26" s="219">
        <v>-5.833333333333333</v>
      </c>
      <c r="BN26" s="219">
        <v>-0.48958333333333331</v>
      </c>
      <c r="BO26" s="219">
        <v>-0.48958333333333331</v>
      </c>
      <c r="BP26" s="219">
        <v>-4.5</v>
      </c>
      <c r="BQ26" s="219">
        <v>-2.3333333333333335</v>
      </c>
      <c r="BR26" s="219">
        <v>-2.8333333333333335</v>
      </c>
      <c r="BS26" s="219">
        <v>-3.3333333333333335</v>
      </c>
      <c r="BT26" s="221">
        <v>-4.5</v>
      </c>
      <c r="CI26">
        <v>2.5</v>
      </c>
      <c r="CJ26">
        <v>10.003124999999999</v>
      </c>
      <c r="CK26">
        <v>17.506249999999998</v>
      </c>
      <c r="CL26">
        <v>25.009374999999999</v>
      </c>
      <c r="CM26">
        <v>32.512499999999996</v>
      </c>
      <c r="CN26">
        <v>40.015624999999993</v>
      </c>
    </row>
    <row r="27" spans="2:93" x14ac:dyDescent="0.25">
      <c r="B27" s="298"/>
      <c r="C27" s="298"/>
      <c r="E27" s="335"/>
      <c r="F27" s="4" t="s">
        <v>9</v>
      </c>
      <c r="G27" s="64">
        <v>125</v>
      </c>
      <c r="H27" t="str">
        <v>Span Geometry</v>
      </c>
      <c r="M27" s="131"/>
      <c r="N27" s="131"/>
      <c r="O27" s="132">
        <f>OSOH-_xlfn.XLOOKUP(fdspangirder,Table13[Girder Type],Table13[Width (ft)])/2</f>
        <v>2</v>
      </c>
      <c r="P27" s="131"/>
      <c r="Q27" s="131"/>
      <c r="R27" s="132">
        <f>OSOHRT-_xlfn.XLOOKUP(fdspangirder,Table13[Girder Type],Table13[Width (ft)])/2</f>
        <v>2</v>
      </c>
      <c r="S27" s="131"/>
      <c r="T27" s="131"/>
      <c r="AJ27" s="204"/>
      <c r="AK27" s="254">
        <v>-3.979166666666667</v>
      </c>
      <c r="AL27" s="308">
        <v>-3.979166666666667</v>
      </c>
      <c r="AM27" s="308">
        <v>-3.979166666666667</v>
      </c>
      <c r="AN27" s="308">
        <v>-3.979166666666667</v>
      </c>
      <c r="AO27" s="308">
        <v>-3.979166666666667</v>
      </c>
      <c r="AP27" s="308">
        <v>-3.979166666666667</v>
      </c>
      <c r="AQ27" s="308">
        <v>-3.979166666666667</v>
      </c>
      <c r="AR27" s="308"/>
      <c r="AS27" s="308"/>
      <c r="AT27" s="308"/>
      <c r="AU27" s="308"/>
      <c r="AV27" s="308"/>
      <c r="AW27" s="308"/>
      <c r="AX27" s="308"/>
      <c r="AY27" s="308"/>
      <c r="AZ27" s="308"/>
      <c r="BA27" s="308"/>
      <c r="BB27" s="308"/>
      <c r="BC27" s="308"/>
      <c r="BD27" s="255"/>
      <c r="BE27" s="206"/>
      <c r="BG27" s="220">
        <v>-1.7708333333333335</v>
      </c>
      <c r="BH27" s="219">
        <v>-2.2708333333333335</v>
      </c>
      <c r="BI27" s="219">
        <v>-2.7708333333333335</v>
      </c>
      <c r="BJ27" s="219">
        <v>-3.104166666666667</v>
      </c>
      <c r="BK27" s="219">
        <v>-3.7708333333333335</v>
      </c>
      <c r="BL27" s="219">
        <v>-4.4375</v>
      </c>
      <c r="BM27" s="219">
        <v>-5.1041666666666661</v>
      </c>
      <c r="BN27" s="219">
        <v>0</v>
      </c>
      <c r="BO27" s="219">
        <v>0</v>
      </c>
      <c r="BP27" s="219">
        <v>-3.8333333333333335</v>
      </c>
      <c r="BQ27" s="219">
        <v>-1.9166666666666667</v>
      </c>
      <c r="BR27" s="219">
        <v>-2.3333333333333335</v>
      </c>
      <c r="BS27" s="219">
        <v>-2.75</v>
      </c>
      <c r="BT27" s="221">
        <v>-3.8333333333333335</v>
      </c>
      <c r="CI27">
        <v>1.75</v>
      </c>
      <c r="CJ27">
        <v>9.2531249999999989</v>
      </c>
      <c r="CK27">
        <v>16.756249999999998</v>
      </c>
      <c r="CL27">
        <v>24.259374999999999</v>
      </c>
      <c r="CM27">
        <v>31.762499999999996</v>
      </c>
      <c r="CN27">
        <v>39.265624999999993</v>
      </c>
    </row>
    <row r="28" spans="2:93" ht="15.75" thickBot="1" x14ac:dyDescent="0.3">
      <c r="E28" s="336"/>
      <c r="F28" s="11" t="s">
        <v>10</v>
      </c>
      <c r="G28" s="64">
        <v>115</v>
      </c>
      <c r="H28" t="str">
        <v>Span Geometry</v>
      </c>
      <c r="M28" s="131"/>
      <c r="N28" s="131"/>
      <c r="O28" s="131"/>
      <c r="P28" s="131"/>
      <c r="Q28" s="131"/>
      <c r="R28" s="131"/>
      <c r="S28" s="131"/>
      <c r="T28" s="131"/>
      <c r="AJ28" s="204"/>
      <c r="AK28" s="254">
        <v>-4.645833333333333</v>
      </c>
      <c r="AL28" s="308">
        <v>-4.645833333333333</v>
      </c>
      <c r="AM28" s="308">
        <v>-4.645833333333333</v>
      </c>
      <c r="AN28" s="308">
        <v>-4.645833333333333</v>
      </c>
      <c r="AO28" s="308">
        <v>-4.645833333333333</v>
      </c>
      <c r="AP28" s="308">
        <v>-4.645833333333333</v>
      </c>
      <c r="AQ28" s="308">
        <v>-4.645833333333333</v>
      </c>
      <c r="AR28" s="308"/>
      <c r="AS28" s="308"/>
      <c r="AT28" s="308"/>
      <c r="AU28" s="308"/>
      <c r="AV28" s="308"/>
      <c r="AW28" s="308"/>
      <c r="AX28" s="308"/>
      <c r="AY28" s="308"/>
      <c r="AZ28" s="308"/>
      <c r="BA28" s="308"/>
      <c r="BB28" s="308"/>
      <c r="BC28" s="308"/>
      <c r="BD28" s="255"/>
      <c r="BE28" s="206"/>
      <c r="BG28" s="220">
        <v>-1.125</v>
      </c>
      <c r="BH28" s="219">
        <v>-1.625</v>
      </c>
      <c r="BI28" s="219">
        <v>-2.125</v>
      </c>
      <c r="BJ28" s="219">
        <v>-2.4583333333333335</v>
      </c>
      <c r="BK28" s="219">
        <v>-3.125</v>
      </c>
      <c r="BL28" s="219">
        <v>-3.7916666666666665</v>
      </c>
      <c r="BM28" s="219">
        <v>-4.458333333333333</v>
      </c>
      <c r="BN28" s="219">
        <v>0</v>
      </c>
      <c r="BO28" s="219">
        <v>0</v>
      </c>
      <c r="BP28" s="219">
        <v>-3.0833333333333335</v>
      </c>
      <c r="BQ28" s="219">
        <v>-1.5</v>
      </c>
      <c r="BR28" s="219">
        <v>-1.8541666666666667</v>
      </c>
      <c r="BS28" s="219">
        <v>-2.125</v>
      </c>
      <c r="BT28" s="221">
        <v>-3.416666666666667</v>
      </c>
      <c r="CI28">
        <v>1.75</v>
      </c>
      <c r="CJ28">
        <v>9.2531249999999989</v>
      </c>
      <c r="CK28">
        <v>16.756249999999998</v>
      </c>
      <c r="CL28">
        <v>24.259374999999999</v>
      </c>
      <c r="CM28">
        <v>31.762499999999996</v>
      </c>
      <c r="CN28">
        <v>39.265624999999993</v>
      </c>
    </row>
    <row r="29" spans="2:93" x14ac:dyDescent="0.25">
      <c r="E29" s="334" t="s">
        <v>51</v>
      </c>
      <c r="F29" s="3" t="s">
        <v>942</v>
      </c>
      <c r="G29" s="76" t="b">
        <v>0</v>
      </c>
      <c r="H29" t="str" cm="1">
        <f t="array" ref="H29:H36">D29:D36&amp;E29</f>
        <v>Rails</v>
      </c>
      <c r="M29" s="131"/>
      <c r="N29" s="131"/>
      <c r="O29" s="133">
        <f>OSOH</f>
        <v>2.8333333333333335</v>
      </c>
      <c r="P29" s="131"/>
      <c r="Q29" s="131"/>
      <c r="R29" s="133">
        <f>OSOHRT</f>
        <v>2.8333333333333335</v>
      </c>
      <c r="S29" s="131"/>
      <c r="T29" s="131"/>
      <c r="AJ29" s="204"/>
      <c r="AK29" s="254">
        <v>-4.645833333333333</v>
      </c>
      <c r="AL29" s="308">
        <v>-4.645833333333333</v>
      </c>
      <c r="AM29" s="308">
        <v>-4.645833333333333</v>
      </c>
      <c r="AN29" s="308">
        <v>-4.645833333333333</v>
      </c>
      <c r="AO29" s="308">
        <v>-4.645833333333333</v>
      </c>
      <c r="AP29" s="308">
        <v>-4.645833333333333</v>
      </c>
      <c r="AQ29" s="308">
        <v>-4.645833333333333</v>
      </c>
      <c r="AR29" s="308"/>
      <c r="AS29" s="308"/>
      <c r="AT29" s="308"/>
      <c r="AU29" s="308"/>
      <c r="AV29" s="308"/>
      <c r="AW29" s="308"/>
      <c r="AX29" s="308"/>
      <c r="AY29" s="308"/>
      <c r="AZ29" s="308"/>
      <c r="BA29" s="308"/>
      <c r="BB29" s="308"/>
      <c r="BC29" s="308"/>
      <c r="BD29" s="255"/>
      <c r="BE29" s="206"/>
      <c r="BG29" s="220">
        <v>-0.625</v>
      </c>
      <c r="BH29" s="219">
        <v>-0.625</v>
      </c>
      <c r="BI29" s="219">
        <v>-0.625</v>
      </c>
      <c r="BJ29" s="219">
        <v>-0.625</v>
      </c>
      <c r="BK29" s="219">
        <v>-0.625</v>
      </c>
      <c r="BL29" s="219">
        <v>-0.625</v>
      </c>
      <c r="BM29" s="219">
        <v>-0.625</v>
      </c>
      <c r="BN29" s="219">
        <v>-2.6458333333333335</v>
      </c>
      <c r="BO29" s="219">
        <v>-3.8125</v>
      </c>
      <c r="BP29" s="219">
        <v>-1.1666666666666665</v>
      </c>
      <c r="BQ29" s="219">
        <v>-0.58333333333333326</v>
      </c>
      <c r="BR29" s="219">
        <v>-0.6875</v>
      </c>
      <c r="BS29" s="219">
        <v>-0.79166666666666674</v>
      </c>
      <c r="BT29" s="221">
        <v>-0.75</v>
      </c>
      <c r="CI29">
        <v>3.9166666666666665</v>
      </c>
      <c r="CJ29">
        <v>11.419791666666665</v>
      </c>
      <c r="CK29">
        <v>18.922916666666666</v>
      </c>
      <c r="CL29">
        <v>26.426041666666666</v>
      </c>
      <c r="CM29">
        <v>33.92916666666666</v>
      </c>
      <c r="CN29">
        <v>41.432291666666657</v>
      </c>
    </row>
    <row r="30" spans="2:93" x14ac:dyDescent="0.25">
      <c r="E30" s="335"/>
      <c r="F30" s="6" t="s">
        <v>45</v>
      </c>
      <c r="G30" s="74" t="str">
        <v>T4</v>
      </c>
      <c r="H30" t="str">
        <v>Rails</v>
      </c>
      <c r="M30" s="131"/>
      <c r="N30" s="131"/>
      <c r="O30" s="131"/>
      <c r="P30" s="131"/>
      <c r="Q30" s="131"/>
      <c r="R30" s="131"/>
      <c r="S30" s="131"/>
      <c r="T30" s="131"/>
      <c r="AJ30" s="204"/>
      <c r="AK30" s="254">
        <v>-3.979166666666667</v>
      </c>
      <c r="AL30" s="308">
        <v>-3.979166666666667</v>
      </c>
      <c r="AM30" s="308">
        <v>-3.979166666666667</v>
      </c>
      <c r="AN30" s="308">
        <v>-3.979166666666667</v>
      </c>
      <c r="AO30" s="308">
        <v>-3.979166666666667</v>
      </c>
      <c r="AP30" s="308">
        <v>-3.979166666666667</v>
      </c>
      <c r="AQ30" s="308">
        <v>-3.979166666666667</v>
      </c>
      <c r="AR30" s="308"/>
      <c r="AS30" s="308"/>
      <c r="AT30" s="308"/>
      <c r="AU30" s="308"/>
      <c r="AV30" s="308"/>
      <c r="AW30" s="308"/>
      <c r="AX30" s="308"/>
      <c r="AY30" s="308"/>
      <c r="AZ30" s="308"/>
      <c r="BA30" s="308"/>
      <c r="BB30" s="308"/>
      <c r="BC30" s="308"/>
      <c r="BD30" s="255"/>
      <c r="BE30" s="206"/>
      <c r="BG30" s="220">
        <v>-0.29166666666666669</v>
      </c>
      <c r="BH30" s="219">
        <v>-0.29166666666666669</v>
      </c>
      <c r="BI30" s="219">
        <v>-0.29166666666666669</v>
      </c>
      <c r="BJ30" s="219">
        <v>-0.29166666666666669</v>
      </c>
      <c r="BK30" s="219">
        <v>-0.29166666666666669</v>
      </c>
      <c r="BL30" s="219">
        <v>-0.29166666666666669</v>
      </c>
      <c r="BM30" s="219">
        <v>-0.29166666666666669</v>
      </c>
      <c r="BN30" s="219">
        <v>-2.6458333333333335</v>
      </c>
      <c r="BO30" s="219">
        <v>-3.8125</v>
      </c>
      <c r="BP30" s="219">
        <v>-0.66666666666666663</v>
      </c>
      <c r="BQ30" s="219">
        <v>-0.33333333333333331</v>
      </c>
      <c r="BR30" s="219">
        <v>-0.45833333333333331</v>
      </c>
      <c r="BS30" s="219">
        <v>-0.5</v>
      </c>
      <c r="BT30" s="221">
        <v>-0.33333333333333331</v>
      </c>
      <c r="CI30">
        <v>3.9166666666666665</v>
      </c>
      <c r="CJ30">
        <v>11.419791666666665</v>
      </c>
      <c r="CK30">
        <v>18.922916666666666</v>
      </c>
      <c r="CL30">
        <v>26.426041666666666</v>
      </c>
      <c r="CM30">
        <v>33.92916666666666</v>
      </c>
      <c r="CN30">
        <v>41.432291666666657</v>
      </c>
    </row>
    <row r="31" spans="2:93" x14ac:dyDescent="0.25">
      <c r="B31" s="144"/>
      <c r="C31" s="144"/>
      <c r="E31" s="335"/>
      <c r="F31" s="4" t="s">
        <v>46</v>
      </c>
      <c r="G31" s="74" t="str">
        <v>T4</v>
      </c>
      <c r="H31" t="str">
        <v>Rails</v>
      </c>
      <c r="M31" s="131"/>
      <c r="N31" s="131"/>
      <c r="O31" s="322">
        <f>(DeckWidth-OSOH-OSOHRT)/(FdBms-1)</f>
        <v>7.5031249999999989</v>
      </c>
      <c r="P31" s="131"/>
      <c r="Q31" s="131"/>
      <c r="R31" s="134">
        <f>(DeckWidth-OSOH-OSOHRT)/(FdBms-1)-_xlfn.XLOOKUP(fdspangirder,Table13[Girder Type],Table13[Width (ft)])</f>
        <v>5.8364583333333329</v>
      </c>
      <c r="S31" s="131"/>
      <c r="T31" s="131"/>
      <c r="AJ31" s="204"/>
      <c r="AK31" s="254">
        <v>-3.229166666666667</v>
      </c>
      <c r="AL31" s="308">
        <v>-3.229166666666667</v>
      </c>
      <c r="AM31" s="308">
        <v>-3.229166666666667</v>
      </c>
      <c r="AN31" s="308">
        <v>-3.229166666666667</v>
      </c>
      <c r="AO31" s="308">
        <v>-3.229166666666667</v>
      </c>
      <c r="AP31" s="308">
        <v>-3.229166666666667</v>
      </c>
      <c r="AQ31" s="308">
        <v>-3.229166666666667</v>
      </c>
      <c r="AR31" s="308"/>
      <c r="AS31" s="308"/>
      <c r="AT31" s="308"/>
      <c r="AU31" s="308"/>
      <c r="AV31" s="308"/>
      <c r="AW31" s="308"/>
      <c r="AX31" s="308"/>
      <c r="AY31" s="308"/>
      <c r="AZ31" s="308"/>
      <c r="BA31" s="308"/>
      <c r="BB31" s="308"/>
      <c r="BC31" s="308"/>
      <c r="BD31" s="255"/>
      <c r="BE31" s="206"/>
      <c r="BG31" s="220">
        <v>0</v>
      </c>
      <c r="BH31" s="219">
        <v>0</v>
      </c>
      <c r="BI31" s="219">
        <v>0</v>
      </c>
      <c r="BJ31" s="219">
        <v>0</v>
      </c>
      <c r="BK31" s="219">
        <v>0</v>
      </c>
      <c r="BL31" s="219">
        <v>0</v>
      </c>
      <c r="BM31" s="219">
        <v>0</v>
      </c>
      <c r="BN31" s="219">
        <v>0</v>
      </c>
      <c r="BO31" s="219">
        <v>0</v>
      </c>
      <c r="BP31" s="219">
        <v>0</v>
      </c>
      <c r="BQ31" s="219">
        <v>0</v>
      </c>
      <c r="BR31" s="219">
        <v>0</v>
      </c>
      <c r="BS31" s="219">
        <v>0</v>
      </c>
      <c r="BT31" s="221">
        <v>0</v>
      </c>
      <c r="CI31">
        <v>3.1666666666666665</v>
      </c>
      <c r="CJ31">
        <v>10.669791666666665</v>
      </c>
      <c r="CK31">
        <v>18.172916666666666</v>
      </c>
      <c r="CL31">
        <v>25.676041666666666</v>
      </c>
      <c r="CM31">
        <v>33.17916666666666</v>
      </c>
      <c r="CN31">
        <v>40.682291666666657</v>
      </c>
    </row>
    <row r="32" spans="2:93" ht="15.75" thickBot="1" x14ac:dyDescent="0.3">
      <c r="B32" s="144"/>
      <c r="C32" s="144"/>
      <c r="E32" s="335"/>
      <c r="F32" s="4" t="s">
        <v>47</v>
      </c>
      <c r="G32" s="74" t="str">
        <v>None</v>
      </c>
      <c r="H32" t="str">
        <v>Rails</v>
      </c>
      <c r="M32" s="131"/>
      <c r="N32" s="131"/>
      <c r="O32" s="131"/>
      <c r="P32" s="131"/>
      <c r="Q32" s="131"/>
      <c r="R32" s="131"/>
      <c r="S32" s="131"/>
      <c r="T32" s="131"/>
      <c r="AJ32" s="204"/>
      <c r="AK32" s="254">
        <v>-1.3124999999999998</v>
      </c>
      <c r="AL32" s="308">
        <v>-1.3124999999999998</v>
      </c>
      <c r="AM32" s="308">
        <v>-1.3124999999999998</v>
      </c>
      <c r="AN32" s="308">
        <v>-1.3124999999999998</v>
      </c>
      <c r="AO32" s="308">
        <v>-1.3124999999999998</v>
      </c>
      <c r="AP32" s="308">
        <v>-1.3124999999999998</v>
      </c>
      <c r="AQ32" s="308">
        <v>-1.3124999999999998</v>
      </c>
      <c r="AR32" s="308"/>
      <c r="AS32" s="308"/>
      <c r="AT32" s="308"/>
      <c r="AU32" s="308"/>
      <c r="AV32" s="308"/>
      <c r="AW32" s="308"/>
      <c r="AX32" s="308"/>
      <c r="AY32" s="308"/>
      <c r="AZ32" s="308"/>
      <c r="BA32" s="308"/>
      <c r="BB32" s="308"/>
      <c r="BC32" s="308"/>
      <c r="BD32" s="255"/>
      <c r="BE32" s="206"/>
      <c r="BG32" s="222">
        <v>0</v>
      </c>
      <c r="BH32" s="223">
        <v>0</v>
      </c>
      <c r="BI32" s="223">
        <v>0</v>
      </c>
      <c r="BJ32" s="223">
        <v>0</v>
      </c>
      <c r="BK32" s="223">
        <v>0</v>
      </c>
      <c r="BL32" s="223">
        <v>0</v>
      </c>
      <c r="BM32" s="223">
        <v>0</v>
      </c>
      <c r="BN32" s="223">
        <v>0</v>
      </c>
      <c r="BO32" s="223">
        <v>0</v>
      </c>
      <c r="BP32" s="223">
        <v>0</v>
      </c>
      <c r="BQ32" s="223">
        <v>0</v>
      </c>
      <c r="BR32" s="223">
        <v>0</v>
      </c>
      <c r="BS32" s="223">
        <v>0</v>
      </c>
      <c r="BT32" s="224">
        <v>0</v>
      </c>
      <c r="CI32">
        <v>3.1666666666666665</v>
      </c>
      <c r="CJ32">
        <v>10.669791666666665</v>
      </c>
      <c r="CK32">
        <v>18.172916666666666</v>
      </c>
      <c r="CL32">
        <v>25.676041666666666</v>
      </c>
      <c r="CM32">
        <v>33.17916666666666</v>
      </c>
      <c r="CN32">
        <v>40.682291666666657</v>
      </c>
    </row>
    <row r="33" spans="2:92" x14ac:dyDescent="0.25">
      <c r="B33" s="144"/>
      <c r="C33" s="144"/>
      <c r="E33" s="335"/>
      <c r="F33" s="4" t="str">
        <f>IF(G32="None", "NA", "Distribute Other Rail to Beams From (Bk Span) =")</f>
        <v>NA</v>
      </c>
      <c r="G33" s="64" t="str">
        <v/>
      </c>
      <c r="H33" t="str">
        <v>Rails</v>
      </c>
      <c r="M33" s="131"/>
      <c r="N33" s="131"/>
      <c r="O33" s="131"/>
      <c r="P33" s="131"/>
      <c r="Q33" s="131"/>
      <c r="R33" s="131"/>
      <c r="S33" s="131"/>
      <c r="T33" s="131"/>
      <c r="AJ33" s="204"/>
      <c r="AK33" s="254">
        <v>-0.8125</v>
      </c>
      <c r="AL33" s="308">
        <v>-0.8125</v>
      </c>
      <c r="AM33" s="308">
        <v>-0.8125</v>
      </c>
      <c r="AN33" s="308">
        <v>-0.8125</v>
      </c>
      <c r="AO33" s="308">
        <v>-0.8125</v>
      </c>
      <c r="AP33" s="308">
        <v>-0.8125</v>
      </c>
      <c r="AQ33" s="308">
        <v>-0.8125</v>
      </c>
      <c r="AR33" s="308"/>
      <c r="AS33" s="308"/>
      <c r="AT33" s="308"/>
      <c r="AU33" s="308"/>
      <c r="AV33" s="308"/>
      <c r="AW33" s="308"/>
      <c r="AX33" s="308"/>
      <c r="AY33" s="308"/>
      <c r="AZ33" s="308"/>
      <c r="BA33" s="308"/>
      <c r="BB33" s="308"/>
      <c r="BC33" s="308"/>
      <c r="BD33" s="255"/>
      <c r="BE33" s="230"/>
      <c r="BF33" s="125"/>
      <c r="BG33" s="125"/>
      <c r="BH33" s="125"/>
      <c r="BI33" s="125"/>
      <c r="BJ33" s="125"/>
      <c r="CI33">
        <v>3.6666666666666665</v>
      </c>
      <c r="CJ33">
        <v>11.169791666666665</v>
      </c>
      <c r="CK33">
        <v>18.672916666666666</v>
      </c>
      <c r="CL33">
        <v>26.176041666666666</v>
      </c>
      <c r="CM33">
        <v>33.67916666666666</v>
      </c>
      <c r="CN33">
        <v>41.182291666666657</v>
      </c>
    </row>
    <row r="34" spans="2:92" ht="15.75" thickBot="1" x14ac:dyDescent="0.3">
      <c r="E34" s="335"/>
      <c r="F34" s="4" t="str">
        <f>IF(G32="None", "NA", "Distribute Other Rail to Beams to (Bk Span) =")</f>
        <v>NA</v>
      </c>
      <c r="G34" s="64" t="str">
        <v/>
      </c>
      <c r="H34" t="str">
        <v>Rails</v>
      </c>
      <c r="M34" s="131"/>
      <c r="N34" s="131"/>
      <c r="O34" s="131"/>
      <c r="P34" s="131"/>
      <c r="Q34" s="131"/>
      <c r="R34" s="131"/>
      <c r="S34" s="131"/>
      <c r="T34" s="131"/>
      <c r="AJ34" s="204"/>
      <c r="AK34" s="254">
        <v>-0.14583333333333334</v>
      </c>
      <c r="AL34" s="308">
        <v>-0.14583333333333334</v>
      </c>
      <c r="AM34" s="308">
        <v>-0.14583333333333334</v>
      </c>
      <c r="AN34" s="308">
        <v>-0.14583333333333334</v>
      </c>
      <c r="AO34" s="308">
        <v>-0.14583333333333334</v>
      </c>
      <c r="AP34" s="308">
        <v>-0.14583333333333334</v>
      </c>
      <c r="AQ34" s="308">
        <v>-0.14583333333333334</v>
      </c>
      <c r="AR34" s="308"/>
      <c r="AS34" s="308"/>
      <c r="AT34" s="308"/>
      <c r="AU34" s="308"/>
      <c r="AV34" s="308"/>
      <c r="AW34" s="308"/>
      <c r="AX34" s="308"/>
      <c r="AY34" s="308"/>
      <c r="AZ34" s="308"/>
      <c r="BA34" s="308"/>
      <c r="BB34" s="308"/>
      <c r="BC34" s="308"/>
      <c r="BD34" s="255"/>
      <c r="BE34" s="206"/>
      <c r="CI34">
        <v>3.6666666666666665</v>
      </c>
      <c r="CJ34">
        <v>11.169791666666665</v>
      </c>
      <c r="CK34">
        <v>18.672916666666666</v>
      </c>
      <c r="CL34">
        <v>26.176041666666666</v>
      </c>
      <c r="CM34">
        <v>33.67916666666666</v>
      </c>
      <c r="CN34">
        <v>41.182291666666657</v>
      </c>
    </row>
    <row r="35" spans="2:92" ht="15.75" thickBot="1" x14ac:dyDescent="0.3">
      <c r="B35" s="144"/>
      <c r="C35" s="144"/>
      <c r="E35" s="335"/>
      <c r="F35" s="4" t="str">
        <f>IF(G32="None", "NA", "Distribute Other Rail to Beams From (Fwd Span) =")</f>
        <v>NA</v>
      </c>
      <c r="G35" s="64" t="str">
        <v/>
      </c>
      <c r="H35" t="str">
        <v>Rails</v>
      </c>
      <c r="M35" s="131"/>
      <c r="N35" s="131"/>
      <c r="O35" s="131"/>
      <c r="P35" s="131"/>
      <c r="Q35" s="131"/>
      <c r="R35" s="131"/>
      <c r="S35" s="131"/>
      <c r="T35" s="131"/>
      <c r="AJ35" s="204"/>
      <c r="AK35" s="321">
        <v>-0.14583333333333334</v>
      </c>
      <c r="AL35" s="310">
        <v>-0.14583333333333334</v>
      </c>
      <c r="AM35" s="310">
        <v>-0.14583333333333334</v>
      </c>
      <c r="AN35" s="310">
        <v>-0.14583333333333334</v>
      </c>
      <c r="AO35" s="310">
        <v>-0.14583333333333334</v>
      </c>
      <c r="AP35" s="310">
        <v>-0.14583333333333334</v>
      </c>
      <c r="AQ35" s="310">
        <v>-0.14583333333333334</v>
      </c>
      <c r="AR35" s="310"/>
      <c r="AS35" s="310"/>
      <c r="AT35" s="310"/>
      <c r="AU35" s="310"/>
      <c r="AV35" s="310"/>
      <c r="AW35" s="310"/>
      <c r="AX35" s="310"/>
      <c r="AY35" s="310"/>
      <c r="AZ35" s="310"/>
      <c r="BA35" s="310"/>
      <c r="BB35" s="310"/>
      <c r="BC35" s="310"/>
      <c r="BD35" s="320"/>
      <c r="BE35" s="206"/>
      <c r="BH35" s="211" t="s">
        <v>2047</v>
      </c>
      <c r="BI35" s="202"/>
      <c r="BJ35" s="202"/>
      <c r="BK35" s="202"/>
      <c r="BL35" s="202"/>
      <c r="BM35" s="202"/>
      <c r="BN35" s="202"/>
      <c r="BO35" s="202"/>
      <c r="BP35" s="202"/>
      <c r="BQ35" s="202"/>
      <c r="BR35" s="202"/>
      <c r="BS35" s="203"/>
      <c r="BU35" s="211" t="s">
        <v>2049</v>
      </c>
      <c r="BV35" s="202"/>
      <c r="BW35" s="202"/>
      <c r="BX35" s="202"/>
      <c r="BY35" s="202"/>
      <c r="BZ35" s="203"/>
      <c r="CI35">
        <v>2</v>
      </c>
      <c r="CJ35">
        <v>9.5031249999999989</v>
      </c>
      <c r="CK35">
        <v>17.006249999999998</v>
      </c>
      <c r="CL35">
        <v>24.509374999999999</v>
      </c>
      <c r="CM35">
        <v>32.012499999999996</v>
      </c>
      <c r="CN35">
        <v>39.515624999999993</v>
      </c>
    </row>
    <row r="36" spans="2:92" ht="15.75" thickBot="1" x14ac:dyDescent="0.3">
      <c r="B36" s="144"/>
      <c r="C36" s="144"/>
      <c r="E36" s="336"/>
      <c r="F36" s="5" t="str">
        <f>IF(G32="None", "NA", "Distribute Other Rail to Beams to (Fwd Span) =")</f>
        <v>NA</v>
      </c>
      <c r="G36" s="64" t="str">
        <v/>
      </c>
      <c r="H36" t="str">
        <v>Rails</v>
      </c>
      <c r="M36" s="131"/>
      <c r="N36" s="131"/>
      <c r="O36" s="131"/>
      <c r="P36" s="131"/>
      <c r="Q36" s="131"/>
      <c r="R36" s="131"/>
      <c r="S36" s="131"/>
      <c r="T36" s="131"/>
      <c r="AJ36" s="208"/>
      <c r="AK36" s="209"/>
      <c r="AL36" s="209"/>
      <c r="AM36" s="209"/>
      <c r="AN36" s="209"/>
      <c r="AO36" s="209"/>
      <c r="AP36" s="209"/>
      <c r="AQ36" s="209"/>
      <c r="AR36" s="209"/>
      <c r="AS36" s="209"/>
      <c r="AT36" s="209"/>
      <c r="AU36" s="209"/>
      <c r="AV36" s="209"/>
      <c r="AW36" s="209"/>
      <c r="AX36" s="209"/>
      <c r="AY36" s="209"/>
      <c r="AZ36" s="209"/>
      <c r="BA36" s="209"/>
      <c r="BB36" s="209"/>
      <c r="BC36" s="209"/>
      <c r="BD36" s="209"/>
      <c r="BE36" s="210"/>
      <c r="BH36" s="204"/>
      <c r="BI36" s="205"/>
      <c r="BJ36" s="205"/>
      <c r="BK36" s="205"/>
      <c r="BL36" s="205"/>
      <c r="BM36" s="205"/>
      <c r="BN36" s="205"/>
      <c r="BO36" s="205"/>
      <c r="BP36" s="205"/>
      <c r="BQ36" s="205"/>
      <c r="BR36" s="205"/>
      <c r="BS36" s="206"/>
      <c r="BU36" s="204"/>
      <c r="BV36" s="205"/>
      <c r="BW36" s="225" t="s">
        <v>2045</v>
      </c>
      <c r="BX36" s="226" t="s">
        <v>817</v>
      </c>
      <c r="BY36" s="227" t="s">
        <v>818</v>
      </c>
      <c r="BZ36" s="206"/>
    </row>
    <row r="37" spans="2:92" ht="15.75" thickBot="1" x14ac:dyDescent="0.3">
      <c r="B37" s="144"/>
      <c r="C37" s="144"/>
      <c r="E37" s="334" t="s">
        <v>149</v>
      </c>
      <c r="F37" s="69" t="s">
        <v>150</v>
      </c>
      <c r="G37" s="64">
        <v>0</v>
      </c>
      <c r="H37" t="str" cm="1">
        <f t="array" ref="H37:H43">D37:D43&amp;E37</f>
        <v>Sidewalks</v>
      </c>
      <c r="M37" s="131"/>
      <c r="N37" s="131"/>
      <c r="O37" s="131"/>
      <c r="P37" s="131"/>
      <c r="Q37" s="131"/>
      <c r="R37" s="131"/>
      <c r="S37" s="131"/>
      <c r="T37" s="131"/>
      <c r="BH37" s="204"/>
      <c r="BI37" s="205"/>
      <c r="BJ37" s="217" t="s">
        <v>817</v>
      </c>
      <c r="BK37" s="218" t="s">
        <v>818</v>
      </c>
      <c r="BL37" s="205"/>
      <c r="BM37" s="217" t="s">
        <v>2036</v>
      </c>
      <c r="BN37" s="218" t="s">
        <v>2037</v>
      </c>
      <c r="BO37" s="205"/>
      <c r="BP37" s="217" t="s">
        <v>2045</v>
      </c>
      <c r="BQ37" s="311" t="s">
        <v>817</v>
      </c>
      <c r="BR37" s="218" t="s">
        <v>818</v>
      </c>
      <c r="BS37" s="206"/>
      <c r="BU37" s="204"/>
      <c r="BV37" s="319" t="s">
        <v>2042</v>
      </c>
      <c r="BW37" s="315">
        <f>OSOHBack</f>
        <v>2.8333333333333335</v>
      </c>
      <c r="BX37" s="219">
        <f>AK87</f>
        <v>0</v>
      </c>
      <c r="BY37" s="221">
        <f>AL89</f>
        <v>0.83333333333333337</v>
      </c>
      <c r="BZ37" s="206"/>
      <c r="CC37" s="94"/>
    </row>
    <row r="38" spans="2:92" ht="15.75" thickTop="1" x14ac:dyDescent="0.25">
      <c r="E38" s="335"/>
      <c r="F38" s="4" t="s">
        <v>152</v>
      </c>
      <c r="G38" s="64">
        <v>0</v>
      </c>
      <c r="H38" t="str">
        <v>Sidewalks</v>
      </c>
      <c r="M38" s="131"/>
      <c r="N38" s="131"/>
      <c r="O38" s="131"/>
      <c r="P38" s="131"/>
      <c r="Q38" s="131"/>
      <c r="R38" s="131"/>
      <c r="S38" s="131"/>
      <c r="T38" s="131"/>
      <c r="AJ38" s="201"/>
      <c r="AK38" s="202"/>
      <c r="AL38" s="202"/>
      <c r="AM38" s="202"/>
      <c r="AN38" s="202"/>
      <c r="AO38" s="202"/>
      <c r="AP38" s="202"/>
      <c r="AQ38" s="202"/>
      <c r="AR38" s="202"/>
      <c r="AS38" s="202"/>
      <c r="AT38" s="202"/>
      <c r="AU38" s="202"/>
      <c r="AV38" s="202"/>
      <c r="AW38" s="202"/>
      <c r="AX38" s="202"/>
      <c r="AY38" s="202"/>
      <c r="AZ38" s="202"/>
      <c r="BA38" s="202"/>
      <c r="BB38" s="202"/>
      <c r="BC38" s="202"/>
      <c r="BD38" s="202"/>
      <c r="BE38" s="203"/>
      <c r="BH38" s="204"/>
      <c r="BI38" s="229" cm="1">
        <f t="array" ref="BI38:BI57">_xlfn.SEQUENCE(20)</f>
        <v>1</v>
      </c>
      <c r="BJ38" s="303" cm="1">
        <f t="array" ref="BJ38:BJ44">_xlfn.ANCHORARRAY(BN38)</f>
        <v>2.8333333333333335</v>
      </c>
      <c r="BK38" s="304" cm="1">
        <f t="array" ref="BK38:BK44">AVERAGE(AK23:AK35)+_xlfn.SEQUENCE(BkBms,,0,0)</f>
        <v>-2.1842948717948718</v>
      </c>
      <c r="BL38" s="205"/>
      <c r="BM38" s="303" cm="1">
        <f t="array" ref="BM38:BM44">_xlfn.CHOOSEROWS(G99:G118,_xlfn.SEQUENCE(BkBms))</f>
        <v>2.8333333333333335</v>
      </c>
      <c r="BN38" s="304" cm="1">
        <f t="array" ref="BN38:BN44">MMULT(N(ROW(_xlfn.ANCHORARRAY(BM38))&gt;=TRANSPOSE(ROW(_xlfn.ANCHORARRAY(BM38)))),_xlfn.ANCHORARRAY(BM38))</f>
        <v>2.8333333333333335</v>
      </c>
      <c r="BO38" s="205"/>
      <c r="BP38" s="307" cm="1">
        <f t="array" ref="BP38:BP43">_xlfn.CHOOSEROWS(_xlfn.ANCHORARRAY(BM38),_xlfn.SEQUENCE(BkBms-1,,2))</f>
        <v>6</v>
      </c>
      <c r="BQ38" s="308">
        <f>IF(BJ39="",NA(),AVERAGE(BJ38:BJ39))</f>
        <v>5.8333333333333339</v>
      </c>
      <c r="BR38" s="255" cm="1">
        <f t="array" ref="BR38:BR57">IF(BQ38:BQ57="",NA(),BK38:BK57)</f>
        <v>-2.1842948717948718</v>
      </c>
      <c r="BS38" s="206"/>
      <c r="BU38" s="204"/>
      <c r="BV38" s="319" t="s">
        <v>2043</v>
      </c>
      <c r="BW38" s="316">
        <f>OSOHBack-_xlfn.XLOOKUP(bkspangirder,Table13[Girder Type],Table13[Width (ft)])/2</f>
        <v>2</v>
      </c>
      <c r="BX38" s="219">
        <f>AK114</f>
        <v>0</v>
      </c>
      <c r="BY38" s="221">
        <f>AL116</f>
        <v>1.25</v>
      </c>
      <c r="BZ38" s="206"/>
    </row>
    <row r="39" spans="2:92" x14ac:dyDescent="0.25">
      <c r="E39" s="335"/>
      <c r="F39" s="4" t="s">
        <v>151</v>
      </c>
      <c r="G39" s="64">
        <v>0.15</v>
      </c>
      <c r="H39" t="str">
        <v>Sidewalks</v>
      </c>
      <c r="M39" s="131"/>
      <c r="N39" s="131"/>
      <c r="O39" s="131"/>
      <c r="P39" s="131"/>
      <c r="Q39" s="131"/>
      <c r="R39" s="131"/>
      <c r="S39" s="131"/>
      <c r="T39" s="131"/>
      <c r="AJ39" s="204"/>
      <c r="AK39" s="228" t="str">
        <f>ProjectSubject &amp;" - Forward Span (" &amp; fdspanpgl &amp; "')"</f>
        <v>Bent 75R - Forward Span (115')</v>
      </c>
      <c r="AL39" s="205"/>
      <c r="AM39" s="205"/>
      <c r="AN39" s="205"/>
      <c r="AO39" s="205"/>
      <c r="AP39" s="205"/>
      <c r="AQ39" s="205"/>
      <c r="AR39" s="205"/>
      <c r="AS39" s="205"/>
      <c r="AT39" s="205"/>
      <c r="AU39" s="205"/>
      <c r="AV39" s="205"/>
      <c r="AW39" s="205"/>
      <c r="AX39" s="205"/>
      <c r="AY39" s="205"/>
      <c r="AZ39" s="205"/>
      <c r="BA39" s="205"/>
      <c r="BB39" s="205"/>
      <c r="BC39" s="205"/>
      <c r="BD39" s="205"/>
      <c r="BE39" s="206"/>
      <c r="BH39" s="204"/>
      <c r="BI39" s="229">
        <v>2</v>
      </c>
      <c r="BJ39" s="303">
        <v>8.8333333333333339</v>
      </c>
      <c r="BK39" s="304">
        <v>-2.1842948717948718</v>
      </c>
      <c r="BL39" s="205"/>
      <c r="BM39" s="303">
        <v>6</v>
      </c>
      <c r="BN39" s="304">
        <v>8.8333333333333339</v>
      </c>
      <c r="BO39" s="205"/>
      <c r="BP39" s="307">
        <v>6</v>
      </c>
      <c r="BQ39" s="308">
        <f t="shared" ref="BQ39:BQ57" si="0">IF(BJ40="",NA(),AVERAGE(BJ39:BJ40))</f>
        <v>11.833333333333334</v>
      </c>
      <c r="BR39" s="255">
        <v>-2.1842948717948718</v>
      </c>
      <c r="BS39" s="206"/>
      <c r="BU39" s="204"/>
      <c r="BV39" s="319" t="s">
        <v>2040</v>
      </c>
      <c r="BW39" s="315">
        <f>OSOHBackRT</f>
        <v>2.8333333333333335</v>
      </c>
      <c r="BX39" s="317">
        <f>AK98</f>
        <v>43.182291666666664</v>
      </c>
      <c r="BY39" s="221">
        <f>AL98</f>
        <v>0.83333333333333337</v>
      </c>
      <c r="BZ39" s="206"/>
    </row>
    <row r="40" spans="2:92" ht="15.75" thickBot="1" x14ac:dyDescent="0.3">
      <c r="E40" s="335"/>
      <c r="F40" s="4" t="str">
        <f>IF(G37=0, "NA", "Distribute Sidewalk to Beams From (Bk Span) =")</f>
        <v>NA</v>
      </c>
      <c r="G40" s="64" t="str">
        <v/>
      </c>
      <c r="H40" t="str">
        <v>Sidewalks</v>
      </c>
      <c r="M40" s="131"/>
      <c r="N40" s="131"/>
      <c r="O40" s="131"/>
      <c r="P40" s="131"/>
      <c r="Q40" s="131"/>
      <c r="R40" s="131"/>
      <c r="S40" s="131"/>
      <c r="T40" s="131"/>
      <c r="AJ40" s="204"/>
      <c r="AK40" s="229" cm="1">
        <f t="array" ref="AK40:BD40">_xlfn.SEQUENCE(,20)</f>
        <v>1</v>
      </c>
      <c r="AL40" s="229">
        <v>2</v>
      </c>
      <c r="AM40" s="229">
        <v>3</v>
      </c>
      <c r="AN40" s="229">
        <v>4</v>
      </c>
      <c r="AO40" s="229">
        <v>5</v>
      </c>
      <c r="AP40" s="229">
        <v>6</v>
      </c>
      <c r="AQ40" s="229">
        <v>7</v>
      </c>
      <c r="AR40" s="229">
        <v>8</v>
      </c>
      <c r="AS40" s="229">
        <v>9</v>
      </c>
      <c r="AT40" s="229">
        <v>10</v>
      </c>
      <c r="AU40" s="229">
        <v>11</v>
      </c>
      <c r="AV40" s="229">
        <v>12</v>
      </c>
      <c r="AW40" s="229">
        <v>13</v>
      </c>
      <c r="AX40" s="229">
        <v>14</v>
      </c>
      <c r="AY40" s="229">
        <v>15</v>
      </c>
      <c r="AZ40" s="229">
        <v>16</v>
      </c>
      <c r="BA40" s="229">
        <v>17</v>
      </c>
      <c r="BB40" s="229">
        <v>18</v>
      </c>
      <c r="BC40" s="229">
        <v>19</v>
      </c>
      <c r="BD40" s="229">
        <v>20</v>
      </c>
      <c r="BE40" s="206"/>
      <c r="BH40" s="204"/>
      <c r="BI40" s="229">
        <v>3</v>
      </c>
      <c r="BJ40" s="303">
        <v>14.833333333333334</v>
      </c>
      <c r="BK40" s="304">
        <v>-2.1842948717948718</v>
      </c>
      <c r="BL40" s="205"/>
      <c r="BM40" s="303">
        <v>6</v>
      </c>
      <c r="BN40" s="304">
        <v>14.833333333333334</v>
      </c>
      <c r="BO40" s="205"/>
      <c r="BP40" s="307">
        <v>6</v>
      </c>
      <c r="BQ40" s="308">
        <f t="shared" si="0"/>
        <v>17.833333333333336</v>
      </c>
      <c r="BR40" s="255">
        <v>-2.1842948717948718</v>
      </c>
      <c r="BS40" s="206"/>
      <c r="BU40" s="204"/>
      <c r="BV40" s="319" t="s">
        <v>2041</v>
      </c>
      <c r="BW40" s="316">
        <f>OSOHBackRT-_xlfn.XLOOKUP(bkspangirder,Table13[Girder Type],Table13[Width (ft)])/2</f>
        <v>2</v>
      </c>
      <c r="BX40" s="219">
        <f>AK123</f>
        <v>43.182291666666664</v>
      </c>
      <c r="BY40" s="221">
        <f>AL125</f>
        <v>1.25</v>
      </c>
      <c r="BZ40" s="206"/>
    </row>
    <row r="41" spans="2:92" ht="15.75" thickBot="1" x14ac:dyDescent="0.3">
      <c r="E41" s="335"/>
      <c r="F41" s="4" t="str">
        <f>IF(G37=0, "NA", "Distribute Sidewalk to Beams to (Bk Span) =")</f>
        <v>NA</v>
      </c>
      <c r="G41" s="64" t="str">
        <v/>
      </c>
      <c r="H41" t="str">
        <v>Sidewalks</v>
      </c>
      <c r="M41" s="131"/>
      <c r="N41" s="131"/>
      <c r="O41" s="131"/>
      <c r="P41" s="131"/>
      <c r="Q41" s="131"/>
      <c r="R41" s="131"/>
      <c r="S41" s="131"/>
      <c r="T41" s="131"/>
      <c r="AJ41" s="204"/>
      <c r="AK41" s="231" cm="1">
        <f t="array" ref="AK41:AP41">_xlfn.SEQUENCE(,FdBms)</f>
        <v>1</v>
      </c>
      <c r="AL41" s="232">
        <v>2</v>
      </c>
      <c r="AM41" s="232">
        <v>3</v>
      </c>
      <c r="AN41" s="232">
        <v>4</v>
      </c>
      <c r="AO41" s="232">
        <v>5</v>
      </c>
      <c r="AP41" s="232">
        <v>6</v>
      </c>
      <c r="AQ41" s="232"/>
      <c r="AR41" s="232"/>
      <c r="AS41" s="232"/>
      <c r="AT41" s="232"/>
      <c r="AU41" s="232"/>
      <c r="AV41" s="232"/>
      <c r="AW41" s="232"/>
      <c r="AX41" s="232"/>
      <c r="AY41" s="232"/>
      <c r="AZ41" s="232"/>
      <c r="BA41" s="232"/>
      <c r="BB41" s="232"/>
      <c r="BC41" s="232"/>
      <c r="BD41" s="233"/>
      <c r="BE41" s="206"/>
      <c r="BH41" s="204"/>
      <c r="BI41" s="229">
        <v>4</v>
      </c>
      <c r="BJ41" s="303">
        <v>20.833333333333336</v>
      </c>
      <c r="BK41" s="304">
        <v>-2.1842948717948718</v>
      </c>
      <c r="BL41" s="205"/>
      <c r="BM41" s="303">
        <v>6</v>
      </c>
      <c r="BN41" s="304">
        <v>20.833333333333336</v>
      </c>
      <c r="BO41" s="205"/>
      <c r="BP41" s="307">
        <v>6</v>
      </c>
      <c r="BQ41" s="308">
        <f t="shared" si="0"/>
        <v>23.833333333333336</v>
      </c>
      <c r="BR41" s="255">
        <v>-2.1842948717948718</v>
      </c>
      <c r="BS41" s="206"/>
      <c r="BU41" s="204"/>
      <c r="BV41" s="319" t="s">
        <v>2046</v>
      </c>
      <c r="BW41" s="318" cm="1">
        <f t="array" ref="BW41">_xlfn.CHOOSEROWS(_xlfn.ANCHORARRAY(BM38),BkBms)-_xlfn.XLOOKUP(bkspangirder,Table13[Girder Type],Table13[Width (ft)])</f>
        <v>5.0903333333333336</v>
      </c>
      <c r="BX41" s="223">
        <f>AVERAGE(AK134:AK135)</f>
        <v>36.970458333333326</v>
      </c>
      <c r="BY41" s="224">
        <f>AL134</f>
        <v>0.83333333333333337</v>
      </c>
      <c r="BZ41" s="206"/>
    </row>
    <row r="42" spans="2:92" ht="16.5" thickTop="1" thickBot="1" x14ac:dyDescent="0.3">
      <c r="E42" s="335"/>
      <c r="F42" s="4" t="str">
        <f>IF(G37=0, "NA", "Distribute Sidewalk to Beams From (Fwd Span) =")</f>
        <v>NA</v>
      </c>
      <c r="G42" s="64" t="str">
        <v/>
      </c>
      <c r="H42" t="str">
        <v>Sidewalks</v>
      </c>
      <c r="AJ42" s="204"/>
      <c r="AK42" s="254" cm="1">
        <f t="array" ref="AK42:AP54">_xlfn.CHOOSECOLS(_xlfn.ANCHORARRAY(BG5),MATCH(fdspangirder &amp; "_x",_xlfn.ANCHORARRAY(BG4),0))+TRANSPOSE(_xlfn.ANCHORARRAY(BN63))-_xlfn.XLOOKUP(fdspangirder,Table13[Girder Type],Table13[Width (ft)])/2</f>
        <v>2</v>
      </c>
      <c r="AL42" s="308">
        <v>10.5</v>
      </c>
      <c r="AM42" s="308">
        <v>19.000000000000004</v>
      </c>
      <c r="AN42" s="308">
        <v>27.500000000000004</v>
      </c>
      <c r="AO42" s="308">
        <v>36</v>
      </c>
      <c r="AP42" s="308">
        <v>39.514000000000003</v>
      </c>
      <c r="AQ42" s="308"/>
      <c r="AR42" s="308"/>
      <c r="AS42" s="308"/>
      <c r="AT42" s="308"/>
      <c r="AU42" s="308"/>
      <c r="AV42" s="308"/>
      <c r="AW42" s="308"/>
      <c r="AX42" s="308"/>
      <c r="AY42" s="308"/>
      <c r="AZ42" s="308"/>
      <c r="BA42" s="308"/>
      <c r="BB42" s="308"/>
      <c r="BC42" s="308"/>
      <c r="BD42" s="255"/>
      <c r="BE42" s="206"/>
      <c r="BH42" s="204"/>
      <c r="BI42" s="229">
        <v>5</v>
      </c>
      <c r="BJ42" s="303">
        <v>26.833333333333336</v>
      </c>
      <c r="BK42" s="304">
        <v>-2.1842948717948718</v>
      </c>
      <c r="BL42" s="205"/>
      <c r="BM42" s="303">
        <v>6</v>
      </c>
      <c r="BN42" s="304">
        <v>26.833333333333336</v>
      </c>
      <c r="BO42" s="205"/>
      <c r="BP42" s="307">
        <v>6.7569999999999997</v>
      </c>
      <c r="BQ42" s="308">
        <f t="shared" si="0"/>
        <v>30.211833333333335</v>
      </c>
      <c r="BR42" s="255">
        <v>-2.1842948717948718</v>
      </c>
      <c r="BS42" s="206"/>
      <c r="BU42" s="208"/>
      <c r="BV42" s="209"/>
      <c r="BW42" s="209"/>
      <c r="BX42" s="209"/>
      <c r="BY42" s="209"/>
      <c r="BZ42" s="210"/>
    </row>
    <row r="43" spans="2:92" ht="15.75" thickBot="1" x14ac:dyDescent="0.3">
      <c r="E43" s="336"/>
      <c r="F43" s="5" t="str">
        <f>IF(G37=0, "NA", "Distribute Sidewalk to Beams to (Fwd Span) =")</f>
        <v>NA</v>
      </c>
      <c r="G43" s="64" t="str">
        <v/>
      </c>
      <c r="H43" t="str">
        <v>Sidewalks</v>
      </c>
      <c r="P43" t="b">
        <v>1</v>
      </c>
      <c r="AJ43" s="204"/>
      <c r="AK43" s="254">
        <v>2</v>
      </c>
      <c r="AL43" s="308">
        <v>10.5</v>
      </c>
      <c r="AM43" s="308">
        <v>19.000000000000004</v>
      </c>
      <c r="AN43" s="308">
        <v>27.500000000000004</v>
      </c>
      <c r="AO43" s="308">
        <v>36</v>
      </c>
      <c r="AP43" s="308">
        <v>39.514000000000003</v>
      </c>
      <c r="AQ43" s="308"/>
      <c r="AR43" s="308"/>
      <c r="AS43" s="308"/>
      <c r="AT43" s="308"/>
      <c r="AU43" s="308"/>
      <c r="AV43" s="308"/>
      <c r="AW43" s="308"/>
      <c r="AX43" s="308"/>
      <c r="AY43" s="308"/>
      <c r="AZ43" s="308"/>
      <c r="BA43" s="308"/>
      <c r="BB43" s="308"/>
      <c r="BC43" s="308"/>
      <c r="BD43" s="255"/>
      <c r="BE43" s="206"/>
      <c r="BH43" s="204"/>
      <c r="BI43" s="229">
        <v>6</v>
      </c>
      <c r="BJ43" s="303">
        <v>33.590333333333334</v>
      </c>
      <c r="BK43" s="304">
        <v>-2.1842948717948718</v>
      </c>
      <c r="BL43" s="205"/>
      <c r="BM43" s="303">
        <v>6.7569999999999997</v>
      </c>
      <c r="BN43" s="304">
        <v>33.590333333333334</v>
      </c>
      <c r="BO43" s="205"/>
      <c r="BP43" s="307">
        <v>6.7569999999999997</v>
      </c>
      <c r="BQ43" s="308">
        <f t="shared" si="0"/>
        <v>36.968833333333336</v>
      </c>
      <c r="BR43" s="255">
        <v>-2.1842948717948718</v>
      </c>
      <c r="BS43" s="206"/>
    </row>
    <row r="44" spans="2:92" ht="15" customHeight="1" x14ac:dyDescent="0.25">
      <c r="E44" s="334" t="s">
        <v>153</v>
      </c>
      <c r="F44" s="3" t="s">
        <v>158</v>
      </c>
      <c r="G44" s="84" t="str">
        <v>Inverted-Tee</v>
      </c>
      <c r="H44" t="str" cm="1">
        <f t="array" ref="H44:H63">D44:D63&amp;E44</f>
        <v>Bent Cap Section Properties</v>
      </c>
      <c r="AJ44" s="204"/>
      <c r="AK44" s="254">
        <v>2.5</v>
      </c>
      <c r="AL44" s="308">
        <v>11</v>
      </c>
      <c r="AM44" s="308">
        <v>19.500000000000004</v>
      </c>
      <c r="AN44" s="308">
        <v>28.000000000000004</v>
      </c>
      <c r="AO44" s="308">
        <v>36.5</v>
      </c>
      <c r="AP44" s="308">
        <v>40.014000000000003</v>
      </c>
      <c r="AQ44" s="308"/>
      <c r="AR44" s="308"/>
      <c r="AS44" s="308"/>
      <c r="AT44" s="308"/>
      <c r="AU44" s="308"/>
      <c r="AV44" s="308"/>
      <c r="AW44" s="308"/>
      <c r="AX44" s="308"/>
      <c r="AY44" s="308"/>
      <c r="AZ44" s="308"/>
      <c r="BA44" s="308"/>
      <c r="BB44" s="308"/>
      <c r="BC44" s="308"/>
      <c r="BD44" s="255"/>
      <c r="BE44" s="206"/>
      <c r="BH44" s="204"/>
      <c r="BI44" s="229">
        <v>7</v>
      </c>
      <c r="BJ44" s="303">
        <v>40.347333333333331</v>
      </c>
      <c r="BK44" s="304">
        <v>-2.1842948717948718</v>
      </c>
      <c r="BL44" s="205"/>
      <c r="BM44" s="303">
        <v>6.7569999999999997</v>
      </c>
      <c r="BN44" s="304">
        <v>40.347333333333331</v>
      </c>
      <c r="BO44" s="205"/>
      <c r="BP44" s="307"/>
      <c r="BQ44" s="308" t="e">
        <f t="shared" si="0"/>
        <v>#N/A</v>
      </c>
      <c r="BR44" s="255" t="e">
        <v>#N/A</v>
      </c>
      <c r="BS44" s="206"/>
    </row>
    <row r="45" spans="2:92" ht="15" customHeight="1" x14ac:dyDescent="0.25">
      <c r="E45" s="335"/>
      <c r="F45" s="4" t="s">
        <v>154</v>
      </c>
      <c r="G45" s="75">
        <v>150</v>
      </c>
      <c r="H45" t="str">
        <v>Bent Cap Section Properties</v>
      </c>
      <c r="M45" s="131"/>
      <c r="N45" s="131"/>
      <c r="O45" s="131"/>
      <c r="P45" s="131"/>
      <c r="Q45" s="131"/>
      <c r="AJ45" s="204"/>
      <c r="AK45" s="254">
        <v>2.5</v>
      </c>
      <c r="AL45" s="308">
        <v>11</v>
      </c>
      <c r="AM45" s="308">
        <v>19.500000000000004</v>
      </c>
      <c r="AN45" s="308">
        <v>28.000000000000004</v>
      </c>
      <c r="AO45" s="308">
        <v>36.5</v>
      </c>
      <c r="AP45" s="308">
        <v>40.014000000000003</v>
      </c>
      <c r="AQ45" s="308"/>
      <c r="AR45" s="308"/>
      <c r="AS45" s="308"/>
      <c r="AT45" s="308"/>
      <c r="AU45" s="308"/>
      <c r="AV45" s="308"/>
      <c r="AW45" s="308"/>
      <c r="AX45" s="308"/>
      <c r="AY45" s="308"/>
      <c r="AZ45" s="308"/>
      <c r="BA45" s="308"/>
      <c r="BB45" s="308"/>
      <c r="BC45" s="308"/>
      <c r="BD45" s="255"/>
      <c r="BE45" s="206"/>
      <c r="BH45" s="204"/>
      <c r="BI45" s="229">
        <v>8</v>
      </c>
      <c r="BJ45" s="303"/>
      <c r="BK45" s="304"/>
      <c r="BL45" s="205"/>
      <c r="BM45" s="303"/>
      <c r="BN45" s="304"/>
      <c r="BO45" s="205"/>
      <c r="BP45" s="307"/>
      <c r="BQ45" s="308" t="e">
        <f t="shared" si="0"/>
        <v>#N/A</v>
      </c>
      <c r="BR45" s="255" t="e">
        <v>#N/A</v>
      </c>
      <c r="BS45" s="206"/>
    </row>
    <row r="46" spans="2:92" x14ac:dyDescent="0.25">
      <c r="E46" s="335"/>
      <c r="F46" s="4" t="s">
        <v>155</v>
      </c>
      <c r="G46" s="70">
        <v>3.6</v>
      </c>
      <c r="H46" t="str">
        <v>Bent Cap Section Properties</v>
      </c>
      <c r="M46" s="131"/>
      <c r="N46" s="131"/>
      <c r="O46" s="131"/>
      <c r="P46" s="131"/>
      <c r="Q46" s="131"/>
      <c r="AJ46" s="204"/>
      <c r="AK46" s="254">
        <v>1.7500000000000002</v>
      </c>
      <c r="AL46" s="308">
        <v>10.25</v>
      </c>
      <c r="AM46" s="308">
        <v>18.750000000000004</v>
      </c>
      <c r="AN46" s="308">
        <v>27.250000000000004</v>
      </c>
      <c r="AO46" s="308">
        <v>35.75</v>
      </c>
      <c r="AP46" s="308">
        <v>39.264000000000003</v>
      </c>
      <c r="AQ46" s="308"/>
      <c r="AR46" s="308"/>
      <c r="AS46" s="308"/>
      <c r="AT46" s="308"/>
      <c r="AU46" s="308"/>
      <c r="AV46" s="308"/>
      <c r="AW46" s="308"/>
      <c r="AX46" s="308"/>
      <c r="AY46" s="308"/>
      <c r="AZ46" s="308"/>
      <c r="BA46" s="308"/>
      <c r="BB46" s="308"/>
      <c r="BC46" s="308"/>
      <c r="BD46" s="255"/>
      <c r="BE46" s="206"/>
      <c r="BH46" s="204"/>
      <c r="BI46" s="229">
        <v>9</v>
      </c>
      <c r="BJ46" s="303"/>
      <c r="BK46" s="304"/>
      <c r="BL46" s="205"/>
      <c r="BM46" s="303"/>
      <c r="BN46" s="304"/>
      <c r="BO46" s="205"/>
      <c r="BP46" s="307"/>
      <c r="BQ46" s="308" t="e">
        <f t="shared" si="0"/>
        <v>#N/A</v>
      </c>
      <c r="BR46" s="255" t="e">
        <v>#N/A</v>
      </c>
      <c r="BS46" s="206"/>
    </row>
    <row r="47" spans="2:92" x14ac:dyDescent="0.25">
      <c r="E47" s="335"/>
      <c r="F47" s="4" t="s">
        <v>8</v>
      </c>
      <c r="G47" s="70">
        <v>60</v>
      </c>
      <c r="H47" t="str">
        <v>Bent Cap Section Properties</v>
      </c>
      <c r="M47" s="131"/>
      <c r="N47" s="131"/>
      <c r="O47" s="139"/>
      <c r="P47" s="131"/>
      <c r="Q47" s="131"/>
      <c r="AJ47" s="204"/>
      <c r="AK47" s="254">
        <v>1.7500000000000002</v>
      </c>
      <c r="AL47" s="308">
        <v>10.25</v>
      </c>
      <c r="AM47" s="308">
        <v>18.750000000000004</v>
      </c>
      <c r="AN47" s="308">
        <v>27.250000000000004</v>
      </c>
      <c r="AO47" s="308">
        <v>35.75</v>
      </c>
      <c r="AP47" s="308">
        <v>39.264000000000003</v>
      </c>
      <c r="AQ47" s="308"/>
      <c r="AR47" s="308"/>
      <c r="AS47" s="308"/>
      <c r="AT47" s="308"/>
      <c r="AU47" s="308"/>
      <c r="AV47" s="308"/>
      <c r="AW47" s="308"/>
      <c r="AX47" s="308"/>
      <c r="AY47" s="308"/>
      <c r="AZ47" s="308"/>
      <c r="BA47" s="308"/>
      <c r="BB47" s="308"/>
      <c r="BC47" s="308"/>
      <c r="BD47" s="255"/>
      <c r="BE47" s="206"/>
      <c r="BH47" s="204"/>
      <c r="BI47" s="229">
        <v>10</v>
      </c>
      <c r="BJ47" s="303"/>
      <c r="BK47" s="304"/>
      <c r="BL47" s="205"/>
      <c r="BM47" s="303"/>
      <c r="BN47" s="304"/>
      <c r="BO47" s="205"/>
      <c r="BP47" s="307"/>
      <c r="BQ47" s="308" t="e">
        <f t="shared" si="0"/>
        <v>#N/A</v>
      </c>
      <c r="BR47" s="255" t="e">
        <v>#N/A</v>
      </c>
      <c r="BS47" s="206"/>
    </row>
    <row r="48" spans="2:92" x14ac:dyDescent="0.25">
      <c r="E48" s="335"/>
      <c r="F48" s="4" t="s">
        <v>156</v>
      </c>
      <c r="G48" s="76" t="str">
        <v>Class 2</v>
      </c>
      <c r="H48" t="str">
        <v>Bent Cap Section Properties</v>
      </c>
      <c r="M48" s="131"/>
      <c r="N48" s="131"/>
      <c r="O48" s="131"/>
      <c r="P48" s="131"/>
      <c r="Q48" s="131"/>
      <c r="AJ48" s="204"/>
      <c r="AK48" s="254">
        <v>3.916666666666667</v>
      </c>
      <c r="AL48" s="308">
        <v>12.416666666666666</v>
      </c>
      <c r="AM48" s="308">
        <v>20.916666666666671</v>
      </c>
      <c r="AN48" s="308">
        <v>29.416666666666671</v>
      </c>
      <c r="AO48" s="308">
        <v>37.916666666666664</v>
      </c>
      <c r="AP48" s="308">
        <v>41.430666666666667</v>
      </c>
      <c r="AQ48" s="308"/>
      <c r="AR48" s="308"/>
      <c r="AS48" s="308"/>
      <c r="AT48" s="308"/>
      <c r="AU48" s="308"/>
      <c r="AV48" s="308"/>
      <c r="AW48" s="308"/>
      <c r="AX48" s="308"/>
      <c r="AY48" s="308"/>
      <c r="AZ48" s="308"/>
      <c r="BA48" s="308"/>
      <c r="BB48" s="308"/>
      <c r="BC48" s="308"/>
      <c r="BD48" s="255"/>
      <c r="BE48" s="206"/>
      <c r="BH48" s="204"/>
      <c r="BI48" s="229">
        <v>11</v>
      </c>
      <c r="BJ48" s="303"/>
      <c r="BK48" s="304"/>
      <c r="BL48" s="205"/>
      <c r="BM48" s="303"/>
      <c r="BN48" s="304"/>
      <c r="BO48" s="205"/>
      <c r="BP48" s="307"/>
      <c r="BQ48" s="308" t="e">
        <f t="shared" si="0"/>
        <v>#N/A</v>
      </c>
      <c r="BR48" s="255" t="e">
        <v>#N/A</v>
      </c>
      <c r="BS48" s="206"/>
    </row>
    <row r="49" spans="5:78" x14ac:dyDescent="0.25">
      <c r="E49" s="335"/>
      <c r="F49" s="4" t="str">
        <f>IF(G5=FALSE, "Design Bent Skew (Rt Fwd is Positive) (°) =", "NA")</f>
        <v>NA</v>
      </c>
      <c r="G49" s="77">
        <v>0</v>
      </c>
      <c r="H49" t="str">
        <v>Bent Cap Section Properties</v>
      </c>
      <c r="M49" s="131"/>
      <c r="N49" s="140"/>
      <c r="O49" s="131"/>
      <c r="P49" s="131"/>
      <c r="Q49" s="131"/>
      <c r="AJ49" s="204"/>
      <c r="AK49" s="254">
        <v>3.916666666666667</v>
      </c>
      <c r="AL49" s="308">
        <v>12.416666666666666</v>
      </c>
      <c r="AM49" s="308">
        <v>20.916666666666671</v>
      </c>
      <c r="AN49" s="308">
        <v>29.416666666666671</v>
      </c>
      <c r="AO49" s="308">
        <v>37.916666666666664</v>
      </c>
      <c r="AP49" s="308">
        <v>41.430666666666667</v>
      </c>
      <c r="AQ49" s="308"/>
      <c r="AR49" s="308"/>
      <c r="AS49" s="308"/>
      <c r="AT49" s="308"/>
      <c r="AU49" s="308"/>
      <c r="AV49" s="308"/>
      <c r="AW49" s="308"/>
      <c r="AX49" s="308"/>
      <c r="AY49" s="308"/>
      <c r="AZ49" s="308"/>
      <c r="BA49" s="308"/>
      <c r="BB49" s="308"/>
      <c r="BC49" s="308"/>
      <c r="BD49" s="255"/>
      <c r="BE49" s="206"/>
      <c r="BH49" s="204"/>
      <c r="BI49" s="229">
        <v>12</v>
      </c>
      <c r="BJ49" s="303"/>
      <c r="BK49" s="304"/>
      <c r="BL49" s="205"/>
      <c r="BM49" s="303"/>
      <c r="BN49" s="304"/>
      <c r="BO49" s="205"/>
      <c r="BP49" s="307"/>
      <c r="BQ49" s="308" t="e">
        <f t="shared" si="0"/>
        <v>#N/A</v>
      </c>
      <c r="BR49" s="255" t="e">
        <v>#N/A</v>
      </c>
      <c r="BS49" s="206"/>
    </row>
    <row r="50" spans="5:78" x14ac:dyDescent="0.25">
      <c r="E50" s="335"/>
      <c r="F50" s="4" t="s">
        <v>7</v>
      </c>
      <c r="G50" s="64">
        <v>40.333333333333336</v>
      </c>
      <c r="H50" t="str">
        <v>Bent Cap Section Properties</v>
      </c>
      <c r="M50" s="131"/>
      <c r="N50" s="131"/>
      <c r="O50" s="131"/>
      <c r="P50" s="139"/>
      <c r="Q50" s="131"/>
      <c r="AJ50" s="204"/>
      <c r="AK50" s="254">
        <v>3.166666666666667</v>
      </c>
      <c r="AL50" s="308">
        <v>11.666666666666666</v>
      </c>
      <c r="AM50" s="308">
        <v>20.166666666666671</v>
      </c>
      <c r="AN50" s="308">
        <v>28.666666666666671</v>
      </c>
      <c r="AO50" s="308">
        <v>37.166666666666664</v>
      </c>
      <c r="AP50" s="308">
        <v>40.680666666666667</v>
      </c>
      <c r="AQ50" s="308"/>
      <c r="AR50" s="308"/>
      <c r="AS50" s="308"/>
      <c r="AT50" s="308"/>
      <c r="AU50" s="308"/>
      <c r="AV50" s="308"/>
      <c r="AW50" s="308"/>
      <c r="AX50" s="308"/>
      <c r="AY50" s="308"/>
      <c r="AZ50" s="308"/>
      <c r="BA50" s="308"/>
      <c r="BB50" s="308"/>
      <c r="BC50" s="308"/>
      <c r="BD50" s="255"/>
      <c r="BE50" s="206"/>
      <c r="BH50" s="204"/>
      <c r="BI50" s="229">
        <v>13</v>
      </c>
      <c r="BJ50" s="303"/>
      <c r="BK50" s="304"/>
      <c r="BL50" s="205"/>
      <c r="BM50" s="303"/>
      <c r="BN50" s="304"/>
      <c r="BO50" s="205"/>
      <c r="BP50" s="307"/>
      <c r="BQ50" s="308" t="e">
        <f t="shared" si="0"/>
        <v>#N/A</v>
      </c>
      <c r="BR50" s="255" t="e">
        <v>#N/A</v>
      </c>
      <c r="BS50" s="206"/>
    </row>
    <row r="51" spans="5:78" x14ac:dyDescent="0.25">
      <c r="E51" s="335"/>
      <c r="F51" s="4" t="s">
        <v>280</v>
      </c>
      <c r="G51" s="64">
        <v>1.3802083333333333</v>
      </c>
      <c r="H51" t="str">
        <v>Bent Cap Section Properties</v>
      </c>
      <c r="M51" s="131"/>
      <c r="N51" s="131"/>
      <c r="O51" s="142"/>
      <c r="P51" s="131"/>
      <c r="Q51" s="131"/>
      <c r="AJ51" s="204"/>
      <c r="AK51" s="254">
        <v>3.166666666666667</v>
      </c>
      <c r="AL51" s="308">
        <v>11.666666666666666</v>
      </c>
      <c r="AM51" s="308">
        <v>20.166666666666671</v>
      </c>
      <c r="AN51" s="308">
        <v>28.666666666666671</v>
      </c>
      <c r="AO51" s="308">
        <v>37.166666666666664</v>
      </c>
      <c r="AP51" s="308">
        <v>40.680666666666667</v>
      </c>
      <c r="AQ51" s="308"/>
      <c r="AR51" s="308"/>
      <c r="AS51" s="308"/>
      <c r="AT51" s="308"/>
      <c r="AU51" s="308"/>
      <c r="AV51" s="308"/>
      <c r="AW51" s="308"/>
      <c r="AX51" s="308"/>
      <c r="AY51" s="308"/>
      <c r="AZ51" s="308"/>
      <c r="BA51" s="308"/>
      <c r="BB51" s="308"/>
      <c r="BC51" s="308"/>
      <c r="BD51" s="255"/>
      <c r="BE51" s="206"/>
      <c r="BH51" s="204"/>
      <c r="BI51" s="229">
        <v>14</v>
      </c>
      <c r="BJ51" s="303"/>
      <c r="BK51" s="304"/>
      <c r="BL51" s="205"/>
      <c r="BM51" s="303"/>
      <c r="BN51" s="304"/>
      <c r="BO51" s="205"/>
      <c r="BP51" s="307"/>
      <c r="BQ51" s="308" t="e">
        <f t="shared" si="0"/>
        <v>#N/A</v>
      </c>
      <c r="BR51" s="255" t="e">
        <v>#N/A</v>
      </c>
      <c r="BS51" s="206"/>
    </row>
    <row r="52" spans="5:78" x14ac:dyDescent="0.25">
      <c r="E52" s="335"/>
      <c r="F52" s="4" t="s">
        <v>279</v>
      </c>
      <c r="G52" s="64">
        <v>1.3802083333333333</v>
      </c>
      <c r="H52" t="str">
        <v>Bent Cap Section Properties</v>
      </c>
      <c r="M52" s="131"/>
      <c r="N52" s="131"/>
      <c r="O52" s="131"/>
      <c r="P52" s="131"/>
      <c r="Q52" s="131"/>
      <c r="AJ52" s="204"/>
      <c r="AK52" s="254">
        <v>3.666666666666667</v>
      </c>
      <c r="AL52" s="308">
        <v>12.166666666666666</v>
      </c>
      <c r="AM52" s="308">
        <v>20.666666666666671</v>
      </c>
      <c r="AN52" s="308">
        <v>29.166666666666671</v>
      </c>
      <c r="AO52" s="308">
        <v>37.666666666666664</v>
      </c>
      <c r="AP52" s="308">
        <v>41.180666666666667</v>
      </c>
      <c r="AQ52" s="308"/>
      <c r="AR52" s="308"/>
      <c r="AS52" s="308"/>
      <c r="AT52" s="308"/>
      <c r="AU52" s="308"/>
      <c r="AV52" s="308"/>
      <c r="AW52" s="308"/>
      <c r="AX52" s="308"/>
      <c r="AY52" s="308"/>
      <c r="AZ52" s="308"/>
      <c r="BA52" s="308"/>
      <c r="BB52" s="308"/>
      <c r="BC52" s="308"/>
      <c r="BD52" s="255"/>
      <c r="BE52" s="206"/>
      <c r="BH52" s="204"/>
      <c r="BI52" s="229">
        <v>15</v>
      </c>
      <c r="BJ52" s="303"/>
      <c r="BK52" s="304"/>
      <c r="BL52" s="205"/>
      <c r="BM52" s="303"/>
      <c r="BN52" s="304"/>
      <c r="BO52" s="205"/>
      <c r="BP52" s="307"/>
      <c r="BQ52" s="308" t="e">
        <f t="shared" si="0"/>
        <v>#N/A</v>
      </c>
      <c r="BR52" s="255" t="e">
        <v>#N/A</v>
      </c>
      <c r="BS52" s="206"/>
    </row>
    <row r="53" spans="5:78" x14ac:dyDescent="0.25">
      <c r="E53" s="335"/>
      <c r="F53" s="4" t="str">
        <f>IF(G5=FALSE, "Bk Bent Skew (Rt Fwd is Positive) (°) =", "NA")</f>
        <v>NA</v>
      </c>
      <c r="G53" s="77">
        <v>0</v>
      </c>
      <c r="H53" t="str">
        <v>Bent Cap Section Properties</v>
      </c>
      <c r="M53" s="131"/>
      <c r="N53" s="131"/>
      <c r="O53" s="131"/>
      <c r="P53" s="131"/>
      <c r="Q53" s="131"/>
      <c r="AJ53" s="204"/>
      <c r="AK53" s="254">
        <v>3.666666666666667</v>
      </c>
      <c r="AL53" s="308">
        <v>12.166666666666666</v>
      </c>
      <c r="AM53" s="308">
        <v>20.666666666666671</v>
      </c>
      <c r="AN53" s="308">
        <v>29.166666666666671</v>
      </c>
      <c r="AO53" s="308">
        <v>37.666666666666664</v>
      </c>
      <c r="AP53" s="308">
        <v>41.180666666666667</v>
      </c>
      <c r="AQ53" s="308"/>
      <c r="AR53" s="308"/>
      <c r="AS53" s="308"/>
      <c r="AT53" s="308"/>
      <c r="AU53" s="308"/>
      <c r="AV53" s="308"/>
      <c r="AW53" s="308"/>
      <c r="AX53" s="308"/>
      <c r="AY53" s="308"/>
      <c r="AZ53" s="308"/>
      <c r="BA53" s="308"/>
      <c r="BB53" s="308"/>
      <c r="BC53" s="308"/>
      <c r="BD53" s="255"/>
      <c r="BE53" s="206"/>
      <c r="BH53" s="204"/>
      <c r="BI53" s="229">
        <v>16</v>
      </c>
      <c r="BJ53" s="303"/>
      <c r="BK53" s="304"/>
      <c r="BL53" s="205"/>
      <c r="BM53" s="303"/>
      <c r="BN53" s="304"/>
      <c r="BO53" s="205"/>
      <c r="BP53" s="307"/>
      <c r="BQ53" s="308" t="e">
        <f t="shared" si="0"/>
        <v>#N/A</v>
      </c>
      <c r="BR53" s="255" t="e">
        <v>#N/A</v>
      </c>
      <c r="BS53" s="206"/>
    </row>
    <row r="54" spans="5:78" ht="15.75" thickBot="1" x14ac:dyDescent="0.3">
      <c r="E54" s="335"/>
      <c r="F54" s="4" t="str">
        <f>IF(G5=FALSE, "Fwd Bent Skew (Rt Fwd is Positive) (°) =", "NA")</f>
        <v>NA</v>
      </c>
      <c r="G54" s="77">
        <v>0</v>
      </c>
      <c r="H54" t="str">
        <v>Bent Cap Section Properties</v>
      </c>
      <c r="M54" s="131"/>
      <c r="N54" s="131"/>
      <c r="O54" s="142"/>
      <c r="P54" s="131"/>
      <c r="Q54" s="131"/>
      <c r="AJ54" s="204"/>
      <c r="AK54" s="321">
        <v>2</v>
      </c>
      <c r="AL54" s="310">
        <v>10.5</v>
      </c>
      <c r="AM54" s="310">
        <v>19.000000000000004</v>
      </c>
      <c r="AN54" s="310">
        <v>27.500000000000004</v>
      </c>
      <c r="AO54" s="310">
        <v>36</v>
      </c>
      <c r="AP54" s="310">
        <v>39.514000000000003</v>
      </c>
      <c r="AQ54" s="310"/>
      <c r="AR54" s="310"/>
      <c r="AS54" s="310"/>
      <c r="AT54" s="310"/>
      <c r="AU54" s="310"/>
      <c r="AV54" s="310"/>
      <c r="AW54" s="310"/>
      <c r="AX54" s="310"/>
      <c r="AY54" s="310"/>
      <c r="AZ54" s="310"/>
      <c r="BA54" s="310"/>
      <c r="BB54" s="310"/>
      <c r="BC54" s="310"/>
      <c r="BD54" s="320"/>
      <c r="BE54" s="206"/>
      <c r="BH54" s="204"/>
      <c r="BI54" s="229">
        <v>17</v>
      </c>
      <c r="BJ54" s="303"/>
      <c r="BK54" s="304"/>
      <c r="BL54" s="205"/>
      <c r="BM54" s="303"/>
      <c r="BN54" s="304"/>
      <c r="BO54" s="205"/>
      <c r="BP54" s="307"/>
      <c r="BQ54" s="308" t="e">
        <f t="shared" si="0"/>
        <v>#N/A</v>
      </c>
      <c r="BR54" s="255" t="e">
        <v>#N/A</v>
      </c>
      <c r="BS54" s="206"/>
    </row>
    <row r="55" spans="5:78" ht="15.75" thickBot="1" x14ac:dyDescent="0.3">
      <c r="E55" s="335"/>
      <c r="F55" s="4" t="s">
        <v>157</v>
      </c>
      <c r="G55" s="64">
        <v>0</v>
      </c>
      <c r="H55" t="str">
        <v>Bent Cap Section Properties</v>
      </c>
      <c r="M55" s="131"/>
      <c r="N55" s="131"/>
      <c r="O55" s="131"/>
      <c r="P55" s="131"/>
      <c r="Q55" s="131"/>
      <c r="AJ55" s="204"/>
      <c r="AK55" s="229" cm="1">
        <f t="array" ref="AK55:BD55">_xlfn.SEQUENCE(,20)</f>
        <v>1</v>
      </c>
      <c r="AL55" s="229">
        <v>2</v>
      </c>
      <c r="AM55" s="229">
        <v>3</v>
      </c>
      <c r="AN55" s="229">
        <v>4</v>
      </c>
      <c r="AO55" s="229">
        <v>5</v>
      </c>
      <c r="AP55" s="229">
        <v>6</v>
      </c>
      <c r="AQ55" s="229">
        <v>7</v>
      </c>
      <c r="AR55" s="229">
        <v>8</v>
      </c>
      <c r="AS55" s="229">
        <v>9</v>
      </c>
      <c r="AT55" s="229">
        <v>10</v>
      </c>
      <c r="AU55" s="229">
        <v>11</v>
      </c>
      <c r="AV55" s="229">
        <v>12</v>
      </c>
      <c r="AW55" s="229">
        <v>13</v>
      </c>
      <c r="AX55" s="229">
        <v>14</v>
      </c>
      <c r="AY55" s="229">
        <v>15</v>
      </c>
      <c r="AZ55" s="229">
        <v>16</v>
      </c>
      <c r="BA55" s="229">
        <v>17</v>
      </c>
      <c r="BB55" s="229">
        <v>18</v>
      </c>
      <c r="BC55" s="229">
        <v>19</v>
      </c>
      <c r="BD55" s="229">
        <v>20</v>
      </c>
      <c r="BE55" s="206"/>
      <c r="BH55" s="204"/>
      <c r="BI55" s="229">
        <v>18</v>
      </c>
      <c r="BJ55" s="303"/>
      <c r="BK55" s="304"/>
      <c r="BL55" s="205"/>
      <c r="BM55" s="303"/>
      <c r="BN55" s="304"/>
      <c r="BO55" s="205"/>
      <c r="BP55" s="307"/>
      <c r="BQ55" s="308" t="e">
        <f t="shared" si="0"/>
        <v>#N/A</v>
      </c>
      <c r="BR55" s="255" t="e">
        <v>#N/A</v>
      </c>
      <c r="BS55" s="206"/>
    </row>
    <row r="56" spans="5:78" ht="15.75" thickBot="1" x14ac:dyDescent="0.3">
      <c r="E56" s="335"/>
      <c r="F56" s="4" t="str">
        <f>IF(G44="Inverted-Tee","Ledge Depth (in) =",IF(G44="Tee","Top Fl Depth (in) =","NA"))</f>
        <v>Ledge Depth (in) =</v>
      </c>
      <c r="G56" s="64">
        <v>20</v>
      </c>
      <c r="H56" t="str">
        <v>Bent Cap Section Properties</v>
      </c>
      <c r="M56" s="131"/>
      <c r="N56" s="141"/>
      <c r="O56" s="131"/>
      <c r="P56" s="131"/>
      <c r="Q56" s="131"/>
      <c r="AJ56" s="204"/>
      <c r="AK56" s="250" cm="1">
        <f t="array" ref="AK56:AP56">_xlfn.SEQUENCE(,FdBms)</f>
        <v>1</v>
      </c>
      <c r="AL56" s="251">
        <v>2</v>
      </c>
      <c r="AM56" s="251">
        <v>3</v>
      </c>
      <c r="AN56" s="251">
        <v>4</v>
      </c>
      <c r="AO56" s="251">
        <v>5</v>
      </c>
      <c r="AP56" s="251">
        <v>6</v>
      </c>
      <c r="AQ56" s="251"/>
      <c r="AR56" s="251"/>
      <c r="AS56" s="251"/>
      <c r="AT56" s="251"/>
      <c r="AU56" s="251"/>
      <c r="AV56" s="251"/>
      <c r="AW56" s="251"/>
      <c r="AX56" s="251"/>
      <c r="AY56" s="251"/>
      <c r="AZ56" s="251"/>
      <c r="BA56" s="251"/>
      <c r="BB56" s="251"/>
      <c r="BC56" s="251"/>
      <c r="BD56" s="252"/>
      <c r="BE56" s="206"/>
      <c r="BH56" s="204"/>
      <c r="BI56" s="229">
        <v>19</v>
      </c>
      <c r="BJ56" s="303"/>
      <c r="BK56" s="304"/>
      <c r="BL56" s="205"/>
      <c r="BM56" s="303"/>
      <c r="BN56" s="304"/>
      <c r="BO56" s="205"/>
      <c r="BP56" s="307"/>
      <c r="BQ56" s="308" t="e">
        <f t="shared" si="0"/>
        <v>#N/A</v>
      </c>
      <c r="BR56" s="255" t="e">
        <v>#N/A</v>
      </c>
      <c r="BS56" s="206"/>
    </row>
    <row r="57" spans="5:78" ht="16.5" thickTop="1" thickBot="1" x14ac:dyDescent="0.3">
      <c r="E57" s="335"/>
      <c r="F57" s="4" t="str">
        <f>IF(G44="Inverted-Tee","Total Cap Width @ bot (in) =",IF(G44="Tee","Top Flange Width (in) =","NA"))</f>
        <v>Total Cap Width @ bot (in) =</v>
      </c>
      <c r="G57" s="64">
        <v>63</v>
      </c>
      <c r="H57" t="str">
        <v>Bent Cap Section Properties</v>
      </c>
      <c r="M57" s="131"/>
      <c r="N57" s="131"/>
      <c r="O57" s="131"/>
      <c r="P57" s="131"/>
      <c r="Q57" s="131"/>
      <c r="AJ57" s="204"/>
      <c r="AK57" s="254" cm="1">
        <f t="array" ref="AK57:AP69">MMULT(_xlfn.CHOOSECOLS(_xlfn.ANCHORARRAY(BG20),MATCH(fdspangirder&amp;"_y",_xlfn.ANCHORARRAY(BG19),0)),_xlfn.SEQUENCE(1,FdBms,1,0))-fdspanhaunch/12</f>
        <v>-8.3333333333333329E-2</v>
      </c>
      <c r="AL57" s="308">
        <v>-8.3333333333333329E-2</v>
      </c>
      <c r="AM57" s="308">
        <v>-8.3333333333333329E-2</v>
      </c>
      <c r="AN57" s="308">
        <v>-8.3333333333333329E-2</v>
      </c>
      <c r="AO57" s="308">
        <v>-8.3333333333333329E-2</v>
      </c>
      <c r="AP57" s="308">
        <v>-8.3333333333333329E-2</v>
      </c>
      <c r="AQ57" s="308"/>
      <c r="AR57" s="308"/>
      <c r="AS57" s="308"/>
      <c r="AT57" s="308"/>
      <c r="AU57" s="308"/>
      <c r="AV57" s="308"/>
      <c r="AW57" s="308"/>
      <c r="AX57" s="308"/>
      <c r="AY57" s="308"/>
      <c r="AZ57" s="308"/>
      <c r="BA57" s="308"/>
      <c r="BB57" s="308"/>
      <c r="BC57" s="308"/>
      <c r="BD57" s="255"/>
      <c r="BE57" s="206"/>
      <c r="BH57" s="204"/>
      <c r="BI57" s="229">
        <v>20</v>
      </c>
      <c r="BJ57" s="305"/>
      <c r="BK57" s="306"/>
      <c r="BL57" s="205"/>
      <c r="BM57" s="305"/>
      <c r="BN57" s="306"/>
      <c r="BO57" s="205"/>
      <c r="BP57" s="309"/>
      <c r="BQ57" s="310" t="e">
        <f t="shared" si="0"/>
        <v>#N/A</v>
      </c>
      <c r="BR57" s="320" t="e">
        <v>#N/A</v>
      </c>
      <c r="BS57" s="206"/>
    </row>
    <row r="58" spans="5:78" ht="15.75" thickBot="1" x14ac:dyDescent="0.3">
      <c r="E58" s="335"/>
      <c r="F58" s="4" t="s">
        <v>159</v>
      </c>
      <c r="G58" s="64">
        <v>22.5</v>
      </c>
      <c r="H58" t="str">
        <v>Bent Cap Section Properties</v>
      </c>
      <c r="M58" s="131"/>
      <c r="N58" s="131"/>
      <c r="O58" s="139"/>
      <c r="P58" s="131"/>
      <c r="Q58" s="131"/>
      <c r="AJ58" s="204"/>
      <c r="AK58" s="254">
        <v>-0.75</v>
      </c>
      <c r="AL58" s="308">
        <v>-0.75</v>
      </c>
      <c r="AM58" s="308">
        <v>-0.75</v>
      </c>
      <c r="AN58" s="308">
        <v>-0.75</v>
      </c>
      <c r="AO58" s="308">
        <v>-0.75</v>
      </c>
      <c r="AP58" s="308">
        <v>-0.75</v>
      </c>
      <c r="AQ58" s="308"/>
      <c r="AR58" s="308"/>
      <c r="AS58" s="308"/>
      <c r="AT58" s="308"/>
      <c r="AU58" s="308"/>
      <c r="AV58" s="308"/>
      <c r="AW58" s="308"/>
      <c r="AX58" s="308"/>
      <c r="AY58" s="308"/>
      <c r="AZ58" s="308"/>
      <c r="BA58" s="308"/>
      <c r="BB58" s="308"/>
      <c r="BC58" s="308"/>
      <c r="BD58" s="255"/>
      <c r="BE58" s="206"/>
      <c r="BH58" s="208"/>
      <c r="BI58" s="209"/>
      <c r="BJ58" s="209"/>
      <c r="BK58" s="209"/>
      <c r="BL58" s="209"/>
      <c r="BM58" s="209"/>
      <c r="BN58" s="209"/>
      <c r="BO58" s="209"/>
      <c r="BP58" s="209"/>
      <c r="BQ58" s="209"/>
      <c r="BR58" s="209"/>
      <c r="BS58" s="210"/>
    </row>
    <row r="59" spans="5:78" ht="15.75" thickBot="1" x14ac:dyDescent="0.3">
      <c r="E59" s="335"/>
      <c r="F59" s="4" t="s">
        <v>160</v>
      </c>
      <c r="G59" s="64">
        <v>77</v>
      </c>
      <c r="H59" t="str">
        <v>Bent Cap Section Properties</v>
      </c>
      <c r="M59" s="131"/>
      <c r="N59" s="131"/>
      <c r="O59" s="131"/>
      <c r="P59" s="131"/>
      <c r="Q59" s="131"/>
      <c r="AJ59" s="204"/>
      <c r="AK59" s="254">
        <v>-1.2499999999999998</v>
      </c>
      <c r="AL59" s="308">
        <v>-1.2499999999999998</v>
      </c>
      <c r="AM59" s="308">
        <v>-1.2499999999999998</v>
      </c>
      <c r="AN59" s="308">
        <v>-1.2499999999999998</v>
      </c>
      <c r="AO59" s="308">
        <v>-1.2499999999999998</v>
      </c>
      <c r="AP59" s="308">
        <v>-1.2499999999999998</v>
      </c>
      <c r="AQ59" s="308"/>
      <c r="AR59" s="308"/>
      <c r="AS59" s="308"/>
      <c r="AT59" s="308"/>
      <c r="AU59" s="308"/>
      <c r="AV59" s="308"/>
      <c r="AW59" s="308"/>
      <c r="AX59" s="308"/>
      <c r="AY59" s="308"/>
      <c r="AZ59" s="308"/>
      <c r="BA59" s="308"/>
      <c r="BB59" s="308"/>
      <c r="BC59" s="308"/>
      <c r="BD59" s="255"/>
      <c r="BE59" s="206"/>
    </row>
    <row r="60" spans="5:78" ht="15.75" thickBot="1" x14ac:dyDescent="0.3">
      <c r="E60" s="335"/>
      <c r="F60" s="4" t="str">
        <f>IF(G44&lt;&gt;"Rectangular","Stem Width =","Cap Width =")</f>
        <v>Stem Width =</v>
      </c>
      <c r="G60" s="64">
        <v>30</v>
      </c>
      <c r="H60" t="str">
        <v>Bent Cap Section Properties</v>
      </c>
      <c r="M60" s="131"/>
      <c r="N60" s="131"/>
      <c r="O60" s="131"/>
      <c r="P60" s="131"/>
      <c r="Q60" s="131"/>
      <c r="AJ60" s="204"/>
      <c r="AK60" s="254">
        <v>-3.166666666666667</v>
      </c>
      <c r="AL60" s="308">
        <v>-3.166666666666667</v>
      </c>
      <c r="AM60" s="308">
        <v>-3.166666666666667</v>
      </c>
      <c r="AN60" s="308">
        <v>-3.166666666666667</v>
      </c>
      <c r="AO60" s="308">
        <v>-3.166666666666667</v>
      </c>
      <c r="AP60" s="308">
        <v>-3.166666666666667</v>
      </c>
      <c r="AQ60" s="308"/>
      <c r="AR60" s="308"/>
      <c r="AS60" s="308"/>
      <c r="AT60" s="308"/>
      <c r="AU60" s="308"/>
      <c r="AV60" s="308"/>
      <c r="AW60" s="308"/>
      <c r="AX60" s="308"/>
      <c r="AY60" s="308"/>
      <c r="AZ60" s="308"/>
      <c r="BA60" s="308"/>
      <c r="BB60" s="308"/>
      <c r="BC60" s="308"/>
      <c r="BD60" s="255"/>
      <c r="BE60" s="206"/>
      <c r="BH60" s="211" t="s">
        <v>2050</v>
      </c>
      <c r="BI60" s="202"/>
      <c r="BJ60" s="202"/>
      <c r="BK60" s="202"/>
      <c r="BL60" s="202"/>
      <c r="BM60" s="202"/>
      <c r="BN60" s="202"/>
      <c r="BO60" s="202"/>
      <c r="BP60" s="202"/>
      <c r="BQ60" s="202"/>
      <c r="BR60" s="202"/>
      <c r="BS60" s="203"/>
      <c r="BU60" s="211" t="s">
        <v>2049</v>
      </c>
      <c r="BV60" s="202"/>
      <c r="BW60" s="202"/>
      <c r="BX60" s="202"/>
      <c r="BY60" s="202"/>
      <c r="BZ60" s="203"/>
    </row>
    <row r="61" spans="5:78" ht="15.75" thickBot="1" x14ac:dyDescent="0.3">
      <c r="E61" s="335"/>
      <c r="F61" s="4" t="str">
        <f>IF(G44&lt;&gt;"Inverted-Tee",IF(G61="","","Delete Value --&gt;"),"Earwall Width - Left (ft) =")</f>
        <v>Earwall Width - Left (ft) =</v>
      </c>
      <c r="G61" s="64">
        <v>0</v>
      </c>
      <c r="H61" t="str">
        <v>Bent Cap Section Properties</v>
      </c>
      <c r="M61" s="131"/>
      <c r="N61" s="131"/>
      <c r="O61" s="131"/>
      <c r="P61" s="131"/>
      <c r="Q61" s="131"/>
      <c r="AJ61" s="204"/>
      <c r="AK61" s="254">
        <v>-3.916666666666667</v>
      </c>
      <c r="AL61" s="308">
        <v>-3.916666666666667</v>
      </c>
      <c r="AM61" s="308">
        <v>-3.916666666666667</v>
      </c>
      <c r="AN61" s="308">
        <v>-3.916666666666667</v>
      </c>
      <c r="AO61" s="308">
        <v>-3.916666666666667</v>
      </c>
      <c r="AP61" s="308">
        <v>-3.916666666666667</v>
      </c>
      <c r="AQ61" s="308"/>
      <c r="AR61" s="308"/>
      <c r="AS61" s="308"/>
      <c r="AT61" s="308"/>
      <c r="AU61" s="308"/>
      <c r="AV61" s="308"/>
      <c r="AW61" s="308"/>
      <c r="AX61" s="308"/>
      <c r="AY61" s="308"/>
      <c r="AZ61" s="308"/>
      <c r="BA61" s="308"/>
      <c r="BB61" s="308"/>
      <c r="BC61" s="308"/>
      <c r="BD61" s="255"/>
      <c r="BE61" s="206"/>
      <c r="BH61" s="204"/>
      <c r="BI61" s="205"/>
      <c r="BJ61" s="205"/>
      <c r="BK61" s="205"/>
      <c r="BL61" s="205"/>
      <c r="BM61" s="205"/>
      <c r="BN61" s="205"/>
      <c r="BO61" s="205"/>
      <c r="BP61" s="205"/>
      <c r="BQ61" s="205"/>
      <c r="BR61" s="205"/>
      <c r="BS61" s="206"/>
      <c r="BU61" s="204"/>
      <c r="BV61" s="205"/>
      <c r="BW61" s="225" t="s">
        <v>2045</v>
      </c>
      <c r="BX61" s="226" t="s">
        <v>817</v>
      </c>
      <c r="BY61" s="227" t="s">
        <v>818</v>
      </c>
      <c r="BZ61" s="206"/>
    </row>
    <row r="62" spans="5:78" ht="16.5" thickTop="1" thickBot="1" x14ac:dyDescent="0.3">
      <c r="E62" s="335"/>
      <c r="F62" s="4" t="str">
        <f>IF(G44&lt;&gt;"Inverted-Tee",IF(G62="","","Delete Value --&gt;"),"Earwall Width - Right (ft) =")</f>
        <v>Earwall Width - Right (ft) =</v>
      </c>
      <c r="G62" s="64">
        <v>0</v>
      </c>
      <c r="H62" t="str">
        <v>Bent Cap Section Properties</v>
      </c>
      <c r="M62" s="131"/>
      <c r="N62" s="131"/>
      <c r="O62" s="131"/>
      <c r="P62" s="131"/>
      <c r="Q62" s="131"/>
      <c r="AJ62" s="204"/>
      <c r="AK62" s="254">
        <v>-4.583333333333333</v>
      </c>
      <c r="AL62" s="308">
        <v>-4.583333333333333</v>
      </c>
      <c r="AM62" s="308">
        <v>-4.583333333333333</v>
      </c>
      <c r="AN62" s="308">
        <v>-4.583333333333333</v>
      </c>
      <c r="AO62" s="308">
        <v>-4.583333333333333</v>
      </c>
      <c r="AP62" s="308">
        <v>-4.583333333333333</v>
      </c>
      <c r="AQ62" s="308"/>
      <c r="AR62" s="308"/>
      <c r="AS62" s="308"/>
      <c r="AT62" s="308"/>
      <c r="AU62" s="308"/>
      <c r="AV62" s="308"/>
      <c r="AW62" s="308"/>
      <c r="AX62" s="308"/>
      <c r="AY62" s="308"/>
      <c r="AZ62" s="308"/>
      <c r="BA62" s="308"/>
      <c r="BB62" s="308"/>
      <c r="BC62" s="308"/>
      <c r="BD62" s="255"/>
      <c r="BE62" s="206"/>
      <c r="BH62" s="204"/>
      <c r="BI62" s="205"/>
      <c r="BJ62" s="217" t="s">
        <v>817</v>
      </c>
      <c r="BK62" s="218" t="s">
        <v>818</v>
      </c>
      <c r="BL62" s="205"/>
      <c r="BM62" s="217" t="s">
        <v>2036</v>
      </c>
      <c r="BN62" s="218" t="s">
        <v>2037</v>
      </c>
      <c r="BO62" s="205"/>
      <c r="BP62" s="217" t="s">
        <v>2045</v>
      </c>
      <c r="BQ62" s="311" t="s">
        <v>817</v>
      </c>
      <c r="BR62" s="218" t="s">
        <v>818</v>
      </c>
      <c r="BS62" s="206"/>
      <c r="BU62" s="204"/>
      <c r="BV62" s="319" t="s">
        <v>2042</v>
      </c>
      <c r="BW62" s="315">
        <f>OSOH</f>
        <v>2.8333333333333335</v>
      </c>
      <c r="BX62" s="219">
        <f>AP87</f>
        <v>0</v>
      </c>
      <c r="BY62" s="221">
        <f>AQ89</f>
        <v>0.83333333333333337</v>
      </c>
      <c r="BZ62" s="206"/>
    </row>
    <row r="63" spans="5:78" ht="16.5" thickTop="1" thickBot="1" x14ac:dyDescent="0.3">
      <c r="E63" s="336"/>
      <c r="F63" s="5" t="str">
        <f>IF(G44&lt;&gt;"Inverted-Tee",IF(G63="","","Delete Value --&gt;"),"Earwall X-Sect. Area (sf) =")</f>
        <v>Earwall X-Sect. Area (sf) =</v>
      </c>
      <c r="G63" s="64">
        <v>0</v>
      </c>
      <c r="H63" t="str">
        <v>Bent Cap Section Properties</v>
      </c>
      <c r="M63" s="131"/>
      <c r="N63" s="131"/>
      <c r="O63" s="131"/>
      <c r="P63" s="131"/>
      <c r="Q63" s="131"/>
      <c r="AJ63" s="204"/>
      <c r="AK63" s="254">
        <v>-4.583333333333333</v>
      </c>
      <c r="AL63" s="308">
        <v>-4.583333333333333</v>
      </c>
      <c r="AM63" s="308">
        <v>-4.583333333333333</v>
      </c>
      <c r="AN63" s="308">
        <v>-4.583333333333333</v>
      </c>
      <c r="AO63" s="308">
        <v>-4.583333333333333</v>
      </c>
      <c r="AP63" s="308">
        <v>-4.583333333333333</v>
      </c>
      <c r="AQ63" s="308"/>
      <c r="AR63" s="308"/>
      <c r="AS63" s="308"/>
      <c r="AT63" s="308"/>
      <c r="AU63" s="308"/>
      <c r="AV63" s="308"/>
      <c r="AW63" s="308"/>
      <c r="AX63" s="308"/>
      <c r="AY63" s="308"/>
      <c r="AZ63" s="308"/>
      <c r="BA63" s="308"/>
      <c r="BB63" s="308"/>
      <c r="BC63" s="308"/>
      <c r="BD63" s="255"/>
      <c r="BE63" s="206"/>
      <c r="BH63" s="204"/>
      <c r="BI63" s="229" cm="1">
        <f t="array" ref="BI63:BI82">_xlfn.SEQUENCE(20)</f>
        <v>1</v>
      </c>
      <c r="BJ63" s="303" cm="1">
        <f t="array" ref="BJ63:BJ68">_xlfn.ANCHORARRAY(BN63)</f>
        <v>2.8333333333333335</v>
      </c>
      <c r="BK63" s="304" cm="1">
        <f t="array" ref="BK63:BK68">AVERAGE(AK57:AK69)+_xlfn.SEQUENCE(FdBms,,0,0)</f>
        <v>-2.1217948717948718</v>
      </c>
      <c r="BL63" s="205"/>
      <c r="BM63" s="303" cm="1">
        <f t="array" ref="BM63:BM68">_xlfn.CHOOSEROWS(G120:G139,_xlfn.SEQUENCE(FdBms))</f>
        <v>2.8333333333333335</v>
      </c>
      <c r="BN63" s="304" cm="1">
        <f t="array" ref="BN63:BN68">MMULT(N(ROW(_xlfn.ANCHORARRAY(BM63))&gt;=TRANSPOSE(ROW(_xlfn.ANCHORARRAY(BM63)))),_xlfn.ANCHORARRAY(BM63))</f>
        <v>2.8333333333333335</v>
      </c>
      <c r="BO63" s="205"/>
      <c r="BP63" s="307" cm="1">
        <f t="array" ref="BP63:BP67">_xlfn.CHOOSEROWS(_xlfn.ANCHORARRAY(BM63),_xlfn.SEQUENCE(FdBms-1,,2))</f>
        <v>8.5</v>
      </c>
      <c r="BQ63" s="308">
        <f>IF(BJ64="",NA(),AVERAGE(BJ63:BJ64))</f>
        <v>7.0833333333333339</v>
      </c>
      <c r="BR63" s="255" cm="1">
        <f t="array" ref="BR63:BR82">IF(BQ63:BQ82="",NA(),BK63:BK82)</f>
        <v>-2.1217948717948718</v>
      </c>
      <c r="BS63" s="206"/>
      <c r="BU63" s="204"/>
      <c r="BV63" s="319" t="s">
        <v>2043</v>
      </c>
      <c r="BW63" s="316">
        <f>OSOH-_xlfn.XLOOKUP(fdspangirder,Table13[Girder Type],Table13[Width (ft)])/2</f>
        <v>2</v>
      </c>
      <c r="BX63" s="219">
        <f>AP114</f>
        <v>0</v>
      </c>
      <c r="BY63" s="221">
        <f>AQ116</f>
        <v>1.25</v>
      </c>
      <c r="BZ63" s="206"/>
    </row>
    <row r="64" spans="5:78" ht="15" customHeight="1" x14ac:dyDescent="0.25">
      <c r="E64" s="334" t="s">
        <v>161</v>
      </c>
      <c r="F64" s="3" t="s">
        <v>162</v>
      </c>
      <c r="G64" s="78" t="str">
        <v>#11</v>
      </c>
      <c r="H64" t="str" cm="1">
        <f t="array" ref="H64:H68">D64:D68&amp;E64</f>
        <v>Flexural Top-Neg. Reinf.</v>
      </c>
      <c r="I64" s="1"/>
      <c r="AJ64" s="204"/>
      <c r="AK64" s="254">
        <v>-3.916666666666667</v>
      </c>
      <c r="AL64" s="308">
        <v>-3.916666666666667</v>
      </c>
      <c r="AM64" s="308">
        <v>-3.916666666666667</v>
      </c>
      <c r="AN64" s="308">
        <v>-3.916666666666667</v>
      </c>
      <c r="AO64" s="308">
        <v>-3.916666666666667</v>
      </c>
      <c r="AP64" s="308">
        <v>-3.916666666666667</v>
      </c>
      <c r="AQ64" s="308"/>
      <c r="AR64" s="308"/>
      <c r="AS64" s="308"/>
      <c r="AT64" s="308"/>
      <c r="AU64" s="308"/>
      <c r="AV64" s="308"/>
      <c r="AW64" s="308"/>
      <c r="AX64" s="308"/>
      <c r="AY64" s="308"/>
      <c r="AZ64" s="308"/>
      <c r="BA64" s="308"/>
      <c r="BB64" s="308"/>
      <c r="BC64" s="308"/>
      <c r="BD64" s="255"/>
      <c r="BE64" s="206"/>
      <c r="BH64" s="204"/>
      <c r="BI64" s="229">
        <v>2</v>
      </c>
      <c r="BJ64" s="303">
        <v>11.333333333333334</v>
      </c>
      <c r="BK64" s="304">
        <v>-2.1217948717948718</v>
      </c>
      <c r="BL64" s="205"/>
      <c r="BM64" s="303">
        <v>8.5</v>
      </c>
      <c r="BN64" s="304">
        <v>11.333333333333334</v>
      </c>
      <c r="BO64" s="205"/>
      <c r="BP64" s="307">
        <v>8.5</v>
      </c>
      <c r="BQ64" s="308">
        <f t="shared" ref="BQ64:BQ82" si="1">IF(BJ65="",NA(),AVERAGE(BJ64:BJ65))</f>
        <v>15.583333333333336</v>
      </c>
      <c r="BR64" s="255">
        <v>-2.1217948717948718</v>
      </c>
      <c r="BS64" s="206"/>
      <c r="BU64" s="204"/>
      <c r="BV64" s="319" t="s">
        <v>2040</v>
      </c>
      <c r="BW64" s="315">
        <f>OSOHRT</f>
        <v>2.8333333333333335</v>
      </c>
      <c r="BX64" s="317">
        <f>AP98</f>
        <v>43.182291666666664</v>
      </c>
      <c r="BY64" s="221">
        <f>AQ98</f>
        <v>0.83333333333333337</v>
      </c>
      <c r="BZ64" s="206"/>
    </row>
    <row r="65" spans="5:78" x14ac:dyDescent="0.25">
      <c r="E65" s="335"/>
      <c r="F65" s="4" t="s">
        <v>163</v>
      </c>
      <c r="G65" s="70">
        <v>3.75</v>
      </c>
      <c r="H65" t="str">
        <v>Flexural Top-Neg. Reinf.</v>
      </c>
      <c r="I65" s="1"/>
      <c r="AJ65" s="204"/>
      <c r="AK65" s="254">
        <v>-3.166666666666667</v>
      </c>
      <c r="AL65" s="308">
        <v>-3.166666666666667</v>
      </c>
      <c r="AM65" s="308">
        <v>-3.166666666666667</v>
      </c>
      <c r="AN65" s="308">
        <v>-3.166666666666667</v>
      </c>
      <c r="AO65" s="308">
        <v>-3.166666666666667</v>
      </c>
      <c r="AP65" s="308">
        <v>-3.166666666666667</v>
      </c>
      <c r="AQ65" s="308"/>
      <c r="AR65" s="308"/>
      <c r="AS65" s="308"/>
      <c r="AT65" s="308"/>
      <c r="AU65" s="308"/>
      <c r="AV65" s="308"/>
      <c r="AW65" s="308"/>
      <c r="AX65" s="308"/>
      <c r="AY65" s="308"/>
      <c r="AZ65" s="308"/>
      <c r="BA65" s="308"/>
      <c r="BB65" s="308"/>
      <c r="BC65" s="308"/>
      <c r="BD65" s="255"/>
      <c r="BE65" s="206"/>
      <c r="BH65" s="204"/>
      <c r="BI65" s="229">
        <v>3</v>
      </c>
      <c r="BJ65" s="303">
        <v>19.833333333333336</v>
      </c>
      <c r="BK65" s="304">
        <v>-2.1217948717948718</v>
      </c>
      <c r="BL65" s="205"/>
      <c r="BM65" s="303">
        <v>8.5</v>
      </c>
      <c r="BN65" s="304">
        <v>19.833333333333336</v>
      </c>
      <c r="BO65" s="205"/>
      <c r="BP65" s="307">
        <v>8.5</v>
      </c>
      <c r="BQ65" s="308">
        <f t="shared" si="1"/>
        <v>24.083333333333336</v>
      </c>
      <c r="BR65" s="255">
        <v>-2.1217948717948718</v>
      </c>
      <c r="BS65" s="206"/>
      <c r="BU65" s="204"/>
      <c r="BV65" s="319" t="s">
        <v>2041</v>
      </c>
      <c r="BW65" s="316">
        <f>OSOHRT-_xlfn.XLOOKUP(fdspangirder,Table13[Girder Type],Table13[Width (ft)])/2</f>
        <v>2</v>
      </c>
      <c r="BX65" s="219">
        <f>AP123</f>
        <v>43.182291666666664</v>
      </c>
      <c r="BY65" s="221">
        <f>AQ125</f>
        <v>1.25</v>
      </c>
      <c r="BZ65" s="206"/>
    </row>
    <row r="66" spans="5:78" ht="15.75" thickBot="1" x14ac:dyDescent="0.3">
      <c r="E66" s="335"/>
      <c r="F66" s="4" t="s">
        <v>164</v>
      </c>
      <c r="G66" s="70">
        <v>10</v>
      </c>
      <c r="H66" t="str">
        <v>Flexural Top-Neg. Reinf.</v>
      </c>
      <c r="I66" s="1"/>
      <c r="M66" s="299"/>
      <c r="N66" s="299"/>
      <c r="O66" s="299"/>
      <c r="P66" s="299"/>
      <c r="Q66" s="299"/>
      <c r="R66" s="299"/>
      <c r="S66" s="299"/>
      <c r="T66" s="299"/>
      <c r="AJ66" s="204"/>
      <c r="AK66" s="254">
        <v>-1.2499999999999998</v>
      </c>
      <c r="AL66" s="308">
        <v>-1.2499999999999998</v>
      </c>
      <c r="AM66" s="308">
        <v>-1.2499999999999998</v>
      </c>
      <c r="AN66" s="308">
        <v>-1.2499999999999998</v>
      </c>
      <c r="AO66" s="308">
        <v>-1.2499999999999998</v>
      </c>
      <c r="AP66" s="308">
        <v>-1.2499999999999998</v>
      </c>
      <c r="AQ66" s="308"/>
      <c r="AR66" s="308"/>
      <c r="AS66" s="308"/>
      <c r="AT66" s="308"/>
      <c r="AU66" s="308"/>
      <c r="AV66" s="308"/>
      <c r="AW66" s="308"/>
      <c r="AX66" s="308"/>
      <c r="AY66" s="308"/>
      <c r="AZ66" s="308"/>
      <c r="BA66" s="308"/>
      <c r="BB66" s="308"/>
      <c r="BC66" s="308"/>
      <c r="BD66" s="255"/>
      <c r="BE66" s="206"/>
      <c r="BH66" s="204"/>
      <c r="BI66" s="229">
        <v>4</v>
      </c>
      <c r="BJ66" s="303">
        <v>28.333333333333336</v>
      </c>
      <c r="BK66" s="304">
        <v>-2.1217948717948718</v>
      </c>
      <c r="BL66" s="205"/>
      <c r="BM66" s="303">
        <v>8.5</v>
      </c>
      <c r="BN66" s="304">
        <v>28.333333333333336</v>
      </c>
      <c r="BO66" s="205"/>
      <c r="BP66" s="307">
        <v>8.5</v>
      </c>
      <c r="BQ66" s="308">
        <f t="shared" si="1"/>
        <v>32.583333333333336</v>
      </c>
      <c r="BR66" s="255">
        <v>-2.1217948717948718</v>
      </c>
      <c r="BS66" s="206"/>
      <c r="BU66" s="204"/>
      <c r="BV66" s="319" t="s">
        <v>2046</v>
      </c>
      <c r="BW66" s="318" cm="1">
        <f t="array" ref="BW66">_xlfn.CHOOSEROWS(_xlfn.ANCHORARRAY(BM63),FdBms)-_xlfn.XLOOKUP(fdspangirder,Table13[Girder Type],Table13[Width (ft)])</f>
        <v>1.8473333333333333</v>
      </c>
      <c r="BX66" s="223">
        <f>AVERAGE(AP134:AP135)</f>
        <v>38.591958333333324</v>
      </c>
      <c r="BY66" s="224">
        <f>AQ134</f>
        <v>0.83333333333333337</v>
      </c>
      <c r="BZ66" s="206"/>
    </row>
    <row r="67" spans="5:78" ht="15.75" thickBot="1" x14ac:dyDescent="0.3">
      <c r="E67" s="335"/>
      <c r="F67" s="4" t="s">
        <v>165</v>
      </c>
      <c r="G67" s="70">
        <v>10</v>
      </c>
      <c r="H67" t="str">
        <v>Flexural Top-Neg. Reinf.</v>
      </c>
      <c r="M67" s="299"/>
      <c r="N67" s="299"/>
      <c r="O67" s="299"/>
      <c r="P67" s="299"/>
      <c r="Q67" s="299"/>
      <c r="R67" s="299"/>
      <c r="S67" s="299"/>
      <c r="T67" s="299"/>
      <c r="V67" s="18" t="s">
        <v>913</v>
      </c>
      <c r="W67" s="18"/>
      <c r="Y67" s="155" t="s">
        <v>917</v>
      </c>
      <c r="Z67" s="155"/>
      <c r="AJ67" s="204"/>
      <c r="AK67" s="254">
        <v>-0.75</v>
      </c>
      <c r="AL67" s="308">
        <v>-0.75</v>
      </c>
      <c r="AM67" s="308">
        <v>-0.75</v>
      </c>
      <c r="AN67" s="308">
        <v>-0.75</v>
      </c>
      <c r="AO67" s="308">
        <v>-0.75</v>
      </c>
      <c r="AP67" s="308">
        <v>-0.75</v>
      </c>
      <c r="AQ67" s="308"/>
      <c r="AR67" s="308"/>
      <c r="AS67" s="308"/>
      <c r="AT67" s="308"/>
      <c r="AU67" s="308"/>
      <c r="AV67" s="308"/>
      <c r="AW67" s="308"/>
      <c r="AX67" s="308"/>
      <c r="AY67" s="308"/>
      <c r="AZ67" s="308"/>
      <c r="BA67" s="308"/>
      <c r="BB67" s="308"/>
      <c r="BC67" s="308"/>
      <c r="BD67" s="255"/>
      <c r="BE67" s="230"/>
      <c r="BH67" s="204"/>
      <c r="BI67" s="229">
        <v>5</v>
      </c>
      <c r="BJ67" s="303">
        <v>36.833333333333336</v>
      </c>
      <c r="BK67" s="304">
        <v>-2.1217948717948718</v>
      </c>
      <c r="BL67" s="205"/>
      <c r="BM67" s="303">
        <v>8.5</v>
      </c>
      <c r="BN67" s="304">
        <v>36.833333333333336</v>
      </c>
      <c r="BO67" s="205"/>
      <c r="BP67" s="307">
        <v>3.5139999999999998</v>
      </c>
      <c r="BQ67" s="308">
        <f t="shared" si="1"/>
        <v>38.590333333333334</v>
      </c>
      <c r="BR67" s="255">
        <v>-2.1217948717948718</v>
      </c>
      <c r="BS67" s="206"/>
      <c r="BU67" s="208"/>
      <c r="BV67" s="209"/>
      <c r="BW67" s="209"/>
      <c r="BX67" s="209"/>
      <c r="BY67" s="209"/>
      <c r="BZ67" s="210"/>
    </row>
    <row r="68" spans="5:78" ht="16.5" thickTop="1" thickBot="1" x14ac:dyDescent="0.3">
      <c r="E68" s="336"/>
      <c r="F68" s="5" t="s">
        <v>166</v>
      </c>
      <c r="G68" s="70" t="str">
        <v/>
      </c>
      <c r="H68" t="str">
        <v>Flexural Top-Neg. Reinf.</v>
      </c>
      <c r="M68" s="299"/>
      <c r="N68" s="299"/>
      <c r="O68" s="299" t="str">
        <f>ProjectSubject &amp; " - Exterior Girder Ledge Capacity Ratios"</f>
        <v>Bent 75R - Exterior Girder Ledge Capacity Ratios</v>
      </c>
      <c r="P68" s="299"/>
      <c r="Q68" s="299"/>
      <c r="R68" s="299"/>
      <c r="S68" s="299"/>
      <c r="T68" s="299"/>
      <c r="Y68" s="94">
        <f>InvT_P_Ext_srv</f>
        <v>275.21342716603323</v>
      </c>
      <c r="Z68" t="s">
        <v>915</v>
      </c>
      <c r="AJ68" s="204"/>
      <c r="AK68" s="254">
        <v>-8.3333333333333329E-2</v>
      </c>
      <c r="AL68" s="308">
        <v>-8.3333333333333329E-2</v>
      </c>
      <c r="AM68" s="308">
        <v>-8.3333333333333329E-2</v>
      </c>
      <c r="AN68" s="308">
        <v>-8.3333333333333329E-2</v>
      </c>
      <c r="AO68" s="308">
        <v>-8.3333333333333329E-2</v>
      </c>
      <c r="AP68" s="308">
        <v>-8.3333333333333329E-2</v>
      </c>
      <c r="AQ68" s="308"/>
      <c r="AR68" s="308"/>
      <c r="AS68" s="308"/>
      <c r="AT68" s="308"/>
      <c r="AU68" s="308"/>
      <c r="AV68" s="308"/>
      <c r="AW68" s="308"/>
      <c r="AX68" s="308"/>
      <c r="AY68" s="308"/>
      <c r="AZ68" s="308"/>
      <c r="BA68" s="308"/>
      <c r="BB68" s="308"/>
      <c r="BC68" s="308"/>
      <c r="BD68" s="255"/>
      <c r="BE68" s="206"/>
      <c r="BH68" s="204"/>
      <c r="BI68" s="229">
        <v>6</v>
      </c>
      <c r="BJ68" s="303">
        <v>40.347333333333339</v>
      </c>
      <c r="BK68" s="304">
        <v>-2.1217948717948718</v>
      </c>
      <c r="BL68" s="205"/>
      <c r="BM68" s="303">
        <v>3.5139999999999998</v>
      </c>
      <c r="BN68" s="304">
        <v>40.347333333333339</v>
      </c>
      <c r="BO68" s="205"/>
      <c r="BP68" s="307"/>
      <c r="BQ68" s="308" t="e">
        <f t="shared" si="1"/>
        <v>#N/A</v>
      </c>
      <c r="BR68" s="255" t="e">
        <v>#N/A</v>
      </c>
      <c r="BS68" s="206"/>
    </row>
    <row r="69" spans="5:78" ht="15.75" thickBot="1" x14ac:dyDescent="0.3">
      <c r="E69" s="334" t="s">
        <v>167</v>
      </c>
      <c r="F69" s="3" t="s">
        <v>162</v>
      </c>
      <c r="G69" s="78" t="str">
        <v>#9</v>
      </c>
      <c r="H69" t="str" cm="1">
        <f t="array" ref="H69:H73">D69:D73&amp;E69</f>
        <v>Flexural Bot-Pos. Reinf.</v>
      </c>
      <c r="M69" s="299"/>
      <c r="N69" s="299"/>
      <c r="O69" s="299"/>
      <c r="P69" s="299"/>
      <c r="Q69" s="299"/>
      <c r="R69" s="299"/>
      <c r="S69" s="299"/>
      <c r="T69" s="299"/>
      <c r="V69" t="str" cm="1">
        <f t="array" ref="V69:V72">_xlfn.VSTACK(F264,F266:F267,F269)</f>
        <v>Ledge Flexure steel yielded? =</v>
      </c>
      <c r="W69" s="174" t="str">
        <f>$G264</f>
        <v>Yes-Steel has yielded at Mn</v>
      </c>
      <c r="AJ69" s="204"/>
      <c r="AK69" s="321">
        <v>-8.3333333333333329E-2</v>
      </c>
      <c r="AL69" s="310">
        <v>-8.3333333333333329E-2</v>
      </c>
      <c r="AM69" s="310">
        <v>-8.3333333333333329E-2</v>
      </c>
      <c r="AN69" s="310">
        <v>-8.3333333333333329E-2</v>
      </c>
      <c r="AO69" s="310">
        <v>-8.3333333333333329E-2</v>
      </c>
      <c r="AP69" s="310">
        <v>-8.3333333333333329E-2</v>
      </c>
      <c r="AQ69" s="310"/>
      <c r="AR69" s="310"/>
      <c r="AS69" s="310"/>
      <c r="AT69" s="310"/>
      <c r="AU69" s="310"/>
      <c r="AV69" s="310"/>
      <c r="AW69" s="310"/>
      <c r="AX69" s="310"/>
      <c r="AY69" s="310"/>
      <c r="AZ69" s="310"/>
      <c r="BA69" s="310"/>
      <c r="BB69" s="310"/>
      <c r="BC69" s="310"/>
      <c r="BD69" s="320"/>
      <c r="BE69" s="206"/>
      <c r="BH69" s="204"/>
      <c r="BI69" s="229">
        <v>7</v>
      </c>
      <c r="BJ69" s="303"/>
      <c r="BK69" s="304"/>
      <c r="BL69" s="205"/>
      <c r="BM69" s="303"/>
      <c r="BN69" s="304"/>
      <c r="BO69" s="205"/>
      <c r="BP69" s="307"/>
      <c r="BQ69" s="308" t="e">
        <f t="shared" si="1"/>
        <v>#N/A</v>
      </c>
      <c r="BR69" s="255" t="e">
        <v>#N/A</v>
      </c>
      <c r="BS69" s="206"/>
    </row>
    <row r="70" spans="5:78" ht="15.75" thickBot="1" x14ac:dyDescent="0.3">
      <c r="E70" s="335"/>
      <c r="F70" s="4" t="s">
        <v>163</v>
      </c>
      <c r="G70" s="70">
        <v>4</v>
      </c>
      <c r="H70" t="str">
        <v>Flexural Bot-Pos. Reinf.</v>
      </c>
      <c r="I70" s="8"/>
      <c r="M70" s="299"/>
      <c r="N70" s="299"/>
      <c r="O70" s="299"/>
      <c r="P70" s="299"/>
      <c r="Q70" s="299"/>
      <c r="R70" s="299"/>
      <c r="S70" s="299"/>
      <c r="T70" s="299"/>
      <c r="V70" t="str">
        <v>Ledge Flexure Min As Check 1 =</v>
      </c>
      <c r="W70" s="174" t="str">
        <f>$G266</f>
        <v>Minimum Reinforcement OK</v>
      </c>
      <c r="AJ70" s="208"/>
      <c r="AK70" s="209"/>
      <c r="AL70" s="209"/>
      <c r="AM70" s="209"/>
      <c r="AN70" s="209"/>
      <c r="AO70" s="209"/>
      <c r="AP70" s="209"/>
      <c r="AQ70" s="209"/>
      <c r="AR70" s="209"/>
      <c r="AS70" s="209"/>
      <c r="AT70" s="209"/>
      <c r="AU70" s="209"/>
      <c r="AV70" s="209"/>
      <c r="AW70" s="209"/>
      <c r="AX70" s="209"/>
      <c r="AY70" s="209"/>
      <c r="AZ70" s="209"/>
      <c r="BA70" s="209"/>
      <c r="BB70" s="209"/>
      <c r="BC70" s="209"/>
      <c r="BD70" s="209"/>
      <c r="BE70" s="210"/>
      <c r="BH70" s="204"/>
      <c r="BI70" s="229">
        <v>8</v>
      </c>
      <c r="BJ70" s="303"/>
      <c r="BK70" s="304"/>
      <c r="BL70" s="205"/>
      <c r="BM70" s="303"/>
      <c r="BN70" s="304"/>
      <c r="BO70" s="205"/>
      <c r="BP70" s="307"/>
      <c r="BQ70" s="308" t="e">
        <f t="shared" si="1"/>
        <v>#N/A</v>
      </c>
      <c r="BR70" s="255" t="e">
        <v>#N/A</v>
      </c>
      <c r="BS70" s="206"/>
    </row>
    <row r="71" spans="5:78" ht="15.75" thickBot="1" x14ac:dyDescent="0.3">
      <c r="E71" s="335"/>
      <c r="F71" s="4" t="s">
        <v>164</v>
      </c>
      <c r="G71" s="70">
        <v>6</v>
      </c>
      <c r="H71" t="str">
        <v>Flexural Bot-Pos. Reinf.</v>
      </c>
      <c r="I71" s="1"/>
      <c r="M71" s="299"/>
      <c r="N71" s="299"/>
      <c r="O71" s="299"/>
      <c r="P71" s="299"/>
      <c r="Q71" s="299"/>
      <c r="R71" s="299"/>
      <c r="S71" s="299"/>
      <c r="T71" s="299"/>
      <c r="V71" t="str">
        <v>Ledge Flexure Min As Check 2 =</v>
      </c>
      <c r="W71" s="175" t="str">
        <f>$G267</f>
        <v>Minimum Reinforcement OK</v>
      </c>
      <c r="BH71" s="204"/>
      <c r="BI71" s="229">
        <v>9</v>
      </c>
      <c r="BJ71" s="303"/>
      <c r="BK71" s="304"/>
      <c r="BL71" s="205"/>
      <c r="BM71" s="303"/>
      <c r="BN71" s="304"/>
      <c r="BO71" s="205"/>
      <c r="BP71" s="307"/>
      <c r="BQ71" s="308" t="e">
        <f t="shared" si="1"/>
        <v>#N/A</v>
      </c>
      <c r="BR71" s="255" t="e">
        <v>#N/A</v>
      </c>
      <c r="BS71" s="206"/>
    </row>
    <row r="72" spans="5:78" x14ac:dyDescent="0.25">
      <c r="E72" s="335"/>
      <c r="F72" s="4" t="s">
        <v>165</v>
      </c>
      <c r="G72" s="70" t="str">
        <v/>
      </c>
      <c r="H72" t="str">
        <v>Flexural Bot-Pos. Reinf.</v>
      </c>
      <c r="I72" s="1"/>
      <c r="M72" s="299"/>
      <c r="N72" s="299"/>
      <c r="O72" s="299"/>
      <c r="P72" s="299"/>
      <c r="Q72" s="299"/>
      <c r="R72" s="299"/>
      <c r="S72" s="299"/>
      <c r="T72" s="299"/>
      <c r="V72" t="str">
        <v>Shear Friction Min Av check =</v>
      </c>
      <c r="W72" s="175" t="str">
        <f>$G269</f>
        <v>Minimum Reinforcement OK</v>
      </c>
      <c r="AJ72" s="201"/>
      <c r="AK72" s="202"/>
      <c r="AL72" s="202"/>
      <c r="AM72" s="202"/>
      <c r="AN72" s="202"/>
      <c r="AO72" s="202"/>
      <c r="AP72" s="203"/>
      <c r="AT72" s="211" t="s">
        <v>1976</v>
      </c>
      <c r="AU72" s="212"/>
      <c r="AV72" s="212"/>
      <c r="AW72" s="202"/>
      <c r="AX72" s="202"/>
      <c r="AY72" s="202"/>
      <c r="AZ72" s="202"/>
      <c r="BA72" s="202"/>
      <c r="BB72" s="202"/>
      <c r="BC72" s="202"/>
      <c r="BD72" s="202"/>
      <c r="BE72" s="203"/>
      <c r="BH72" s="204"/>
      <c r="BI72" s="229">
        <v>10</v>
      </c>
      <c r="BJ72" s="303"/>
      <c r="BK72" s="304"/>
      <c r="BL72" s="205"/>
      <c r="BM72" s="303"/>
      <c r="BN72" s="304"/>
      <c r="BO72" s="205"/>
      <c r="BP72" s="307"/>
      <c r="BQ72" s="308" t="e">
        <f t="shared" si="1"/>
        <v>#N/A</v>
      </c>
      <c r="BR72" s="255" t="e">
        <v>#N/A</v>
      </c>
      <c r="BS72" s="206"/>
    </row>
    <row r="73" spans="5:78" ht="15.75" thickBot="1" x14ac:dyDescent="0.3">
      <c r="E73" s="336"/>
      <c r="F73" s="5" t="s">
        <v>166</v>
      </c>
      <c r="G73" s="70" t="str">
        <v/>
      </c>
      <c r="H73" t="str">
        <v>Flexural Bot-Pos. Reinf.</v>
      </c>
      <c r="I73" s="1"/>
      <c r="M73" s="299"/>
      <c r="N73" s="299"/>
      <c r="O73" s="299"/>
      <c r="P73" s="299"/>
      <c r="Q73" s="299"/>
      <c r="R73" s="299"/>
      <c r="S73" s="299"/>
      <c r="T73" s="299"/>
      <c r="AJ73" s="204"/>
      <c r="AK73" s="228" t="s">
        <v>1984</v>
      </c>
      <c r="AL73" s="205"/>
      <c r="AM73" s="205"/>
      <c r="AN73" s="205"/>
      <c r="AO73" s="205"/>
      <c r="AP73" s="206"/>
      <c r="AT73" s="204"/>
      <c r="AU73" s="205"/>
      <c r="AV73" s="205"/>
      <c r="AW73" s="205"/>
      <c r="AX73" s="205"/>
      <c r="AY73" s="205"/>
      <c r="AZ73" s="205"/>
      <c r="BA73" s="205"/>
      <c r="BB73" s="205"/>
      <c r="BC73" s="205"/>
      <c r="BD73" s="205"/>
      <c r="BE73" s="206"/>
      <c r="BH73" s="204"/>
      <c r="BI73" s="229">
        <v>11</v>
      </c>
      <c r="BJ73" s="303"/>
      <c r="BK73" s="304"/>
      <c r="BL73" s="205"/>
      <c r="BM73" s="303"/>
      <c r="BN73" s="304"/>
      <c r="BO73" s="205"/>
      <c r="BP73" s="307"/>
      <c r="BQ73" s="308" t="e">
        <f t="shared" si="1"/>
        <v>#N/A</v>
      </c>
      <c r="BR73" s="255" t="e">
        <v>#N/A</v>
      </c>
      <c r="BS73" s="206"/>
    </row>
    <row r="74" spans="5:78" ht="15.75" thickBot="1" x14ac:dyDescent="0.3">
      <c r="E74" s="334" t="s">
        <v>168</v>
      </c>
      <c r="F74" s="3" t="s">
        <v>944</v>
      </c>
      <c r="G74" s="76" t="b">
        <v>0</v>
      </c>
      <c r="H74" t="str" cm="1">
        <f t="array" ref="H74:H76">D74:D76&amp;E74</f>
        <v>Shear Reinf.</v>
      </c>
      <c r="I74" s="1"/>
      <c r="M74" s="299"/>
      <c r="N74" s="299"/>
      <c r="O74" s="299"/>
      <c r="P74" s="299"/>
      <c r="Q74" s="299"/>
      <c r="R74" s="299"/>
      <c r="S74" s="299"/>
      <c r="T74" s="299"/>
      <c r="V74" s="18" t="s">
        <v>914</v>
      </c>
      <c r="W74" s="18"/>
      <c r="Y74" s="155" t="s">
        <v>916</v>
      </c>
      <c r="Z74" s="155"/>
      <c r="AB74" s="155" t="s">
        <v>917</v>
      </c>
      <c r="AC74" s="155"/>
      <c r="AE74" s="155" t="s">
        <v>933</v>
      </c>
      <c r="AG74" s="155" t="s">
        <v>2035</v>
      </c>
      <c r="AH74" s="155"/>
      <c r="AJ74" s="204"/>
      <c r="AK74" s="225" t="s">
        <v>817</v>
      </c>
      <c r="AL74" s="227" t="s">
        <v>818</v>
      </c>
      <c r="AM74" s="205"/>
      <c r="AN74" s="205"/>
      <c r="AO74" s="205"/>
      <c r="AP74" s="206"/>
      <c r="AT74" s="204"/>
      <c r="AU74" s="205" t="s">
        <v>1962</v>
      </c>
      <c r="AV74" s="176">
        <v>600</v>
      </c>
      <c r="AW74" s="205"/>
      <c r="AX74" s="205" t="s">
        <v>1960</v>
      </c>
      <c r="AY74" s="205"/>
      <c r="AZ74" s="176">
        <v>5</v>
      </c>
      <c r="BA74" s="205"/>
      <c r="BB74" s="343" t="s">
        <v>1967</v>
      </c>
      <c r="BC74" s="344" t="s">
        <v>1968</v>
      </c>
      <c r="BD74" s="345" t="s">
        <v>1969</v>
      </c>
      <c r="BE74" s="206"/>
      <c r="BH74" s="204"/>
      <c r="BI74" s="229">
        <v>12</v>
      </c>
      <c r="BJ74" s="303"/>
      <c r="BK74" s="304"/>
      <c r="BL74" s="205"/>
      <c r="BM74" s="303"/>
      <c r="BN74" s="304"/>
      <c r="BO74" s="205"/>
      <c r="BP74" s="307"/>
      <c r="BQ74" s="308" t="e">
        <f t="shared" si="1"/>
        <v>#N/A</v>
      </c>
      <c r="BR74" s="255" t="e">
        <v>#N/A</v>
      </c>
      <c r="BS74" s="206"/>
    </row>
    <row r="75" spans="5:78" ht="15.75" thickTop="1" x14ac:dyDescent="0.25">
      <c r="E75" s="335"/>
      <c r="F75" s="4" t="s">
        <v>170</v>
      </c>
      <c r="G75" s="66" t="str">
        <v>Double</v>
      </c>
      <c r="H75" t="str">
        <v>Shear Reinf.</v>
      </c>
      <c r="I75" s="1"/>
      <c r="M75" s="299"/>
      <c r="N75" s="299"/>
      <c r="O75" s="299"/>
      <c r="P75" s="299"/>
      <c r="Q75" s="299"/>
      <c r="R75" s="299"/>
      <c r="S75" s="299"/>
      <c r="T75" s="299"/>
      <c r="V75" t="str" cm="1">
        <f t="array" ref="V75:V82">_xlfn.VSTACK(F261:F263,F265,F268,F270:F272)</f>
        <v>Punching Shear Ratio =</v>
      </c>
      <c r="W75" s="156">
        <f>$G261</f>
        <v>1.3031085868108438</v>
      </c>
      <c r="Y75" s="94">
        <f>InvT_P_Ext_srv/W75</f>
        <v>211.19761618605816</v>
      </c>
      <c r="Z75" t="s">
        <v>915</v>
      </c>
      <c r="AB75" s="94">
        <f>$Y$68</f>
        <v>275.21342716603323</v>
      </c>
      <c r="AC75" t="s">
        <v>915</v>
      </c>
      <c r="AE75" s="94">
        <v>0.9</v>
      </c>
      <c r="AG75" s="94">
        <f>MAX((AB75-Y75)/AE75,0)</f>
        <v>71.128678866638964</v>
      </c>
      <c r="AH75" t="s">
        <v>915</v>
      </c>
      <c r="AJ75" s="204"/>
      <c r="AK75" s="220">
        <v>0</v>
      </c>
      <c r="AL75" s="221">
        <v>0</v>
      </c>
      <c r="AM75" s="205"/>
      <c r="AN75" s="205"/>
      <c r="AO75" s="205"/>
      <c r="AP75" s="206"/>
      <c r="AT75" s="204"/>
      <c r="AU75" s="205" t="s">
        <v>1963</v>
      </c>
      <c r="AV75" s="176">
        <v>200</v>
      </c>
      <c r="AW75" s="205"/>
      <c r="AX75" s="205" t="s">
        <v>1964</v>
      </c>
      <c r="AY75" s="205" t="s">
        <v>1965</v>
      </c>
      <c r="AZ75" s="205" t="s">
        <v>1966</v>
      </c>
      <c r="BA75" s="205"/>
      <c r="BB75" s="343"/>
      <c r="BC75" s="344"/>
      <c r="BD75" s="345"/>
      <c r="BE75" s="206"/>
      <c r="BH75" s="204"/>
      <c r="BI75" s="229">
        <v>13</v>
      </c>
      <c r="BJ75" s="303"/>
      <c r="BK75" s="304"/>
      <c r="BL75" s="205"/>
      <c r="BM75" s="303"/>
      <c r="BN75" s="304"/>
      <c r="BO75" s="205"/>
      <c r="BP75" s="307"/>
      <c r="BQ75" s="308" t="e">
        <f t="shared" si="1"/>
        <v>#N/A</v>
      </c>
      <c r="BR75" s="255" t="e">
        <v>#N/A</v>
      </c>
      <c r="BS75" s="206"/>
    </row>
    <row r="76" spans="5:78" ht="15.75" thickBot="1" x14ac:dyDescent="0.3">
      <c r="E76" s="336"/>
      <c r="F76" s="5" t="s">
        <v>171</v>
      </c>
      <c r="G76" s="66" t="str">
        <v>#5</v>
      </c>
      <c r="H76" t="str">
        <v>Shear Reinf.</v>
      </c>
      <c r="I76" s="1"/>
      <c r="M76" s="299"/>
      <c r="N76" s="299"/>
      <c r="O76" s="299"/>
      <c r="P76" s="299"/>
      <c r="Q76" s="299"/>
      <c r="R76" s="299"/>
      <c r="S76" s="299"/>
      <c r="T76" s="299"/>
      <c r="V76" t="str">
        <v>Bearing Ratio =</v>
      </c>
      <c r="W76" s="156">
        <f>$G262</f>
        <v>0.3865453537337965</v>
      </c>
      <c r="Y76" s="94">
        <f>InvT_P_Ext_srv/W76</f>
        <v>711.98224091335317</v>
      </c>
      <c r="Z76" t="s">
        <v>915</v>
      </c>
      <c r="AB76" s="94">
        <f>$Y$68</f>
        <v>275.21342716603323</v>
      </c>
      <c r="AC76" t="s">
        <v>915</v>
      </c>
      <c r="AE76" s="94">
        <v>0.7</v>
      </c>
      <c r="AG76" s="94">
        <f>MAX((AB76-Y76)/AE76,0)</f>
        <v>0</v>
      </c>
      <c r="AH76" t="s">
        <v>915</v>
      </c>
      <c r="AJ76" s="204"/>
      <c r="AK76" s="220">
        <v>0</v>
      </c>
      <c r="AL76" s="221">
        <f>slabthickness/12</f>
        <v>0.58333333333333337</v>
      </c>
      <c r="AM76" s="205"/>
      <c r="AN76" s="205"/>
      <c r="AO76" s="205"/>
      <c r="AP76" s="206"/>
      <c r="AT76" s="204"/>
      <c r="AU76" s="205"/>
      <c r="AV76" s="205"/>
      <c r="AW76" s="205"/>
      <c r="AX76" s="205">
        <f>MIN(AU119:AU127)</f>
        <v>1.4531250000000002</v>
      </c>
      <c r="AY76" s="205">
        <f>MIN(ROUND(AX76/AZ74+0.001,0)*AZ74-AZ74/2,-2.5)</f>
        <v>-2.5</v>
      </c>
      <c r="AZ76" s="205">
        <f>ROUND(AY76/AZ74,0)*AZ74</f>
        <v>-5</v>
      </c>
      <c r="BA76" s="205"/>
      <c r="BB76" s="205">
        <f>AZ77-AZ76</f>
        <v>55</v>
      </c>
      <c r="BC76" s="205">
        <f>BB81*3</f>
        <v>50</v>
      </c>
      <c r="BD76" s="205">
        <f>IF(S3, AY76, -2.5)</f>
        <v>-2.5</v>
      </c>
      <c r="BE76" s="206"/>
      <c r="BH76" s="204"/>
      <c r="BI76" s="229">
        <v>14</v>
      </c>
      <c r="BJ76" s="303"/>
      <c r="BK76" s="304"/>
      <c r="BL76" s="205"/>
      <c r="BM76" s="303"/>
      <c r="BN76" s="304"/>
      <c r="BO76" s="205"/>
      <c r="BP76" s="307"/>
      <c r="BQ76" s="308" t="e">
        <f t="shared" si="1"/>
        <v>#N/A</v>
      </c>
      <c r="BR76" s="255" t="e">
        <v>#N/A</v>
      </c>
      <c r="BS76" s="206"/>
    </row>
    <row r="77" spans="5:78" x14ac:dyDescent="0.25">
      <c r="E77" s="334" t="s">
        <v>169</v>
      </c>
      <c r="F77" s="3" t="s">
        <v>162</v>
      </c>
      <c r="G77" s="66" t="str">
        <v>#5</v>
      </c>
      <c r="H77" t="str" cm="1">
        <f t="array" ref="H77:H78">D77:D78&amp;E77</f>
        <v>Skin/Temp Reinf.</v>
      </c>
      <c r="M77" s="299"/>
      <c r="N77" s="299"/>
      <c r="O77" s="299"/>
      <c r="P77" s="299"/>
      <c r="Q77" s="299"/>
      <c r="R77" s="299"/>
      <c r="S77" s="299"/>
      <c r="T77" s="299"/>
      <c r="V77" t="str">
        <v>Bar M Development Length Ratio =</v>
      </c>
      <c r="W77" s="156">
        <f>$G263</f>
        <v>1.701233047808568</v>
      </c>
      <c r="Y77" s="94"/>
      <c r="AB77" s="94"/>
      <c r="AE77" s="94"/>
      <c r="AG77" s="94"/>
      <c r="AJ77" s="204"/>
      <c r="AK77" s="220">
        <f>DeckWidth</f>
        <v>43.182291666666664</v>
      </c>
      <c r="AL77" s="221">
        <f>slabthickness/12</f>
        <v>0.58333333333333337</v>
      </c>
      <c r="AM77" s="205"/>
      <c r="AN77" s="205"/>
      <c r="AO77" s="205"/>
      <c r="AP77" s="206"/>
      <c r="AT77" s="204"/>
      <c r="AU77" s="205"/>
      <c r="AV77" s="205"/>
      <c r="AW77" s="205"/>
      <c r="AX77" s="205">
        <f>MAX(AU119:AU127,AK75:AK79)</f>
        <v>43.182291666666664</v>
      </c>
      <c r="AY77" s="207">
        <f>ROUND(AX77/AZ74-0.0001,0)*AZ74+AZ74/2</f>
        <v>47.5</v>
      </c>
      <c r="AZ77" s="205">
        <f>ROUND(AY77/AZ74,0)*AZ74</f>
        <v>50</v>
      </c>
      <c r="BA77" s="205"/>
      <c r="BB77" s="205"/>
      <c r="BC77" s="205"/>
      <c r="BD77" s="205">
        <f>IF(S3,AY77+MAX(0,BC76-BB76),0)</f>
        <v>47.5</v>
      </c>
      <c r="BE77" s="206"/>
      <c r="BH77" s="204"/>
      <c r="BI77" s="229">
        <v>15</v>
      </c>
      <c r="BJ77" s="303"/>
      <c r="BK77" s="304"/>
      <c r="BL77" s="205"/>
      <c r="BM77" s="303"/>
      <c r="BN77" s="304"/>
      <c r="BO77" s="205"/>
      <c r="BP77" s="307"/>
      <c r="BQ77" s="308" t="e">
        <f t="shared" si="1"/>
        <v>#N/A</v>
      </c>
      <c r="BR77" s="255" t="e">
        <v>#N/A</v>
      </c>
      <c r="BS77" s="206"/>
    </row>
    <row r="78" spans="5:78" ht="15.75" thickBot="1" x14ac:dyDescent="0.3">
      <c r="E78" s="336"/>
      <c r="F78" s="5" t="s">
        <v>172</v>
      </c>
      <c r="G78" s="66">
        <v>3</v>
      </c>
      <c r="H78" t="str">
        <v>Skin/Temp Reinf.</v>
      </c>
      <c r="M78" s="299"/>
      <c r="N78" s="299"/>
      <c r="O78" s="299"/>
      <c r="P78" s="299"/>
      <c r="Q78" s="299"/>
      <c r="R78" s="299"/>
      <c r="S78" s="299"/>
      <c r="T78" s="299"/>
      <c r="V78" t="str">
        <v>Ledge Flexure Ratio =</v>
      </c>
      <c r="W78" s="156">
        <f>$G265</f>
        <v>0.65171869567225216</v>
      </c>
      <c r="Y78" s="94">
        <f>InvT_P_Ext_srv/W78</f>
        <v>422.2886791396229</v>
      </c>
      <c r="Z78" t="s">
        <v>915</v>
      </c>
      <c r="AB78" s="94">
        <f>$Y$68</f>
        <v>275.21342716603323</v>
      </c>
      <c r="AC78" t="s">
        <v>915</v>
      </c>
      <c r="AE78" s="94">
        <v>0.9</v>
      </c>
      <c r="AG78" s="94">
        <f t="shared" ref="AG78:AG79" si="2">MAX((AB78-Y78)/AE78,0)</f>
        <v>0</v>
      </c>
      <c r="AH78" t="s">
        <v>915</v>
      </c>
      <c r="AJ78" s="204"/>
      <c r="AK78" s="220">
        <f>DeckWidth</f>
        <v>43.182291666666664</v>
      </c>
      <c r="AL78" s="221">
        <v>0</v>
      </c>
      <c r="AM78" s="205"/>
      <c r="AN78" s="205"/>
      <c r="AO78" s="205"/>
      <c r="AP78" s="206"/>
      <c r="AT78" s="204"/>
      <c r="AU78" s="205"/>
      <c r="AV78" s="205"/>
      <c r="AW78" s="205"/>
      <c r="AX78" s="205"/>
      <c r="AY78" s="205"/>
      <c r="AZ78" s="205"/>
      <c r="BA78" s="205"/>
      <c r="BB78" s="205"/>
      <c r="BC78" s="205"/>
      <c r="BD78" s="205"/>
      <c r="BE78" s="206"/>
      <c r="BH78" s="204"/>
      <c r="BI78" s="229">
        <v>16</v>
      </c>
      <c r="BJ78" s="303"/>
      <c r="BK78" s="304"/>
      <c r="BL78" s="205"/>
      <c r="BM78" s="303"/>
      <c r="BN78" s="304"/>
      <c r="BO78" s="205"/>
      <c r="BP78" s="307"/>
      <c r="BQ78" s="308" t="e">
        <f t="shared" si="1"/>
        <v>#N/A</v>
      </c>
      <c r="BR78" s="255" t="e">
        <v>#N/A</v>
      </c>
      <c r="BS78" s="206"/>
    </row>
    <row r="79" spans="5:78" ht="15" customHeight="1" thickBot="1" x14ac:dyDescent="0.3">
      <c r="E79" s="334" t="s">
        <v>188</v>
      </c>
      <c r="F79" s="4" t="s">
        <v>945</v>
      </c>
      <c r="G79" s="76" t="b">
        <v>0</v>
      </c>
      <c r="H79" t="str" cm="1">
        <f t="array" ref="H79:H97">D79:D97&amp;E79</f>
        <v>Column/Support Section Properties and Spacing</v>
      </c>
      <c r="M79" s="299"/>
      <c r="N79" s="299"/>
      <c r="O79" s="299"/>
      <c r="P79" s="299"/>
      <c r="Q79" s="299"/>
      <c r="R79" s="299"/>
      <c r="S79" s="299"/>
      <c r="T79" s="299"/>
      <c r="V79" t="str">
        <v>Shear Friction Ratio =</v>
      </c>
      <c r="W79" s="156">
        <f>$G268</f>
        <v>0.98908689008457584</v>
      </c>
      <c r="Y79" s="94">
        <f>InvT_P_Ext_srv/W79</f>
        <v>278.25</v>
      </c>
      <c r="Z79" t="s">
        <v>915</v>
      </c>
      <c r="AB79" s="94">
        <f>$Y$68</f>
        <v>275.21342716603323</v>
      </c>
      <c r="AC79" t="s">
        <v>915</v>
      </c>
      <c r="AE79" s="94">
        <v>0.9</v>
      </c>
      <c r="AG79" s="94">
        <f t="shared" si="2"/>
        <v>0</v>
      </c>
      <c r="AH79" t="s">
        <v>915</v>
      </c>
      <c r="AJ79" s="204"/>
      <c r="AK79" s="222">
        <v>0</v>
      </c>
      <c r="AL79" s="224">
        <v>0</v>
      </c>
      <c r="AM79" s="205"/>
      <c r="AN79" s="205"/>
      <c r="AO79" s="205"/>
      <c r="AP79" s="206"/>
      <c r="AT79" s="204"/>
      <c r="AU79" s="205"/>
      <c r="AV79" s="205"/>
      <c r="AW79" s="205"/>
      <c r="AX79" s="205" t="s">
        <v>1961</v>
      </c>
      <c r="AY79" s="205"/>
      <c r="AZ79" s="296">
        <f>AZ74*AV75/AV74</f>
        <v>1.6666666666666667</v>
      </c>
      <c r="BA79" s="205"/>
      <c r="BB79" s="343" t="s">
        <v>1970</v>
      </c>
      <c r="BC79" s="344" t="s">
        <v>1971</v>
      </c>
      <c r="BD79" s="345" t="s">
        <v>1972</v>
      </c>
      <c r="BE79" s="206"/>
      <c r="BH79" s="204"/>
      <c r="BI79" s="229">
        <v>17</v>
      </c>
      <c r="BJ79" s="303"/>
      <c r="BK79" s="304"/>
      <c r="BL79" s="205"/>
      <c r="BM79" s="303"/>
      <c r="BN79" s="304"/>
      <c r="BO79" s="205"/>
      <c r="BP79" s="307"/>
      <c r="BQ79" s="308" t="e">
        <f t="shared" si="1"/>
        <v>#N/A</v>
      </c>
      <c r="BR79" s="255" t="e">
        <v>#N/A</v>
      </c>
      <c r="BS79" s="206"/>
    </row>
    <row r="80" spans="5:78" ht="15" customHeight="1" thickBot="1" x14ac:dyDescent="0.3">
      <c r="E80" s="335"/>
      <c r="F80" s="4" t="s">
        <v>173</v>
      </c>
      <c r="G80" s="66" t="str">
        <v>Rectangular</v>
      </c>
      <c r="H80" t="str">
        <v>Column/Support Section Properties and Spacing</v>
      </c>
      <c r="M80" s="299"/>
      <c r="N80" s="299"/>
      <c r="O80" s="299"/>
      <c r="P80" s="299"/>
      <c r="Q80" s="299"/>
      <c r="R80" s="299"/>
      <c r="S80" s="299"/>
      <c r="T80" s="299"/>
      <c r="V80" t="str">
        <v>Mid Corbel Bar Ratio =</v>
      </c>
      <c r="W80" s="156">
        <f>$G270</f>
        <v>2.2810623690826026</v>
      </c>
      <c r="Y80" s="94"/>
      <c r="AB80" s="94"/>
      <c r="AE80" s="94"/>
      <c r="AG80" s="94"/>
      <c r="AJ80" s="208"/>
      <c r="AK80" s="209"/>
      <c r="AL80" s="209"/>
      <c r="AM80" s="209"/>
      <c r="AN80" s="209"/>
      <c r="AO80" s="209"/>
      <c r="AP80" s="210"/>
      <c r="AT80" s="204"/>
      <c r="AU80" s="217" t="s">
        <v>817</v>
      </c>
      <c r="AV80" s="218" t="s">
        <v>818</v>
      </c>
      <c r="AW80" s="205"/>
      <c r="AX80" s="205" t="s">
        <v>1973</v>
      </c>
      <c r="AY80" s="205" t="s">
        <v>1974</v>
      </c>
      <c r="AZ80" s="205" t="s">
        <v>1975</v>
      </c>
      <c r="BA80" s="205"/>
      <c r="BB80" s="343"/>
      <c r="BC80" s="344"/>
      <c r="BD80" s="345"/>
      <c r="BE80" s="206"/>
      <c r="BH80" s="204"/>
      <c r="BI80" s="229">
        <v>18</v>
      </c>
      <c r="BJ80" s="303"/>
      <c r="BK80" s="304"/>
      <c r="BL80" s="205"/>
      <c r="BM80" s="303"/>
      <c r="BN80" s="304"/>
      <c r="BO80" s="205"/>
      <c r="BP80" s="307"/>
      <c r="BQ80" s="308" t="e">
        <f t="shared" si="1"/>
        <v>#N/A</v>
      </c>
      <c r="BR80" s="255" t="e">
        <v>#N/A</v>
      </c>
      <c r="BS80" s="206"/>
    </row>
    <row r="81" spans="5:72" ht="15.75" thickBot="1" x14ac:dyDescent="0.3">
      <c r="E81" s="335"/>
      <c r="F81" s="4" t="s">
        <v>175</v>
      </c>
      <c r="G81" s="83">
        <v>1</v>
      </c>
      <c r="H81" t="str">
        <v>Column/Support Section Properties and Spacing</v>
      </c>
      <c r="M81" s="299"/>
      <c r="N81" s="299"/>
      <c r="O81" s="299"/>
      <c r="P81" s="299"/>
      <c r="Q81" s="299"/>
      <c r="R81" s="299"/>
      <c r="S81" s="299"/>
      <c r="T81" s="299"/>
      <c r="V81" t="str">
        <v>Hanger Strength Ratio =</v>
      </c>
      <c r="W81" s="156">
        <f>$G271</f>
        <v>1.5847706247444953</v>
      </c>
      <c r="Y81" s="94">
        <f>InvT_P_Ext_srv/W81</f>
        <v>173.66136327167507</v>
      </c>
      <c r="Z81" t="s">
        <v>915</v>
      </c>
      <c r="AB81" s="94">
        <f>$Y$68</f>
        <v>275.21342716603323</v>
      </c>
      <c r="AC81" t="s">
        <v>915</v>
      </c>
      <c r="AE81" s="94">
        <v>0.9</v>
      </c>
      <c r="AG81" s="94">
        <f t="shared" ref="AG81:AG82" si="3">MAX((AB81-Y81)/AE81,0)</f>
        <v>112.83562654928684</v>
      </c>
      <c r="AH81" t="s">
        <v>915</v>
      </c>
      <c r="AT81" s="204"/>
      <c r="AU81" s="213">
        <f>BD76</f>
        <v>-2.5</v>
      </c>
      <c r="AV81" s="214">
        <f>BD81</f>
        <v>-12.500000000000002</v>
      </c>
      <c r="AW81" s="205"/>
      <c r="AX81" s="205">
        <f>MIN(AX96:AX100)</f>
        <v>-11.416666666666668</v>
      </c>
      <c r="AY81" s="205">
        <f>MIN(ROUND(AX81/AZ79+0.001,0)*AZ79-AZ79/2,0)</f>
        <v>-12.500000000000002</v>
      </c>
      <c r="AZ81" s="205">
        <f>ROUND(AY81/AZ79,0)*AZ79</f>
        <v>-13.333333333333334</v>
      </c>
      <c r="BA81" s="205"/>
      <c r="BB81" s="205">
        <f>AZ82-AZ81</f>
        <v>16.666666666666668</v>
      </c>
      <c r="BC81" s="205">
        <f>BB76/3</f>
        <v>18.333333333333332</v>
      </c>
      <c r="BD81" s="205">
        <f>IF(S3,AY81,0)</f>
        <v>-12.500000000000002</v>
      </c>
      <c r="BE81" s="206"/>
      <c r="BH81" s="204"/>
      <c r="BI81" s="229">
        <v>19</v>
      </c>
      <c r="BJ81" s="303"/>
      <c r="BK81" s="304"/>
      <c r="BL81" s="205"/>
      <c r="BM81" s="303"/>
      <c r="BN81" s="304"/>
      <c r="BO81" s="205"/>
      <c r="BP81" s="307"/>
      <c r="BQ81" s="308" t="e">
        <f t="shared" si="1"/>
        <v>#N/A</v>
      </c>
      <c r="BR81" s="255" t="e">
        <v>#N/A</v>
      </c>
      <c r="BS81" s="206"/>
    </row>
    <row r="82" spans="5:72" ht="15.75" thickBot="1" x14ac:dyDescent="0.3">
      <c r="E82" s="335"/>
      <c r="F82" s="4" t="str">
        <f>IF(AestheticCol = TRUE, "NA",
IF(G80&lt;&gt;"Circular","Transverse Width (┴ to Rdwy) (in) =","Diameter (in) ="))</f>
        <v>Transverse Width (┴ to Rdwy) (in) =</v>
      </c>
      <c r="G82" s="66">
        <v>72</v>
      </c>
      <c r="H82" t="str">
        <v>Column/Support Section Properties and Spacing</v>
      </c>
      <c r="M82" s="299"/>
      <c r="N82" s="299"/>
      <c r="O82" s="299"/>
      <c r="P82" s="299"/>
      <c r="Q82" s="299"/>
      <c r="R82" s="299"/>
      <c r="S82" s="299"/>
      <c r="T82" s="299"/>
      <c r="V82" t="str">
        <v>Hanger Service Ratio =</v>
      </c>
      <c r="W82" s="156">
        <f>$G272</f>
        <v>1.4215202811845378</v>
      </c>
      <c r="Y82" s="94">
        <f>G258/W82</f>
        <v>128.63804686790746</v>
      </c>
      <c r="Z82" t="s">
        <v>915</v>
      </c>
      <c r="AB82" s="94">
        <f>G258</f>
        <v>182.86159255469755</v>
      </c>
      <c r="AC82" s="94" t="s">
        <v>915</v>
      </c>
      <c r="AD82" s="94"/>
      <c r="AE82" s="94">
        <v>1</v>
      </c>
      <c r="AF82" s="94"/>
      <c r="AG82" s="94">
        <f t="shared" si="3"/>
        <v>54.223545686790089</v>
      </c>
      <c r="AH82" t="s">
        <v>915</v>
      </c>
      <c r="AJ82" s="337" t="s">
        <v>1985</v>
      </c>
      <c r="AK82" s="338"/>
      <c r="AL82" s="338"/>
      <c r="AM82" s="339"/>
      <c r="AO82" s="337" t="s">
        <v>1986</v>
      </c>
      <c r="AP82" s="338"/>
      <c r="AQ82" s="338"/>
      <c r="AR82" s="339"/>
      <c r="AT82" s="204"/>
      <c r="AU82" s="215">
        <f>BD77</f>
        <v>47.5</v>
      </c>
      <c r="AV82" s="216">
        <f>BD82</f>
        <v>4.1666666666666643</v>
      </c>
      <c r="AW82" s="205"/>
      <c r="AX82" s="205">
        <f>MAX(AL114:AL119)</f>
        <v>1.4166666666666667</v>
      </c>
      <c r="AY82" s="207">
        <f>ROUND(AX82/AZ79-0.0001,0)*AZ79+AZ79/2</f>
        <v>2.5</v>
      </c>
      <c r="AZ82" s="205">
        <f>ROUND(AY82/AZ79,0)*AZ79</f>
        <v>3.3333333333333335</v>
      </c>
      <c r="BA82" s="205"/>
      <c r="BB82" s="205"/>
      <c r="BC82" s="205"/>
      <c r="BD82" s="205">
        <f>IF(S3, AY82+MAX(0, BC81-BB81), 0)</f>
        <v>4.1666666666666643</v>
      </c>
      <c r="BE82" s="206"/>
      <c r="BH82" s="204"/>
      <c r="BI82" s="229">
        <v>20</v>
      </c>
      <c r="BJ82" s="305"/>
      <c r="BK82" s="306"/>
      <c r="BL82" s="205"/>
      <c r="BM82" s="305"/>
      <c r="BN82" s="306"/>
      <c r="BO82" s="205"/>
      <c r="BP82" s="309"/>
      <c r="BQ82" s="310" t="e">
        <f t="shared" si="1"/>
        <v>#N/A</v>
      </c>
      <c r="BR82" s="320" t="e">
        <v>#N/A</v>
      </c>
      <c r="BS82" s="206"/>
    </row>
    <row r="83" spans="5:72" ht="15.75" thickBot="1" x14ac:dyDescent="0.3">
      <c r="E83" s="335"/>
      <c r="F83" s="4" t="str">
        <f>IF(AestheticCol = TRUE, "NA",
IF(G80&lt;&gt;"Circular","Longitudinal Width (║ to Rdwy) (in) =",""))</f>
        <v>Longitudinal Width (║ to Rdwy) (in) =</v>
      </c>
      <c r="G83" s="66">
        <v>54</v>
      </c>
      <c r="H83" t="str">
        <v>Column/Support Section Properties and Spacing</v>
      </c>
      <c r="M83" s="299"/>
      <c r="N83" s="299"/>
      <c r="O83" s="299"/>
      <c r="P83" s="299"/>
      <c r="Q83" s="299"/>
      <c r="R83" s="299"/>
      <c r="S83" s="299"/>
      <c r="T83" s="299"/>
      <c r="AJ83" s="340"/>
      <c r="AK83" s="341"/>
      <c r="AL83" s="341"/>
      <c r="AM83" s="342"/>
      <c r="AO83" s="340"/>
      <c r="AP83" s="341"/>
      <c r="AQ83" s="341"/>
      <c r="AR83" s="342"/>
      <c r="AT83" s="208"/>
      <c r="AU83" s="209"/>
      <c r="AV83" s="209"/>
      <c r="AW83" s="209"/>
      <c r="AX83" s="209"/>
      <c r="AY83" s="209"/>
      <c r="AZ83" s="209"/>
      <c r="BA83" s="209"/>
      <c r="BB83" s="209"/>
      <c r="BC83" s="209"/>
      <c r="BD83" s="209"/>
      <c r="BE83" s="210"/>
      <c r="BH83" s="208"/>
      <c r="BI83" s="209"/>
      <c r="BJ83" s="209"/>
      <c r="BK83" s="209"/>
      <c r="BL83" s="209"/>
      <c r="BM83" s="209"/>
      <c r="BN83" s="209"/>
      <c r="BO83" s="209"/>
      <c r="BP83" s="209"/>
      <c r="BQ83" s="209"/>
      <c r="BR83" s="209"/>
      <c r="BS83" s="210"/>
    </row>
    <row r="84" spans="5:72" x14ac:dyDescent="0.25">
      <c r="E84" s="335"/>
      <c r="F84" s="4" t="str">
        <f>IF(AestheticCol = TRUE, "NA",
"Effective Capital "&amp;IF(G80&lt;&gt;"Circular","Width","Radius")&amp;" (0 if no capital) =")</f>
        <v>Effective Capital Width (0 if no capital) =</v>
      </c>
      <c r="G84" s="66">
        <v>0</v>
      </c>
      <c r="H84" t="str">
        <v>Column/Support Section Properties and Spacing</v>
      </c>
      <c r="M84" s="299"/>
      <c r="N84" s="299"/>
      <c r="O84" s="299"/>
      <c r="P84" s="299"/>
      <c r="Q84" s="299"/>
      <c r="R84" s="299"/>
      <c r="S84" s="299"/>
      <c r="T84" s="299"/>
      <c r="AJ84" s="204"/>
      <c r="AK84" s="205"/>
      <c r="AL84" s="205"/>
      <c r="AM84" s="206"/>
      <c r="AO84" s="204"/>
      <c r="AP84" s="205"/>
      <c r="AQ84" s="205"/>
      <c r="AR84" s="206"/>
    </row>
    <row r="85" spans="5:72" ht="15.75" thickBot="1" x14ac:dyDescent="0.3">
      <c r="E85" s="335"/>
      <c r="F85" s="4" t="str">
        <f>IF(AestheticCol = TRUE, "NA", "Capital Weight (0 if no capital) =")</f>
        <v>Capital Weight (0 if no capital) =</v>
      </c>
      <c r="G85" s="76">
        <v>0</v>
      </c>
      <c r="H85" t="str">
        <v>Column/Support Section Properties and Spacing</v>
      </c>
      <c r="M85" s="299"/>
      <c r="N85" s="299"/>
      <c r="O85" s="299"/>
      <c r="P85" s="299"/>
      <c r="Q85" s="299"/>
      <c r="R85" s="299"/>
      <c r="S85" s="299"/>
      <c r="T85" s="299"/>
      <c r="AJ85" s="204"/>
      <c r="AK85" s="228" t="s">
        <v>1978</v>
      </c>
      <c r="AL85" s="205"/>
      <c r="AM85" s="206"/>
      <c r="AO85" s="204"/>
      <c r="AP85" s="228" t="s">
        <v>1987</v>
      </c>
      <c r="AQ85" s="205"/>
      <c r="AR85" s="206"/>
    </row>
    <row r="86" spans="5:72" ht="15.75" thickBot="1" x14ac:dyDescent="0.3">
      <c r="E86" s="335"/>
      <c r="F86" s="4" t="s">
        <v>174</v>
      </c>
      <c r="G86" s="79">
        <v>20.125</v>
      </c>
      <c r="H86" t="str">
        <v>Column/Support Section Properties and Spacing</v>
      </c>
      <c r="M86" s="299"/>
      <c r="N86" s="299"/>
      <c r="O86" s="299"/>
      <c r="P86" s="299"/>
      <c r="Q86" s="299"/>
      <c r="R86" s="299"/>
      <c r="S86" s="299"/>
      <c r="T86" s="299"/>
      <c r="V86" s="137" t="str">
        <f>IF(MAX(AG75:AG82) = 0, "", "Additional ΦVn needed =")</f>
        <v>Additional ΦVn needed =</v>
      </c>
      <c r="W86" s="161">
        <f>IF(V86="", "", MAX(AG75:AG82))</f>
        <v>112.83562654928684</v>
      </c>
      <c r="X86" s="137" t="str">
        <f>IF(V86="", "", "kips")</f>
        <v>kips</v>
      </c>
      <c r="Y86" s="172" t="str" cm="1">
        <f t="array" ref="Y86">IF(W86="", "", SUBSTITUTE(_xlfn.XLOOKUP(W86,AG75:AG82,_xlfn.ANCHORARRAY(V75))," Ratio =", " Controls"))</f>
        <v>Hanger Strength Controls</v>
      </c>
      <c r="AJ86" s="204"/>
      <c r="AK86" s="225" t="s">
        <v>817</v>
      </c>
      <c r="AL86" s="227" t="s">
        <v>818</v>
      </c>
      <c r="AM86" s="206"/>
      <c r="AO86" s="204"/>
      <c r="AP86" s="225" t="s">
        <v>817</v>
      </c>
      <c r="AQ86" s="227" t="s">
        <v>818</v>
      </c>
      <c r="AR86" s="206"/>
      <c r="AT86" s="211" t="s">
        <v>1993</v>
      </c>
      <c r="AU86" s="202"/>
      <c r="AV86" s="202"/>
      <c r="AW86" s="202"/>
      <c r="AX86" s="202"/>
      <c r="AY86" s="202"/>
      <c r="AZ86" s="202"/>
      <c r="BA86" s="202"/>
      <c r="BB86" s="202"/>
      <c r="BC86" s="202"/>
      <c r="BD86" s="202"/>
      <c r="BE86" s="202"/>
      <c r="BF86" s="202"/>
      <c r="BG86" s="202"/>
      <c r="BH86" s="203"/>
      <c r="BJ86" s="211" t="s">
        <v>2048</v>
      </c>
      <c r="BK86" s="202"/>
      <c r="BL86" s="202"/>
      <c r="BM86" s="202"/>
      <c r="BN86" s="202"/>
      <c r="BO86" s="202"/>
      <c r="BP86" s="202"/>
      <c r="BQ86" s="202"/>
      <c r="BR86" s="202"/>
      <c r="BS86" s="202"/>
      <c r="BT86" s="203"/>
    </row>
    <row r="87" spans="5:72" ht="16.5" thickTop="1" thickBot="1" x14ac:dyDescent="0.3">
      <c r="E87" s="335"/>
      <c r="F87" s="4" t="str">
        <f>IF(G81&gt;=2, "Spacing from Col 1 to Col 2 (ft) =","NA")</f>
        <v>NA</v>
      </c>
      <c r="G87" s="79" t="str">
        <v/>
      </c>
      <c r="H87" t="str">
        <v>Column/Support Section Properties and Spacing</v>
      </c>
      <c r="M87" s="299"/>
      <c r="N87" s="299"/>
      <c r="O87" s="299"/>
      <c r="P87" s="299"/>
      <c r="Q87" s="299"/>
      <c r="R87" s="299"/>
      <c r="S87" s="299"/>
      <c r="T87" s="299"/>
      <c r="AJ87" s="204"/>
      <c r="AK87" s="239">
        <v>0</v>
      </c>
      <c r="AL87" s="240">
        <f>slabthickness/12+1/12</f>
        <v>0.66666666666666674</v>
      </c>
      <c r="AM87" s="206"/>
      <c r="AO87" s="204"/>
      <c r="AP87" s="239">
        <v>0</v>
      </c>
      <c r="AQ87" s="240">
        <f>slabthickness/12+1/12</f>
        <v>0.66666666666666674</v>
      </c>
      <c r="AR87" s="206"/>
      <c r="AT87" s="204"/>
      <c r="AU87" s="205"/>
      <c r="AV87" s="205"/>
      <c r="AW87" s="205"/>
      <c r="AX87" s="229" cm="1">
        <f t="array" ref="AX87:BG87">_xlfn.SEQUENCE(,10)</f>
        <v>1</v>
      </c>
      <c r="AY87" s="229">
        <v>2</v>
      </c>
      <c r="AZ87" s="229">
        <v>3</v>
      </c>
      <c r="BA87" s="229">
        <v>4</v>
      </c>
      <c r="BB87" s="229">
        <v>5</v>
      </c>
      <c r="BC87" s="229">
        <v>6</v>
      </c>
      <c r="BD87" s="229">
        <v>7</v>
      </c>
      <c r="BE87" s="229">
        <v>8</v>
      </c>
      <c r="BF87" s="229">
        <v>9</v>
      </c>
      <c r="BG87" s="229">
        <v>10</v>
      </c>
      <c r="BH87" s="206"/>
      <c r="BJ87" s="204"/>
      <c r="BK87" s="205"/>
      <c r="BL87" s="205"/>
      <c r="BM87" s="205"/>
      <c r="BN87" s="205"/>
      <c r="BO87" s="205"/>
      <c r="BP87" s="205"/>
      <c r="BQ87" s="205"/>
      <c r="BR87" s="205"/>
      <c r="BS87" s="205"/>
      <c r="BT87" s="206"/>
    </row>
    <row r="88" spans="5:72" ht="15.75" thickBot="1" x14ac:dyDescent="0.3">
      <c r="E88" s="335"/>
      <c r="F88" s="4" t="str">
        <f>IF(G81&gt;=3, "Spacing from Col 2 to Col 3 (ft) =", "NA")</f>
        <v>NA</v>
      </c>
      <c r="G88" s="79" t="str">
        <v/>
      </c>
      <c r="H88" t="str">
        <v>Column/Support Section Properties and Spacing</v>
      </c>
      <c r="M88" s="299"/>
      <c r="N88" s="299"/>
      <c r="O88" s="299"/>
      <c r="P88" s="299"/>
      <c r="Q88" s="299"/>
      <c r="R88" s="299"/>
      <c r="S88" s="299"/>
      <c r="T88" s="299"/>
      <c r="AJ88" s="204"/>
      <c r="AK88" s="234">
        <v>0</v>
      </c>
      <c r="AL88" s="235">
        <f>AL87+4/12</f>
        <v>1</v>
      </c>
      <c r="AM88" s="206"/>
      <c r="AO88" s="204"/>
      <c r="AP88" s="234">
        <v>0</v>
      </c>
      <c r="AQ88" s="235">
        <f>AQ87+4/12</f>
        <v>1</v>
      </c>
      <c r="AR88" s="206"/>
      <c r="AT88" s="204"/>
      <c r="AU88" s="253" t="s">
        <v>805</v>
      </c>
      <c r="AV88" s="205"/>
      <c r="AW88" s="205"/>
      <c r="AX88" s="247" cm="1">
        <f t="array" ref="AX88">_xlfn.SEQUENCE(,NoSupports)</f>
        <v>1</v>
      </c>
      <c r="AY88" s="248"/>
      <c r="AZ88" s="248"/>
      <c r="BA88" s="248"/>
      <c r="BB88" s="248"/>
      <c r="BC88" s="248"/>
      <c r="BD88" s="248"/>
      <c r="BE88" s="248"/>
      <c r="BF88" s="248"/>
      <c r="BG88" s="249"/>
      <c r="BH88" s="206"/>
      <c r="BJ88" s="204"/>
      <c r="BK88" s="205"/>
      <c r="BL88" s="225" t="s">
        <v>817</v>
      </c>
      <c r="BM88" s="227" t="s">
        <v>818</v>
      </c>
      <c r="BN88" s="205"/>
      <c r="BO88" s="253" t="s">
        <v>2044</v>
      </c>
      <c r="BP88" s="205"/>
      <c r="BQ88" s="225" t="s">
        <v>2045</v>
      </c>
      <c r="BR88" s="226" t="s">
        <v>817</v>
      </c>
      <c r="BS88" s="227" t="s">
        <v>818</v>
      </c>
      <c r="BT88" s="206"/>
    </row>
    <row r="89" spans="5:72" ht="15.75" thickTop="1" x14ac:dyDescent="0.25">
      <c r="E89" s="335"/>
      <c r="F89" s="4" t="str">
        <f>IF(G81&gt;=4, "Spacing from Col 3 to Col 4 (ft) =", "NA")</f>
        <v>NA</v>
      </c>
      <c r="G89" s="79" t="str">
        <v/>
      </c>
      <c r="H89" t="str">
        <v>Column/Support Section Properties and Spacing</v>
      </c>
      <c r="M89" s="299"/>
      <c r="N89" s="299"/>
      <c r="O89" s="299"/>
      <c r="P89" s="299"/>
      <c r="Q89" s="299"/>
      <c r="R89" s="299"/>
      <c r="S89" s="299"/>
      <c r="T89" s="299"/>
      <c r="AJ89" s="204"/>
      <c r="AK89" s="234">
        <v>0</v>
      </c>
      <c r="AL89" s="235">
        <f>AL88-2/12</f>
        <v>0.83333333333333337</v>
      </c>
      <c r="AM89" s="206"/>
      <c r="AO89" s="204"/>
      <c r="AP89" s="234">
        <v>0</v>
      </c>
      <c r="AQ89" s="235">
        <f>AQ88-2/12</f>
        <v>0.83333333333333337</v>
      </c>
      <c r="AR89" s="206"/>
      <c r="AT89" s="204"/>
      <c r="AU89" s="157">
        <f>AU119-coltranswidth/12/2</f>
        <v>-1.5468749999999998</v>
      </c>
      <c r="AV89" s="205"/>
      <c r="AW89" s="205"/>
      <c r="AX89" s="242" cm="1">
        <f t="array" ref="AX89:AX93">AU89:AU93+TRANSPOSE(_xlfn.ANCHORARRAY(AV103))</f>
        <v>18.578125</v>
      </c>
      <c r="AY89" s="241"/>
      <c r="AZ89" s="241"/>
      <c r="BA89" s="241"/>
      <c r="BB89" s="241"/>
      <c r="BC89" s="241"/>
      <c r="BD89" s="241"/>
      <c r="BE89" s="241"/>
      <c r="BF89" s="241"/>
      <c r="BG89" s="243"/>
      <c r="BH89" s="206"/>
      <c r="BJ89" s="204"/>
      <c r="BK89" s="229" cm="1">
        <f t="array" ref="BK89:BK100">_xlfn.SEQUENCE(12)</f>
        <v>1</v>
      </c>
      <c r="BL89" s="220" cm="1">
        <f t="array" ref="BL89:BL91">_xlfn.VSTACK(MIN(AU119:AU127),_xlfn.ANCHORARRAY(BO89),MAX(AU119:AU127))</f>
        <v>1.4531250000000002</v>
      </c>
      <c r="BM89" s="221" cm="1">
        <f t="array" ref="BM89:BM91">AU97+ABS(AU97-AU96)*7/8+_xlfn.ANCHORARRAY(BL89)*0</f>
        <v>-7.041666666666667</v>
      </c>
      <c r="BN89" s="205"/>
      <c r="BO89" s="312" cm="1">
        <f t="array" ref="BO89">MIN(AU119:AU127)+_xlfn.ANCHORARRAY(AV103)</f>
        <v>21.578125</v>
      </c>
      <c r="BP89" s="205"/>
      <c r="BQ89" s="307">
        <f t="shared" ref="BQ89:BQ100" si="4">IF(BL90="", NA(),BL90-BL89)</f>
        <v>20.125</v>
      </c>
      <c r="BR89" s="308">
        <f t="shared" ref="BR89:BR100" si="5">IF(BL90="",NA(),AVERAGE(BL89:BL90))</f>
        <v>11.515625</v>
      </c>
      <c r="BS89" s="221" cm="1">
        <f t="array" ref="BS89:BS100">IF(BR89:BR100="",NA(),BM89:BM100)</f>
        <v>-7.041666666666667</v>
      </c>
      <c r="BT89" s="206"/>
    </row>
    <row r="90" spans="5:72" x14ac:dyDescent="0.25">
      <c r="E90" s="335"/>
      <c r="F90" s="4" t="str">
        <f>IF(G81&gt;=5, "Spacing from Col 4 to Col 5 (ft) =", "NA")</f>
        <v>NA</v>
      </c>
      <c r="G90" s="79" t="str">
        <v/>
      </c>
      <c r="H90" t="str">
        <v>Column/Support Section Properties and Spacing</v>
      </c>
      <c r="M90" s="299"/>
      <c r="N90" s="299"/>
      <c r="O90" s="299"/>
      <c r="P90" s="299"/>
      <c r="Q90" s="299"/>
      <c r="R90" s="299"/>
      <c r="S90" s="299"/>
      <c r="T90" s="299"/>
      <c r="AJ90" s="204"/>
      <c r="AK90" s="236">
        <f>OSOHBack</f>
        <v>2.8333333333333335</v>
      </c>
      <c r="AL90" s="235">
        <f>AL88-2/12</f>
        <v>0.83333333333333337</v>
      </c>
      <c r="AM90" s="206"/>
      <c r="AO90" s="204"/>
      <c r="AP90" s="236">
        <f>OSOH</f>
        <v>2.8333333333333335</v>
      </c>
      <c r="AQ90" s="235">
        <f>AQ88-2/12</f>
        <v>0.83333333333333337</v>
      </c>
      <c r="AR90" s="206"/>
      <c r="AT90" s="204"/>
      <c r="AU90" s="157">
        <f>AU89</f>
        <v>-1.5468749999999998</v>
      </c>
      <c r="AV90" s="205"/>
      <c r="AW90" s="205"/>
      <c r="AX90" s="242">
        <v>18.578125</v>
      </c>
      <c r="AY90" s="241"/>
      <c r="AZ90" s="241"/>
      <c r="BA90" s="241"/>
      <c r="BB90" s="241"/>
      <c r="BC90" s="241"/>
      <c r="BD90" s="241"/>
      <c r="BE90" s="241"/>
      <c r="BF90" s="241"/>
      <c r="BG90" s="243"/>
      <c r="BH90" s="206"/>
      <c r="BJ90" s="204"/>
      <c r="BK90" s="229">
        <v>2</v>
      </c>
      <c r="BL90" s="254">
        <v>21.578125</v>
      </c>
      <c r="BM90" s="221">
        <v>-7.041666666666667</v>
      </c>
      <c r="BN90" s="205"/>
      <c r="BO90" s="157"/>
      <c r="BP90" s="205"/>
      <c r="BQ90" s="307">
        <f t="shared" si="4"/>
        <v>20.208333333333336</v>
      </c>
      <c r="BR90" s="308">
        <f t="shared" si="5"/>
        <v>31.682291666666668</v>
      </c>
      <c r="BS90" s="221">
        <v>-7.041666666666667</v>
      </c>
      <c r="BT90" s="206"/>
    </row>
    <row r="91" spans="5:72" x14ac:dyDescent="0.25">
      <c r="E91" s="335"/>
      <c r="F91" s="4" t="str">
        <f>IF(G81&gt;=6, "Spacing from Col 5 to Col 6 (ft) =", "NA")</f>
        <v>NA</v>
      </c>
      <c r="G91" s="79" t="str">
        <v/>
      </c>
      <c r="H91" t="str">
        <v>Column/Support Section Properties and Spacing</v>
      </c>
      <c r="M91" s="299"/>
      <c r="N91" s="299"/>
      <c r="O91" s="299"/>
      <c r="P91" s="299"/>
      <c r="Q91" s="299"/>
      <c r="R91" s="299"/>
      <c r="S91" s="299"/>
      <c r="T91" s="299"/>
      <c r="W91" s="94"/>
      <c r="AJ91" s="204"/>
      <c r="AK91" s="236">
        <f>OSOHBack</f>
        <v>2.8333333333333335</v>
      </c>
      <c r="AL91" s="235">
        <f>AL87+4/12</f>
        <v>1</v>
      </c>
      <c r="AM91" s="206"/>
      <c r="AO91" s="204"/>
      <c r="AP91" s="236">
        <f>OSOH</f>
        <v>2.8333333333333335</v>
      </c>
      <c r="AQ91" s="235">
        <f>AQ87+4/12</f>
        <v>1</v>
      </c>
      <c r="AR91" s="206"/>
      <c r="AT91" s="204"/>
      <c r="AU91" s="157">
        <f>AU89+coltranswidth/12</f>
        <v>4.453125</v>
      </c>
      <c r="AV91" s="205"/>
      <c r="AW91" s="205"/>
      <c r="AX91" s="242">
        <v>24.578125</v>
      </c>
      <c r="AY91" s="241"/>
      <c r="AZ91" s="241"/>
      <c r="BA91" s="241"/>
      <c r="BB91" s="241"/>
      <c r="BC91" s="241"/>
      <c r="BD91" s="241"/>
      <c r="BE91" s="241"/>
      <c r="BF91" s="241"/>
      <c r="BG91" s="243"/>
      <c r="BH91" s="206"/>
      <c r="BJ91" s="204"/>
      <c r="BK91" s="229">
        <v>3</v>
      </c>
      <c r="BL91" s="220">
        <v>41.786458333333336</v>
      </c>
      <c r="BM91" s="221">
        <v>-7.041666666666667</v>
      </c>
      <c r="BN91" s="205"/>
      <c r="BO91" s="157"/>
      <c r="BP91" s="205"/>
      <c r="BQ91" s="307" t="e">
        <f t="shared" si="4"/>
        <v>#N/A</v>
      </c>
      <c r="BR91" s="308" t="e">
        <f t="shared" si="5"/>
        <v>#N/A</v>
      </c>
      <c r="BS91" s="221" t="e">
        <v>#N/A</v>
      </c>
      <c r="BT91" s="206"/>
    </row>
    <row r="92" spans="5:72" ht="15.75" thickBot="1" x14ac:dyDescent="0.3">
      <c r="E92" s="335"/>
      <c r="F92" s="4" t="str">
        <f>IF(G81&gt;=7, "Spacing from Col 6 to Col 7 (ft) =", "NA")</f>
        <v>NA</v>
      </c>
      <c r="G92" s="79" t="str">
        <v/>
      </c>
      <c r="H92" t="str">
        <v>Column/Support Section Properties and Spacing</v>
      </c>
      <c r="M92" s="299"/>
      <c r="N92" s="299"/>
      <c r="O92" s="299"/>
      <c r="P92" s="299"/>
      <c r="Q92" s="299"/>
      <c r="R92" s="299"/>
      <c r="S92" s="299"/>
      <c r="T92" s="299"/>
      <c r="W92" s="94"/>
      <c r="AJ92" s="204"/>
      <c r="AK92" s="237">
        <f>OSOHBack</f>
        <v>2.8333333333333335</v>
      </c>
      <c r="AL92" s="238">
        <f>slabthickness/12+1/12</f>
        <v>0.66666666666666674</v>
      </c>
      <c r="AM92" s="206"/>
      <c r="AO92" s="204"/>
      <c r="AP92" s="237">
        <f>OSOH</f>
        <v>2.8333333333333335</v>
      </c>
      <c r="AQ92" s="238">
        <f>slabthickness/12+1/12</f>
        <v>0.66666666666666674</v>
      </c>
      <c r="AR92" s="206"/>
      <c r="AT92" s="204"/>
      <c r="AU92" s="157">
        <f>AU91</f>
        <v>4.453125</v>
      </c>
      <c r="AV92" s="205"/>
      <c r="AW92" s="205"/>
      <c r="AX92" s="242">
        <v>24.578125</v>
      </c>
      <c r="AY92" s="241"/>
      <c r="AZ92" s="241"/>
      <c r="BA92" s="241"/>
      <c r="BB92" s="241"/>
      <c r="BC92" s="241"/>
      <c r="BD92" s="241"/>
      <c r="BE92" s="241"/>
      <c r="BF92" s="241"/>
      <c r="BG92" s="243"/>
      <c r="BH92" s="206"/>
      <c r="BJ92" s="204"/>
      <c r="BK92" s="229">
        <v>4</v>
      </c>
      <c r="BL92" s="220"/>
      <c r="BM92" s="221"/>
      <c r="BN92" s="205"/>
      <c r="BO92" s="157"/>
      <c r="BP92" s="205"/>
      <c r="BQ92" s="307" t="e">
        <f t="shared" si="4"/>
        <v>#N/A</v>
      </c>
      <c r="BR92" s="308" t="e">
        <f t="shared" si="5"/>
        <v>#N/A</v>
      </c>
      <c r="BS92" s="221" t="e">
        <v>#N/A</v>
      </c>
      <c r="BT92" s="206"/>
    </row>
    <row r="93" spans="5:72" ht="15.75" thickBot="1" x14ac:dyDescent="0.3">
      <c r="E93" s="335"/>
      <c r="F93" s="4" t="str">
        <f>IF(G81&gt;=8, "Spacing from Col 7 to Col 8 (ft) =", "NA")</f>
        <v>NA</v>
      </c>
      <c r="G93" s="79" t="str">
        <v/>
      </c>
      <c r="H93" t="str">
        <v>Column/Support Section Properties and Spacing</v>
      </c>
      <c r="M93" s="299"/>
      <c r="N93" s="299"/>
      <c r="O93" s="299"/>
      <c r="P93" s="299"/>
      <c r="Q93" s="299"/>
      <c r="R93" s="299"/>
      <c r="S93" s="299"/>
      <c r="T93" s="299"/>
      <c r="V93" s="137"/>
      <c r="W93" s="137"/>
      <c r="X93" s="137"/>
      <c r="AJ93" s="204"/>
      <c r="AK93" s="205"/>
      <c r="AL93" s="205"/>
      <c r="AM93" s="206"/>
      <c r="AO93" s="204"/>
      <c r="AP93" s="205"/>
      <c r="AQ93" s="205"/>
      <c r="AR93" s="206"/>
      <c r="AT93" s="204"/>
      <c r="AU93" s="158">
        <f>AU89</f>
        <v>-1.5468749999999998</v>
      </c>
      <c r="AV93" s="205"/>
      <c r="AW93" s="205"/>
      <c r="AX93" s="244">
        <v>18.578125</v>
      </c>
      <c r="AY93" s="245"/>
      <c r="AZ93" s="245"/>
      <c r="BA93" s="245"/>
      <c r="BB93" s="245"/>
      <c r="BC93" s="245"/>
      <c r="BD93" s="245"/>
      <c r="BE93" s="245"/>
      <c r="BF93" s="245"/>
      <c r="BG93" s="246"/>
      <c r="BH93" s="206"/>
      <c r="BJ93" s="204"/>
      <c r="BK93" s="229">
        <v>5</v>
      </c>
      <c r="BL93" s="220"/>
      <c r="BM93" s="221"/>
      <c r="BN93" s="205"/>
      <c r="BO93" s="157"/>
      <c r="BP93" s="205"/>
      <c r="BQ93" s="307" t="e">
        <f t="shared" si="4"/>
        <v>#N/A</v>
      </c>
      <c r="BR93" s="308" t="e">
        <f t="shared" si="5"/>
        <v>#N/A</v>
      </c>
      <c r="BS93" s="221" t="e">
        <v>#N/A</v>
      </c>
      <c r="BT93" s="206"/>
    </row>
    <row r="94" spans="5:72" ht="15.75" thickBot="1" x14ac:dyDescent="0.3">
      <c r="E94" s="335"/>
      <c r="F94" s="4" t="str">
        <f>IF(G81&gt;=9, "Spacing from Col 8 to Col 9 (ft) =", "NA")</f>
        <v>NA</v>
      </c>
      <c r="G94" s="79" t="str">
        <v/>
      </c>
      <c r="H94" t="str">
        <v>Column/Support Section Properties and Spacing</v>
      </c>
      <c r="AJ94" s="204"/>
      <c r="AK94" s="228" t="s">
        <v>1979</v>
      </c>
      <c r="AL94" s="205"/>
      <c r="AM94" s="206"/>
      <c r="AO94" s="204"/>
      <c r="AP94" s="228" t="s">
        <v>1988</v>
      </c>
      <c r="AQ94" s="205"/>
      <c r="AR94" s="206"/>
      <c r="AT94" s="204"/>
      <c r="AU94" s="205"/>
      <c r="AV94" s="205"/>
      <c r="AW94" s="205"/>
      <c r="AX94" s="229" cm="1">
        <f t="array" ref="AX94:BG94">_xlfn.SEQUENCE(,10)</f>
        <v>1</v>
      </c>
      <c r="AY94" s="229">
        <v>2</v>
      </c>
      <c r="AZ94" s="229">
        <v>3</v>
      </c>
      <c r="BA94" s="229">
        <v>4</v>
      </c>
      <c r="BB94" s="229">
        <v>5</v>
      </c>
      <c r="BC94" s="229">
        <v>6</v>
      </c>
      <c r="BD94" s="229">
        <v>7</v>
      </c>
      <c r="BE94" s="229">
        <v>8</v>
      </c>
      <c r="BF94" s="229">
        <v>9</v>
      </c>
      <c r="BG94" s="229">
        <v>10</v>
      </c>
      <c r="BH94" s="206"/>
      <c r="BJ94" s="204"/>
      <c r="BK94" s="229">
        <v>6</v>
      </c>
      <c r="BL94" s="220"/>
      <c r="BM94" s="221"/>
      <c r="BN94" s="205"/>
      <c r="BO94" s="157"/>
      <c r="BP94" s="205"/>
      <c r="BQ94" s="307" t="e">
        <f t="shared" si="4"/>
        <v>#N/A</v>
      </c>
      <c r="BR94" s="308" t="e">
        <f t="shared" si="5"/>
        <v>#N/A</v>
      </c>
      <c r="BS94" s="221" t="e">
        <v>#N/A</v>
      </c>
      <c r="BT94" s="206"/>
    </row>
    <row r="95" spans="5:72" ht="15.75" thickBot="1" x14ac:dyDescent="0.3">
      <c r="E95" s="335"/>
      <c r="F95" s="4" t="str">
        <f>IF(G81&gt;=10, "Spacing from Col 9 to Col 10 (ft) =", "NA")</f>
        <v>NA</v>
      </c>
      <c r="G95" s="79" t="str">
        <v/>
      </c>
      <c r="H95" t="str">
        <v>Column/Support Section Properties and Spacing</v>
      </c>
      <c r="AJ95" s="204"/>
      <c r="AK95" s="225" t="s">
        <v>817</v>
      </c>
      <c r="AL95" s="227" t="s">
        <v>818</v>
      </c>
      <c r="AM95" s="206"/>
      <c r="AO95" s="204"/>
      <c r="AP95" s="225" t="s">
        <v>817</v>
      </c>
      <c r="AQ95" s="227" t="s">
        <v>818</v>
      </c>
      <c r="AR95" s="206"/>
      <c r="AT95" s="204"/>
      <c r="AU95" s="253" t="s">
        <v>806</v>
      </c>
      <c r="AV95" s="205"/>
      <c r="AW95" s="205"/>
      <c r="AX95" s="250" cm="1">
        <f t="array" ref="AX95">_xlfn.SEQUENCE(,NoSupports)</f>
        <v>1</v>
      </c>
      <c r="AY95" s="251"/>
      <c r="AZ95" s="251"/>
      <c r="BA95" s="251"/>
      <c r="BB95" s="251"/>
      <c r="BC95" s="251"/>
      <c r="BD95" s="251"/>
      <c r="BE95" s="251"/>
      <c r="BF95" s="251"/>
      <c r="BG95" s="252"/>
      <c r="BH95" s="206"/>
      <c r="BJ95" s="204"/>
      <c r="BK95" s="229">
        <v>7</v>
      </c>
      <c r="BL95" s="220"/>
      <c r="BM95" s="221"/>
      <c r="BN95" s="205"/>
      <c r="BO95" s="157"/>
      <c r="BP95" s="205"/>
      <c r="BQ95" s="307" t="e">
        <f t="shared" si="4"/>
        <v>#N/A</v>
      </c>
      <c r="BR95" s="308" t="e">
        <f t="shared" si="5"/>
        <v>#N/A</v>
      </c>
      <c r="BS95" s="221" t="e">
        <v>#N/A</v>
      </c>
      <c r="BT95" s="206"/>
    </row>
    <row r="96" spans="5:72" ht="15.75" thickTop="1" x14ac:dyDescent="0.25">
      <c r="E96" s="335"/>
      <c r="F96" s="4" t="str">
        <f>IF(G81&gt;1, "Column ""H1"" Height (ft) =", "Column ""H"" Height (ft) =")</f>
        <v>Column "H" Height (ft) =</v>
      </c>
      <c r="G96" s="80">
        <v>28</v>
      </c>
      <c r="H96" t="str">
        <v>Column/Support Section Properties and Spacing</v>
      </c>
      <c r="M96" s="299"/>
      <c r="N96" s="299"/>
      <c r="O96" s="299"/>
      <c r="P96" s="299"/>
      <c r="Q96" s="299"/>
      <c r="R96" s="299"/>
      <c r="S96" s="299"/>
      <c r="T96" s="299"/>
      <c r="AJ96" s="204"/>
      <c r="AK96" s="239">
        <f>DeckWidth</f>
        <v>43.182291666666664</v>
      </c>
      <c r="AL96" s="240">
        <f>slabthickness/12+1/12</f>
        <v>0.66666666666666674</v>
      </c>
      <c r="AM96" s="206"/>
      <c r="AO96" s="204"/>
      <c r="AP96" s="239">
        <f>DeckWidth</f>
        <v>43.182291666666664</v>
      </c>
      <c r="AQ96" s="240">
        <f>slabthickness/12+1/12</f>
        <v>0.66666666666666674</v>
      </c>
      <c r="AR96" s="206"/>
      <c r="AT96" s="204"/>
      <c r="AU96" s="157">
        <f>MIN(AV119:AV127)</f>
        <v>-6.416666666666667</v>
      </c>
      <c r="AV96" s="205"/>
      <c r="AW96" s="205"/>
      <c r="AX96" s="242" cm="1">
        <f t="array" ref="AX96:AX100">AU96:AU100+_xlfn.SEQUENCE(,NoSupports,0,0)</f>
        <v>-6.416666666666667</v>
      </c>
      <c r="AY96" s="241"/>
      <c r="AZ96" s="241"/>
      <c r="BA96" s="241"/>
      <c r="BB96" s="241"/>
      <c r="BC96" s="241"/>
      <c r="BD96" s="241"/>
      <c r="BE96" s="241"/>
      <c r="BF96" s="241"/>
      <c r="BG96" s="243"/>
      <c r="BH96" s="206"/>
      <c r="BJ96" s="204"/>
      <c r="BK96" s="229">
        <v>8</v>
      </c>
      <c r="BL96" s="220"/>
      <c r="BM96" s="221"/>
      <c r="BN96" s="205"/>
      <c r="BO96" s="157"/>
      <c r="BP96" s="205"/>
      <c r="BQ96" s="307" t="e">
        <f t="shared" si="4"/>
        <v>#N/A</v>
      </c>
      <c r="BR96" s="308" t="e">
        <f t="shared" si="5"/>
        <v>#N/A</v>
      </c>
      <c r="BS96" s="221" t="e">
        <v>#N/A</v>
      </c>
      <c r="BT96" s="206"/>
    </row>
    <row r="97" spans="5:72" ht="15.75" thickBot="1" x14ac:dyDescent="0.3">
      <c r="E97" s="336"/>
      <c r="F97" s="4" t="str">
        <f>IF(G81=2, "Column ""H2"" Height (ft) =", "NA")</f>
        <v>NA</v>
      </c>
      <c r="G97" s="80" t="str">
        <v/>
      </c>
      <c r="H97" t="str">
        <v>Column/Support Section Properties and Spacing</v>
      </c>
      <c r="M97" s="299"/>
      <c r="N97" s="299"/>
      <c r="O97" s="299"/>
      <c r="P97" s="299"/>
      <c r="Q97" s="299"/>
      <c r="R97" s="299"/>
      <c r="S97" s="299"/>
      <c r="T97" s="299"/>
      <c r="V97" s="18" t="s">
        <v>922</v>
      </c>
      <c r="W97" s="18"/>
      <c r="Y97" s="155" t="s">
        <v>917</v>
      </c>
      <c r="Z97" s="155"/>
      <c r="AJ97" s="204"/>
      <c r="AK97" s="234">
        <f>$AK$96</f>
        <v>43.182291666666664</v>
      </c>
      <c r="AL97" s="235">
        <f>AL96+4/12</f>
        <v>1</v>
      </c>
      <c r="AM97" s="206"/>
      <c r="AO97" s="204"/>
      <c r="AP97" s="234">
        <f>$AP$96</f>
        <v>43.182291666666664</v>
      </c>
      <c r="AQ97" s="235">
        <f>AQ96+4/12</f>
        <v>1</v>
      </c>
      <c r="AR97" s="206"/>
      <c r="AT97" s="204"/>
      <c r="AU97" s="157">
        <f>AU96-5</f>
        <v>-11.416666666666668</v>
      </c>
      <c r="AV97" s="205"/>
      <c r="AW97" s="205"/>
      <c r="AX97" s="242">
        <v>-11.416666666666668</v>
      </c>
      <c r="AY97" s="241"/>
      <c r="AZ97" s="241"/>
      <c r="BA97" s="241"/>
      <c r="BB97" s="241"/>
      <c r="BC97" s="241"/>
      <c r="BD97" s="241"/>
      <c r="BE97" s="241"/>
      <c r="BF97" s="241"/>
      <c r="BG97" s="243"/>
      <c r="BH97" s="206"/>
      <c r="BJ97" s="204"/>
      <c r="BK97" s="229">
        <v>9</v>
      </c>
      <c r="BL97" s="220"/>
      <c r="BM97" s="221"/>
      <c r="BN97" s="205"/>
      <c r="BO97" s="157"/>
      <c r="BP97" s="205"/>
      <c r="BQ97" s="307" t="e">
        <f t="shared" si="4"/>
        <v>#N/A</v>
      </c>
      <c r="BR97" s="308" t="e">
        <f t="shared" si="5"/>
        <v>#N/A</v>
      </c>
      <c r="BS97" s="221" t="e">
        <v>#N/A</v>
      </c>
      <c r="BT97" s="206"/>
    </row>
    <row r="98" spans="5:72" ht="15.75" thickBot="1" x14ac:dyDescent="0.3">
      <c r="E98" s="334" t="s">
        <v>176</v>
      </c>
      <c r="F98" s="3" t="s">
        <v>180</v>
      </c>
      <c r="G98" s="92">
        <v>7</v>
      </c>
      <c r="H98" t="str" cm="1">
        <f t="array" ref="H98:H118">D98:D118&amp;E98</f>
        <v>Beam Girder Spacing - Back Span</v>
      </c>
      <c r="M98" s="299"/>
      <c r="N98" s="299"/>
      <c r="O98" s="299" t="str">
        <f>ProjectSubject &amp; " - Interior Girder Ledge Capacity Ratios"</f>
        <v>Bent 75R - Interior Girder Ledge Capacity Ratios</v>
      </c>
      <c r="P98" s="299"/>
      <c r="Q98" s="299"/>
      <c r="R98" s="299"/>
      <c r="S98" s="299"/>
      <c r="T98" s="299"/>
      <c r="Y98" s="94">
        <f>G257</f>
        <v>305.51034062632141</v>
      </c>
      <c r="Z98" t="s">
        <v>915</v>
      </c>
      <c r="AJ98" s="204"/>
      <c r="AK98" s="234">
        <f>$AK$96</f>
        <v>43.182291666666664</v>
      </c>
      <c r="AL98" s="235">
        <f>AL97-2/12</f>
        <v>0.83333333333333337</v>
      </c>
      <c r="AM98" s="206"/>
      <c r="AO98" s="204"/>
      <c r="AP98" s="234">
        <f>$AP$96</f>
        <v>43.182291666666664</v>
      </c>
      <c r="AQ98" s="235">
        <f>AQ97-2/12</f>
        <v>0.83333333333333337</v>
      </c>
      <c r="AR98" s="206"/>
      <c r="AT98" s="204"/>
      <c r="AU98" s="157">
        <f>AU97</f>
        <v>-11.416666666666668</v>
      </c>
      <c r="AV98" s="205"/>
      <c r="AW98" s="205"/>
      <c r="AX98" s="242">
        <v>-11.416666666666668</v>
      </c>
      <c r="AY98" s="241"/>
      <c r="AZ98" s="241"/>
      <c r="BA98" s="241"/>
      <c r="BB98" s="241"/>
      <c r="BC98" s="241"/>
      <c r="BD98" s="241"/>
      <c r="BE98" s="241"/>
      <c r="BF98" s="241"/>
      <c r="BG98" s="243"/>
      <c r="BH98" s="206"/>
      <c r="BJ98" s="204"/>
      <c r="BK98" s="229">
        <v>10</v>
      </c>
      <c r="BL98" s="220"/>
      <c r="BM98" s="221"/>
      <c r="BN98" s="205"/>
      <c r="BO98" s="158"/>
      <c r="BP98" s="205"/>
      <c r="BQ98" s="307" t="e">
        <f t="shared" si="4"/>
        <v>#N/A</v>
      </c>
      <c r="BR98" s="308" t="e">
        <f t="shared" si="5"/>
        <v>#N/A</v>
      </c>
      <c r="BS98" s="221" t="e">
        <v>#N/A</v>
      </c>
      <c r="BT98" s="206"/>
    </row>
    <row r="99" spans="5:72" x14ac:dyDescent="0.25">
      <c r="E99" s="335"/>
      <c r="F99" s="4" t="s">
        <v>177</v>
      </c>
      <c r="G99" s="70">
        <v>2.8333333333333335</v>
      </c>
      <c r="H99" t="str">
        <v>Beam Girder Spacing - Back Span</v>
      </c>
      <c r="M99" s="299"/>
      <c r="N99" s="299"/>
      <c r="O99" s="299"/>
      <c r="P99" s="299"/>
      <c r="Q99" s="299"/>
      <c r="R99" s="299"/>
      <c r="S99" s="299"/>
      <c r="T99" s="299"/>
      <c r="V99" t="str" cm="1">
        <f t="array" ref="V99:V102">_xlfn.VSTACK(F276,F278:F279,F281)</f>
        <v>Ledge Flexure steel yielded? =</v>
      </c>
      <c r="W99" s="174" t="str">
        <f>$G276</f>
        <v>Yes-Steel has yielded at Mn</v>
      </c>
      <c r="AJ99" s="204"/>
      <c r="AK99" s="236">
        <f>$AK$96-OSOHBackRT</f>
        <v>40.348958333333329</v>
      </c>
      <c r="AL99" s="235">
        <f>AL97-2/12</f>
        <v>0.83333333333333337</v>
      </c>
      <c r="AM99" s="206"/>
      <c r="AO99" s="204"/>
      <c r="AP99" s="236">
        <f>AP96-OSOHRT</f>
        <v>40.348958333333329</v>
      </c>
      <c r="AQ99" s="235">
        <f>AQ97-2/12</f>
        <v>0.83333333333333337</v>
      </c>
      <c r="AR99" s="206"/>
      <c r="AT99" s="204"/>
      <c r="AU99" s="157">
        <f>AU96</f>
        <v>-6.416666666666667</v>
      </c>
      <c r="AV99" s="205"/>
      <c r="AW99" s="205"/>
      <c r="AX99" s="242">
        <v>-6.416666666666667</v>
      </c>
      <c r="AY99" s="241"/>
      <c r="AZ99" s="241"/>
      <c r="BA99" s="241"/>
      <c r="BB99" s="241"/>
      <c r="BC99" s="241"/>
      <c r="BD99" s="241"/>
      <c r="BE99" s="241"/>
      <c r="BF99" s="241"/>
      <c r="BG99" s="243"/>
      <c r="BH99" s="206"/>
      <c r="BJ99" s="204"/>
      <c r="BK99" s="229">
        <v>11</v>
      </c>
      <c r="BL99" s="220"/>
      <c r="BM99" s="221"/>
      <c r="BN99" s="205"/>
      <c r="BO99" s="205"/>
      <c r="BP99" s="205"/>
      <c r="BQ99" s="307" t="e">
        <f t="shared" si="4"/>
        <v>#N/A</v>
      </c>
      <c r="BR99" s="308" t="e">
        <f t="shared" si="5"/>
        <v>#N/A</v>
      </c>
      <c r="BS99" s="221" t="e">
        <v>#N/A</v>
      </c>
      <c r="BT99" s="206"/>
    </row>
    <row r="100" spans="5:72" ht="15.75" thickBot="1" x14ac:dyDescent="0.3">
      <c r="E100" s="335"/>
      <c r="F100" s="4" t="s">
        <v>178</v>
      </c>
      <c r="G100" s="75">
        <v>6</v>
      </c>
      <c r="H100" t="str">
        <v>Beam Girder Spacing - Back Span</v>
      </c>
      <c r="M100" s="299"/>
      <c r="N100" s="299"/>
      <c r="O100" s="299"/>
      <c r="P100" s="299"/>
      <c r="Q100" s="299"/>
      <c r="R100" s="299"/>
      <c r="S100" s="299"/>
      <c r="T100" s="299"/>
      <c r="V100" t="str">
        <v>Ledge Flexure Min As Check 1 =</v>
      </c>
      <c r="W100" s="174" t="str">
        <f>$G278</f>
        <v>Minimum Reinforcement OK</v>
      </c>
      <c r="AJ100" s="204"/>
      <c r="AK100" s="236">
        <f>$AK$96-OSOHBackRT</f>
        <v>40.348958333333329</v>
      </c>
      <c r="AL100" s="235">
        <f>AL96+4/12</f>
        <v>1</v>
      </c>
      <c r="AM100" s="206"/>
      <c r="AO100" s="204"/>
      <c r="AP100" s="236">
        <f>$AP$99</f>
        <v>40.348958333333329</v>
      </c>
      <c r="AQ100" s="235">
        <f>AQ96+4/12</f>
        <v>1</v>
      </c>
      <c r="AR100" s="206"/>
      <c r="AT100" s="204"/>
      <c r="AU100" s="158">
        <f>AU96</f>
        <v>-6.416666666666667</v>
      </c>
      <c r="AV100" s="205"/>
      <c r="AW100" s="205"/>
      <c r="AX100" s="244">
        <v>-6.416666666666667</v>
      </c>
      <c r="AY100" s="245"/>
      <c r="AZ100" s="245"/>
      <c r="BA100" s="245"/>
      <c r="BB100" s="245"/>
      <c r="BC100" s="245"/>
      <c r="BD100" s="245"/>
      <c r="BE100" s="245"/>
      <c r="BF100" s="245"/>
      <c r="BG100" s="246"/>
      <c r="BH100" s="206"/>
      <c r="BJ100" s="204"/>
      <c r="BK100" s="229">
        <v>12</v>
      </c>
      <c r="BL100" s="222"/>
      <c r="BM100" s="224"/>
      <c r="BN100" s="205"/>
      <c r="BO100" s="205"/>
      <c r="BP100" s="205"/>
      <c r="BQ100" s="309" t="e">
        <f t="shared" si="4"/>
        <v>#N/A</v>
      </c>
      <c r="BR100" s="310" t="e">
        <f t="shared" si="5"/>
        <v>#N/A</v>
      </c>
      <c r="BS100" s="224" t="e">
        <v>#N/A</v>
      </c>
      <c r="BT100" s="206"/>
    </row>
    <row r="101" spans="5:72" ht="15.75" thickBot="1" x14ac:dyDescent="0.3">
      <c r="E101" s="335"/>
      <c r="F101" s="4" t="str">
        <f>IF(G98&gt;=3, "Beam Spacing from Bm 2 to Bm 3 (ft) =", "NA")</f>
        <v>Beam Spacing from Bm 2 to Bm 3 (ft) =</v>
      </c>
      <c r="G101" s="75">
        <v>6</v>
      </c>
      <c r="H101" t="str">
        <v>Beam Girder Spacing - Back Span</v>
      </c>
      <c r="M101" s="299"/>
      <c r="N101" s="299"/>
      <c r="O101" s="299"/>
      <c r="P101" s="299"/>
      <c r="Q101" s="299"/>
      <c r="R101" s="299"/>
      <c r="S101" s="299"/>
      <c r="T101" s="299"/>
      <c r="V101" t="str">
        <v>Ledge Flexure Min As Check 2 =</v>
      </c>
      <c r="W101" s="175" t="str">
        <f>$G279</f>
        <v>Minimum Reinforcement OK</v>
      </c>
      <c r="AJ101" s="204"/>
      <c r="AK101" s="237">
        <f>$AK$96-OSOHBackRT</f>
        <v>40.348958333333329</v>
      </c>
      <c r="AL101" s="238">
        <f>slabthickness/12+1/12</f>
        <v>0.66666666666666674</v>
      </c>
      <c r="AM101" s="206"/>
      <c r="AO101" s="204"/>
      <c r="AP101" s="237">
        <f>$AP$99</f>
        <v>40.348958333333329</v>
      </c>
      <c r="AQ101" s="238">
        <f>slabthickness/12+1/12</f>
        <v>0.66666666666666674</v>
      </c>
      <c r="AR101" s="206"/>
      <c r="AT101" s="204"/>
      <c r="AU101" s="205"/>
      <c r="AV101" s="205"/>
      <c r="AW101" s="205"/>
      <c r="AX101" s="229" cm="1">
        <f t="array" ref="AX101:BG101">_xlfn.SEQUENCE(,10)</f>
        <v>1</v>
      </c>
      <c r="AY101" s="229">
        <v>2</v>
      </c>
      <c r="AZ101" s="229">
        <v>3</v>
      </c>
      <c r="BA101" s="229">
        <v>4</v>
      </c>
      <c r="BB101" s="229">
        <v>5</v>
      </c>
      <c r="BC101" s="229">
        <v>6</v>
      </c>
      <c r="BD101" s="229">
        <v>7</v>
      </c>
      <c r="BE101" s="229">
        <v>8</v>
      </c>
      <c r="BF101" s="229">
        <v>9</v>
      </c>
      <c r="BG101" s="229">
        <v>10</v>
      </c>
      <c r="BH101" s="206"/>
      <c r="BJ101" s="208"/>
      <c r="BK101" s="209"/>
      <c r="BL101" s="209"/>
      <c r="BM101" s="209"/>
      <c r="BN101" s="209"/>
      <c r="BO101" s="209"/>
      <c r="BP101" s="209"/>
      <c r="BQ101" s="209"/>
      <c r="BR101" s="313"/>
      <c r="BS101" s="314"/>
      <c r="BT101" s="210"/>
    </row>
    <row r="102" spans="5:72" ht="15.75" thickBot="1" x14ac:dyDescent="0.3">
      <c r="E102" s="335"/>
      <c r="F102" s="4" t="str">
        <f>IF(G98&gt;=4, "Beam Spacing from Bm 3 to Bm 4 (ft) =", "NA")</f>
        <v>Beam Spacing from Bm 3 to Bm 4 (ft) =</v>
      </c>
      <c r="G102" s="75">
        <v>6</v>
      </c>
      <c r="H102" t="str">
        <v>Beam Girder Spacing - Back Span</v>
      </c>
      <c r="M102" s="299"/>
      <c r="N102" s="299"/>
      <c r="O102" s="299"/>
      <c r="P102" s="299"/>
      <c r="Q102" s="299"/>
      <c r="R102" s="299"/>
      <c r="S102" s="299"/>
      <c r="T102" s="299"/>
      <c r="V102" t="str">
        <v>Shear Friction Min Av check =</v>
      </c>
      <c r="W102" s="175" t="str">
        <f>$G281</f>
        <v>Minimum Reinforcement OK</v>
      </c>
      <c r="AJ102" s="204"/>
      <c r="AK102" s="205"/>
      <c r="AL102" s="205"/>
      <c r="AM102" s="206"/>
      <c r="AO102" s="204"/>
      <c r="AP102" s="205"/>
      <c r="AQ102" s="205"/>
      <c r="AR102" s="206"/>
      <c r="AT102" s="204"/>
      <c r="AU102" s="225" t="s">
        <v>807</v>
      </c>
      <c r="AV102" s="227" t="s">
        <v>808</v>
      </c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6"/>
    </row>
    <row r="103" spans="5:72" ht="16.5" thickTop="1" thickBot="1" x14ac:dyDescent="0.3">
      <c r="E103" s="335"/>
      <c r="F103" s="4" t="str">
        <f>IF(G98&gt;=5, "Beam Spacing from Bm 4 to Bm 5 (ft) =", "NA")</f>
        <v>Beam Spacing from Bm 4 to Bm 5 (ft) =</v>
      </c>
      <c r="G103" s="75">
        <v>6</v>
      </c>
      <c r="H103" t="str">
        <v>Beam Girder Spacing - Back Span</v>
      </c>
      <c r="M103" s="299"/>
      <c r="N103" s="299"/>
      <c r="O103" s="299"/>
      <c r="P103" s="299"/>
      <c r="Q103" s="299"/>
      <c r="R103" s="299"/>
      <c r="S103" s="299"/>
      <c r="T103" s="299"/>
      <c r="AJ103" s="204"/>
      <c r="AK103" s="228" t="s">
        <v>1980</v>
      </c>
      <c r="AL103" s="205"/>
      <c r="AM103" s="206"/>
      <c r="AO103" s="204"/>
      <c r="AP103" s="228" t="s">
        <v>1989</v>
      </c>
      <c r="AQ103" s="205"/>
      <c r="AR103" s="206"/>
      <c r="AT103" s="256" cm="1">
        <f t="array" ref="AT103:AT112">_xlfn.SEQUENCE(10)</f>
        <v>1</v>
      </c>
      <c r="AU103" s="254" cm="1">
        <f t="array" ref="AU103">_xlfn.CHOOSEROWS(G86:G95,_xlfn.SEQUENCE(NoSupports))</f>
        <v>20.125</v>
      </c>
      <c r="AV103" s="255" cm="1">
        <f t="array" ref="AV103">MMULT(N(ROW(_xlfn.ANCHORARRAY(AU103))&gt;=TRANSPOSE(ROW(_xlfn.ANCHORARRAY(AU103)))),_xlfn.ANCHORARRAY(AU103))</f>
        <v>20.125</v>
      </c>
      <c r="AW103" s="205"/>
      <c r="AX103" s="205"/>
      <c r="AY103" s="205"/>
      <c r="AZ103" s="205"/>
      <c r="BA103" s="205"/>
      <c r="BB103" s="205"/>
      <c r="BC103" s="205"/>
      <c r="BD103" s="205"/>
      <c r="BE103" s="205"/>
      <c r="BF103" s="205"/>
      <c r="BG103" s="205"/>
      <c r="BH103" s="206"/>
    </row>
    <row r="104" spans="5:72" ht="15.75" thickBot="1" x14ac:dyDescent="0.3">
      <c r="E104" s="335"/>
      <c r="F104" s="4" t="str">
        <f>IF(G98&gt;=6, "Beam Spacing from Bm 5 to Bm 6 (ft) =", "NA")</f>
        <v>Beam Spacing from Bm 5 to Bm 6 (ft) =</v>
      </c>
      <c r="G104" s="75">
        <v>6.7569999999999997</v>
      </c>
      <c r="H104" t="str">
        <v>Beam Girder Spacing - Back Span</v>
      </c>
      <c r="M104" s="299"/>
      <c r="N104" s="299"/>
      <c r="O104" s="299"/>
      <c r="P104" s="299"/>
      <c r="Q104" s="299"/>
      <c r="R104" s="299"/>
      <c r="S104" s="299"/>
      <c r="T104" s="299"/>
      <c r="V104" s="18" t="s">
        <v>921</v>
      </c>
      <c r="W104" s="18"/>
      <c r="Y104" s="155" t="s">
        <v>916</v>
      </c>
      <c r="Z104" s="155"/>
      <c r="AB104" s="155" t="s">
        <v>917</v>
      </c>
      <c r="AC104" s="155"/>
      <c r="AE104" s="155" t="s">
        <v>933</v>
      </c>
      <c r="AG104" s="155" t="s">
        <v>2035</v>
      </c>
      <c r="AH104" s="155"/>
      <c r="AJ104" s="204"/>
      <c r="AK104" s="225" t="s">
        <v>817</v>
      </c>
      <c r="AL104" s="227" t="s">
        <v>818</v>
      </c>
      <c r="AM104" s="206"/>
      <c r="AO104" s="204"/>
      <c r="AP104" s="225" t="s">
        <v>817</v>
      </c>
      <c r="AQ104" s="227" t="s">
        <v>818</v>
      </c>
      <c r="AR104" s="206"/>
      <c r="AT104" s="256">
        <v>2</v>
      </c>
      <c r="AU104" s="220"/>
      <c r="AV104" s="221"/>
      <c r="AW104" s="205"/>
      <c r="AX104" s="205"/>
      <c r="AY104" s="205"/>
      <c r="AZ104" s="205"/>
      <c r="BA104" s="205"/>
      <c r="BB104" s="205"/>
      <c r="BC104" s="205"/>
      <c r="BD104" s="205"/>
      <c r="BE104" s="205"/>
      <c r="BF104" s="205"/>
      <c r="BG104" s="205"/>
      <c r="BH104" s="206"/>
    </row>
    <row r="105" spans="5:72" ht="15.75" thickTop="1" x14ac:dyDescent="0.25">
      <c r="E105" s="335"/>
      <c r="F105" s="4" t="str">
        <f>IF(G98&gt;=7, "Beam Spacing from Bm 6 to Bm 7 (ft) =", "NA")</f>
        <v>Beam Spacing from Bm 6 to Bm 7 (ft) =</v>
      </c>
      <c r="G105" s="70">
        <v>6.7569999999999997</v>
      </c>
      <c r="H105" t="str">
        <v>Beam Girder Spacing - Back Span</v>
      </c>
      <c r="M105" s="299"/>
      <c r="N105" s="299"/>
      <c r="O105" s="299"/>
      <c r="P105" s="299"/>
      <c r="Q105" s="299"/>
      <c r="R105" s="299"/>
      <c r="S105" s="299"/>
      <c r="T105" s="299"/>
      <c r="V105" t="str" cm="1">
        <f t="array" ref="V105:V112">_xlfn.VSTACK(F273:F275,F277,F280,F282:F284)</f>
        <v>Punching Shear Ratio =</v>
      </c>
      <c r="W105" s="156">
        <f>$G273</f>
        <v>0.41299832278654547</v>
      </c>
      <c r="Y105" s="94">
        <f>Y98/W105</f>
        <v>739.73748504596642</v>
      </c>
      <c r="Z105" t="s">
        <v>915</v>
      </c>
      <c r="AB105" s="94">
        <f>$Y$98</f>
        <v>305.51034062632141</v>
      </c>
      <c r="AC105" t="s">
        <v>915</v>
      </c>
      <c r="AE105" s="94">
        <v>0.9</v>
      </c>
      <c r="AG105" s="94">
        <f>MAX((AB105-Y105)/AE105,0)</f>
        <v>0</v>
      </c>
      <c r="AH105" t="s">
        <v>915</v>
      </c>
      <c r="AJ105" s="204"/>
      <c r="AK105" s="239">
        <f>OSOHBack</f>
        <v>2.8333333333333335</v>
      </c>
      <c r="AL105" s="240">
        <f>slabthickness/12+1/12</f>
        <v>0.66666666666666674</v>
      </c>
      <c r="AM105" s="206"/>
      <c r="AO105" s="204"/>
      <c r="AP105" s="239">
        <f>OSOH</f>
        <v>2.8333333333333335</v>
      </c>
      <c r="AQ105" s="240">
        <f>slabthickness/12+1/12</f>
        <v>0.66666666666666674</v>
      </c>
      <c r="AR105" s="206"/>
      <c r="AT105" s="256">
        <v>3</v>
      </c>
      <c r="AU105" s="220"/>
      <c r="AV105" s="221"/>
      <c r="AW105" s="205"/>
      <c r="AX105" s="205"/>
      <c r="AY105" s="205"/>
      <c r="AZ105" s="205"/>
      <c r="BA105" s="205"/>
      <c r="BB105" s="205"/>
      <c r="BC105" s="205"/>
      <c r="BD105" s="205"/>
      <c r="BE105" s="205"/>
      <c r="BF105" s="205"/>
      <c r="BG105" s="205"/>
      <c r="BH105" s="206"/>
    </row>
    <row r="106" spans="5:72" x14ac:dyDescent="0.25">
      <c r="E106" s="335"/>
      <c r="F106" s="4" t="str">
        <f>IF(G98&gt;=8, "Beam Spacing from Bm 7 to Bm 8 (ft) =", "NA")</f>
        <v>NA</v>
      </c>
      <c r="G106" s="75" t="str">
        <v/>
      </c>
      <c r="H106" t="str">
        <v>Beam Girder Spacing - Back Span</v>
      </c>
      <c r="M106" s="299"/>
      <c r="N106" s="299"/>
      <c r="O106" s="299"/>
      <c r="P106" s="299"/>
      <c r="Q106" s="299"/>
      <c r="R106" s="299"/>
      <c r="S106" s="299"/>
      <c r="T106" s="299"/>
      <c r="V106" t="str">
        <v>Bearing Ratio =</v>
      </c>
      <c r="W106" s="156">
        <f>$G274</f>
        <v>0.42909825985884587</v>
      </c>
      <c r="Y106" s="94">
        <f>Y98/W106</f>
        <v>711.98224091335317</v>
      </c>
      <c r="Z106" t="s">
        <v>915</v>
      </c>
      <c r="AB106" s="94">
        <f>$Y$98</f>
        <v>305.51034062632141</v>
      </c>
      <c r="AC106" t="s">
        <v>915</v>
      </c>
      <c r="AE106" s="94">
        <v>0.7</v>
      </c>
      <c r="AG106" s="94">
        <f>MAX((AB106-Y106)/AE106,0)</f>
        <v>0</v>
      </c>
      <c r="AH106" t="s">
        <v>915</v>
      </c>
      <c r="AJ106" s="204"/>
      <c r="AK106" s="234">
        <f>OSOHBack</f>
        <v>2.8333333333333335</v>
      </c>
      <c r="AL106" s="235">
        <f>AL105+4/12</f>
        <v>1</v>
      </c>
      <c r="AM106" s="206"/>
      <c r="AO106" s="204"/>
      <c r="AP106" s="234">
        <f>OSOH</f>
        <v>2.8333333333333335</v>
      </c>
      <c r="AQ106" s="235">
        <f>AQ105+4/12</f>
        <v>1</v>
      </c>
      <c r="AR106" s="206"/>
      <c r="AT106" s="256">
        <v>4</v>
      </c>
      <c r="AU106" s="220"/>
      <c r="AV106" s="221"/>
      <c r="AW106" s="205"/>
      <c r="AX106" s="205"/>
      <c r="AY106" s="205"/>
      <c r="AZ106" s="205"/>
      <c r="BA106" s="205"/>
      <c r="BB106" s="205"/>
      <c r="BC106" s="205"/>
      <c r="BD106" s="205"/>
      <c r="BE106" s="205"/>
      <c r="BF106" s="205"/>
      <c r="BG106" s="205"/>
      <c r="BH106" s="206"/>
    </row>
    <row r="107" spans="5:72" x14ac:dyDescent="0.25">
      <c r="E107" s="335"/>
      <c r="F107" s="4" t="str">
        <f>IF(G98&gt;=9, "Beam Spacing from Bm 8 to Bm 9 (ft) =", "NA")</f>
        <v>NA</v>
      </c>
      <c r="G107" s="70" t="str">
        <v/>
      </c>
      <c r="H107" t="str">
        <v>Beam Girder Spacing - Back Span</v>
      </c>
      <c r="M107" s="299"/>
      <c r="N107" s="299"/>
      <c r="O107" s="299"/>
      <c r="P107" s="299"/>
      <c r="Q107" s="299"/>
      <c r="R107" s="299"/>
      <c r="S107" s="299"/>
      <c r="T107" s="299"/>
      <c r="V107" t="str">
        <v>Bar M Development Length Ratio =</v>
      </c>
      <c r="W107" s="156">
        <f>$G275</f>
        <v>1.701233047808568</v>
      </c>
      <c r="Y107" s="94"/>
      <c r="AB107" s="94"/>
      <c r="AE107" s="94"/>
      <c r="AG107" s="94"/>
      <c r="AJ107" s="204"/>
      <c r="AK107" s="234">
        <f>OSOHBack</f>
        <v>2.8333333333333335</v>
      </c>
      <c r="AL107" s="235">
        <f>AL106-2/12</f>
        <v>0.83333333333333337</v>
      </c>
      <c r="AM107" s="206"/>
      <c r="AO107" s="204"/>
      <c r="AP107" s="234">
        <f>OSOH</f>
        <v>2.8333333333333335</v>
      </c>
      <c r="AQ107" s="235">
        <f>AQ106-2/12</f>
        <v>0.83333333333333337</v>
      </c>
      <c r="AR107" s="206"/>
      <c r="AT107" s="256">
        <v>5</v>
      </c>
      <c r="AU107" s="220"/>
      <c r="AV107" s="221"/>
      <c r="AW107" s="205"/>
      <c r="AX107" s="205"/>
      <c r="AY107" s="205"/>
      <c r="AZ107" s="205"/>
      <c r="BA107" s="205"/>
      <c r="BB107" s="205"/>
      <c r="BC107" s="205"/>
      <c r="BD107" s="205"/>
      <c r="BE107" s="205"/>
      <c r="BF107" s="205"/>
      <c r="BG107" s="205"/>
      <c r="BH107" s="206"/>
    </row>
    <row r="108" spans="5:72" x14ac:dyDescent="0.25">
      <c r="E108" s="335"/>
      <c r="F108" s="4" t="str">
        <f>IF(G98&gt;=10, "Beam Spacing from Bm 9 to Bm 10 (ft) =", "NA")</f>
        <v>NA</v>
      </c>
      <c r="G108" s="70" t="str">
        <v/>
      </c>
      <c r="H108" t="str">
        <v>Beam Girder Spacing - Back Span</v>
      </c>
      <c r="M108" s="299"/>
      <c r="N108" s="299"/>
      <c r="O108" s="299"/>
      <c r="P108" s="299"/>
      <c r="Q108" s="299"/>
      <c r="R108" s="299"/>
      <c r="S108" s="299"/>
      <c r="T108" s="299"/>
      <c r="V108" t="str">
        <v>Ledge Flexure Ratio =</v>
      </c>
      <c r="W108" s="156">
        <f>$G277</f>
        <v>0.18246591154140526</v>
      </c>
      <c r="Y108" s="94">
        <f>Y98/W108</f>
        <v>1674.3420074768039</v>
      </c>
      <c r="Z108" t="s">
        <v>915</v>
      </c>
      <c r="AB108" s="94">
        <f>$Y$98</f>
        <v>305.51034062632141</v>
      </c>
      <c r="AC108" t="s">
        <v>915</v>
      </c>
      <c r="AE108" s="94">
        <v>0.9</v>
      </c>
      <c r="AG108" s="94">
        <f t="shared" ref="AG108:AG109" si="6">MAX((AB108-Y108)/AE108,0)</f>
        <v>0</v>
      </c>
      <c r="AH108" t="s">
        <v>915</v>
      </c>
      <c r="AJ108" s="204"/>
      <c r="AK108" s="236">
        <f>$AK$105+(DeckWidth-OSOHBack-OSOHBackRT)/(BkBms-1)</f>
        <v>9.0859374999999982</v>
      </c>
      <c r="AL108" s="235">
        <f>AL106-2/12</f>
        <v>0.83333333333333337</v>
      </c>
      <c r="AM108" s="206"/>
      <c r="AO108" s="204"/>
      <c r="AP108" s="236">
        <f>$AP$105+(DeckWidth-OSOH-OSOHRT)/(FdBms-1)</f>
        <v>10.336458333333333</v>
      </c>
      <c r="AQ108" s="235">
        <f>AQ106-2/12</f>
        <v>0.83333333333333337</v>
      </c>
      <c r="AR108" s="206"/>
      <c r="AT108" s="256">
        <v>6</v>
      </c>
      <c r="AU108" s="220"/>
      <c r="AV108" s="221"/>
      <c r="AW108" s="205"/>
      <c r="AX108" s="205"/>
      <c r="AY108" s="205"/>
      <c r="AZ108" s="205"/>
      <c r="BA108" s="205"/>
      <c r="BB108" s="205"/>
      <c r="BC108" s="205"/>
      <c r="BD108" s="205"/>
      <c r="BE108" s="205"/>
      <c r="BF108" s="205"/>
      <c r="BG108" s="205"/>
      <c r="BH108" s="206"/>
    </row>
    <row r="109" spans="5:72" x14ac:dyDescent="0.25">
      <c r="E109" s="335"/>
      <c r="F109" s="4" t="str">
        <f>IF(G98&gt;=11, "Beam Spacing from Bm 10 to Bm 11 (ft) =", "NA")</f>
        <v>NA</v>
      </c>
      <c r="G109" s="70" t="str">
        <v/>
      </c>
      <c r="H109" t="str">
        <v>Beam Girder Spacing - Back Span</v>
      </c>
      <c r="M109" s="299"/>
      <c r="N109" s="299"/>
      <c r="O109" s="299"/>
      <c r="P109" s="299"/>
      <c r="Q109" s="299"/>
      <c r="R109" s="299"/>
      <c r="S109" s="299"/>
      <c r="T109" s="299"/>
      <c r="V109" t="str">
        <v>Shear Friction Ratio =</v>
      </c>
      <c r="W109" s="156">
        <f>$G280</f>
        <v>0.69942843549982014</v>
      </c>
      <c r="Y109" s="94">
        <f>Y98/W109</f>
        <v>436.79999999999995</v>
      </c>
      <c r="Z109" t="s">
        <v>915</v>
      </c>
      <c r="AB109" s="94">
        <f>$Y$98</f>
        <v>305.51034062632141</v>
      </c>
      <c r="AC109" t="s">
        <v>915</v>
      </c>
      <c r="AE109" s="94">
        <v>0.9</v>
      </c>
      <c r="AG109" s="94">
        <f t="shared" si="6"/>
        <v>0</v>
      </c>
      <c r="AH109" t="s">
        <v>915</v>
      </c>
      <c r="AJ109" s="204"/>
      <c r="AK109" s="236">
        <f>$AK$108</f>
        <v>9.0859374999999982</v>
      </c>
      <c r="AL109" s="235">
        <f>AL105+4/12</f>
        <v>1</v>
      </c>
      <c r="AM109" s="206"/>
      <c r="AO109" s="204"/>
      <c r="AP109" s="236">
        <f>$AP$108</f>
        <v>10.336458333333333</v>
      </c>
      <c r="AQ109" s="235">
        <f>AQ105+4/12</f>
        <v>1</v>
      </c>
      <c r="AR109" s="206"/>
      <c r="AT109" s="256">
        <v>7</v>
      </c>
      <c r="AU109" s="220"/>
      <c r="AV109" s="221"/>
      <c r="AW109" s="205"/>
      <c r="AX109" s="205"/>
      <c r="AY109" s="205"/>
      <c r="AZ109" s="205"/>
      <c r="BA109" s="205"/>
      <c r="BB109" s="205"/>
      <c r="BC109" s="205"/>
      <c r="BD109" s="205"/>
      <c r="BE109" s="205"/>
      <c r="BF109" s="205"/>
      <c r="BG109" s="205"/>
      <c r="BH109" s="206"/>
    </row>
    <row r="110" spans="5:72" ht="15.75" thickBot="1" x14ac:dyDescent="0.3">
      <c r="E110" s="335"/>
      <c r="F110" s="4" t="str">
        <f>IF(G98&gt;=12, "Beam Spacing from Bm 11 to Bm 12 (ft) =", "NA")</f>
        <v>NA</v>
      </c>
      <c r="G110" s="70" t="str">
        <v/>
      </c>
      <c r="H110" t="str">
        <v>Beam Girder Spacing - Back Span</v>
      </c>
      <c r="M110" s="299"/>
      <c r="N110" s="299"/>
      <c r="O110" s="299"/>
      <c r="P110" s="299"/>
      <c r="Q110" s="299"/>
      <c r="R110" s="299"/>
      <c r="S110" s="299"/>
      <c r="T110" s="299"/>
      <c r="V110" t="str">
        <v>Mid Corbel Bar Ratio =</v>
      </c>
      <c r="W110" s="156">
        <f>$G282</f>
        <v>2.7026585531238831</v>
      </c>
      <c r="Y110" s="94"/>
      <c r="AB110" s="94"/>
      <c r="AE110" s="94"/>
      <c r="AG110" s="94"/>
      <c r="AJ110" s="204"/>
      <c r="AK110" s="237">
        <f>$AK$108</f>
        <v>9.0859374999999982</v>
      </c>
      <c r="AL110" s="238">
        <f>slabthickness/12+1/12</f>
        <v>0.66666666666666674</v>
      </c>
      <c r="AM110" s="206"/>
      <c r="AO110" s="204"/>
      <c r="AP110" s="237">
        <f>$AP$108</f>
        <v>10.336458333333333</v>
      </c>
      <c r="AQ110" s="238">
        <f>slabthickness/12+1/12</f>
        <v>0.66666666666666674</v>
      </c>
      <c r="AR110" s="206"/>
      <c r="AT110" s="256">
        <v>8</v>
      </c>
      <c r="AU110" s="220"/>
      <c r="AV110" s="221"/>
      <c r="AW110" s="205"/>
      <c r="AX110" s="205"/>
      <c r="AY110" s="205"/>
      <c r="AZ110" s="205"/>
      <c r="BA110" s="205"/>
      <c r="BB110" s="205"/>
      <c r="BC110" s="205"/>
      <c r="BD110" s="205"/>
      <c r="BE110" s="205"/>
      <c r="BF110" s="205"/>
      <c r="BG110" s="205"/>
      <c r="BH110" s="206"/>
    </row>
    <row r="111" spans="5:72" x14ac:dyDescent="0.25">
      <c r="E111" s="335"/>
      <c r="F111" s="4" t="str">
        <f>IF(G98&gt;=13, "Beam Spacing from Bm 12 to Bm 13 (ft) =", "NA")</f>
        <v>NA</v>
      </c>
      <c r="G111" s="70" t="str">
        <v/>
      </c>
      <c r="H111" t="str">
        <v>Beam Girder Spacing - Back Span</v>
      </c>
      <c r="M111" s="299"/>
      <c r="N111" s="299"/>
      <c r="O111" s="299"/>
      <c r="P111" s="299"/>
      <c r="Q111" s="299"/>
      <c r="R111" s="299"/>
      <c r="S111" s="299"/>
      <c r="T111" s="299"/>
      <c r="V111" t="str">
        <v>Hanger Strength Ratio =</v>
      </c>
      <c r="W111" s="156">
        <f>$G283</f>
        <v>-3.3883048422302728</v>
      </c>
      <c r="Y111" s="94">
        <f>_xlfn.LET(_xlpm.ratio,$Y$98/W111,IF(_xlpm.ratio&lt;0,0,_xlpm.ratio))</f>
        <v>0</v>
      </c>
      <c r="Z111" t="s">
        <v>915</v>
      </c>
      <c r="AB111" s="94">
        <f>$Y$98</f>
        <v>305.51034062632141</v>
      </c>
      <c r="AC111" t="s">
        <v>915</v>
      </c>
      <c r="AE111" s="94">
        <v>0.9</v>
      </c>
      <c r="AG111" s="94">
        <f t="shared" ref="AG111:AG112" si="7">MAX((AB111-Y111)/AE111,0)</f>
        <v>339.45593402924601</v>
      </c>
      <c r="AH111" t="s">
        <v>915</v>
      </c>
      <c r="AJ111" s="204"/>
      <c r="AK111" s="205"/>
      <c r="AL111" s="205"/>
      <c r="AM111" s="206"/>
      <c r="AO111" s="204"/>
      <c r="AP111" s="205"/>
      <c r="AQ111" s="205"/>
      <c r="AR111" s="206"/>
      <c r="AT111" s="256">
        <v>9</v>
      </c>
      <c r="AU111" s="220"/>
      <c r="AV111" s="221"/>
      <c r="AW111" s="205"/>
      <c r="AX111" s="205"/>
      <c r="AY111" s="205"/>
      <c r="AZ111" s="205"/>
      <c r="BA111" s="205"/>
      <c r="BB111" s="205"/>
      <c r="BC111" s="205"/>
      <c r="BD111" s="205"/>
      <c r="BE111" s="205"/>
      <c r="BF111" s="205"/>
      <c r="BG111" s="205"/>
      <c r="BH111" s="206"/>
    </row>
    <row r="112" spans="5:72" ht="15.75" thickBot="1" x14ac:dyDescent="0.3">
      <c r="E112" s="335"/>
      <c r="F112" s="4" t="str">
        <f>IF(G98&gt;=14, "Beam Spacing from Bm 13 to Bm 14 (ft) =", "NA")</f>
        <v>NA</v>
      </c>
      <c r="G112" s="70" t="str">
        <v/>
      </c>
      <c r="H112" t="str">
        <v>Beam Girder Spacing - Back Span</v>
      </c>
      <c r="M112" s="299"/>
      <c r="N112" s="299"/>
      <c r="O112" s="299"/>
      <c r="P112" s="299"/>
      <c r="Q112" s="299"/>
      <c r="R112" s="299"/>
      <c r="S112" s="299"/>
      <c r="T112" s="299"/>
      <c r="V112" t="str">
        <v>Hanger Service Ratio =</v>
      </c>
      <c r="W112" s="156">
        <f>$G284</f>
        <v>-3.0314430804503179</v>
      </c>
      <c r="Y112" s="94">
        <f>_xlfn.LET(_xlpm.ratio,G259/W112,IF(_xlpm.ratio&lt;0,0,_xlpm.ratio))</f>
        <v>0</v>
      </c>
      <c r="Z112" t="s">
        <v>915</v>
      </c>
      <c r="AB112" s="94">
        <f>G259</f>
        <v>202.46925630879079</v>
      </c>
      <c r="AC112" s="94" t="s">
        <v>915</v>
      </c>
      <c r="AD112" s="94"/>
      <c r="AE112" s="94">
        <v>1</v>
      </c>
      <c r="AF112" s="94"/>
      <c r="AG112" s="94">
        <f t="shared" si="7"/>
        <v>202.46925630879079</v>
      </c>
      <c r="AH112" t="s">
        <v>915</v>
      </c>
      <c r="AJ112" s="204"/>
      <c r="AK112" s="228" t="s">
        <v>1981</v>
      </c>
      <c r="AL112" s="205"/>
      <c r="AM112" s="206"/>
      <c r="AO112" s="204"/>
      <c r="AP112" s="228" t="s">
        <v>1990</v>
      </c>
      <c r="AQ112" s="205"/>
      <c r="AR112" s="206"/>
      <c r="AT112" s="256">
        <v>10</v>
      </c>
      <c r="AU112" s="222"/>
      <c r="AV112" s="224"/>
      <c r="AW112" s="205"/>
      <c r="AX112" s="205"/>
      <c r="AY112" s="205"/>
      <c r="AZ112" s="205"/>
      <c r="BA112" s="205"/>
      <c r="BB112" s="205"/>
      <c r="BC112" s="205"/>
      <c r="BD112" s="205"/>
      <c r="BE112" s="205"/>
      <c r="BF112" s="205"/>
      <c r="BG112" s="205"/>
      <c r="BH112" s="206"/>
    </row>
    <row r="113" spans="5:60" ht="15.75" thickBot="1" x14ac:dyDescent="0.3">
      <c r="E113" s="335"/>
      <c r="F113" s="4" t="str">
        <f>IF(G98&gt;=15, "Beam Spacing from Bm 14 to Bm 15 (ft) =", "NA")</f>
        <v>NA</v>
      </c>
      <c r="G113" s="70" t="str">
        <v/>
      </c>
      <c r="H113" t="str">
        <v>Beam Girder Spacing - Back Span</v>
      </c>
      <c r="M113" s="299"/>
      <c r="N113" s="299"/>
      <c r="O113" s="299"/>
      <c r="P113" s="299"/>
      <c r="Q113" s="299"/>
      <c r="R113" s="299"/>
      <c r="S113" s="299"/>
      <c r="T113" s="299"/>
      <c r="AJ113" s="204"/>
      <c r="AK113" s="225" t="s">
        <v>817</v>
      </c>
      <c r="AL113" s="227" t="s">
        <v>818</v>
      </c>
      <c r="AM113" s="206"/>
      <c r="AO113" s="204"/>
      <c r="AP113" s="225" t="s">
        <v>817</v>
      </c>
      <c r="AQ113" s="227" t="s">
        <v>818</v>
      </c>
      <c r="AR113" s="206"/>
      <c r="AT113" s="208"/>
      <c r="AU113" s="209"/>
      <c r="AV113" s="209"/>
      <c r="AW113" s="209"/>
      <c r="AX113" s="209"/>
      <c r="AY113" s="209"/>
      <c r="AZ113" s="209"/>
      <c r="BA113" s="209"/>
      <c r="BB113" s="209"/>
      <c r="BC113" s="209"/>
      <c r="BD113" s="209"/>
      <c r="BE113" s="209"/>
      <c r="BF113" s="209"/>
      <c r="BG113" s="209"/>
      <c r="BH113" s="210"/>
    </row>
    <row r="114" spans="5:60" ht="15.75" thickTop="1" x14ac:dyDescent="0.25">
      <c r="E114" s="335"/>
      <c r="F114" s="4" t="str">
        <f>IF(G98&gt;=16, "Beam Spacing from Bm 15 to Bm 16 (ft) =", "NA")</f>
        <v>NA</v>
      </c>
      <c r="G114" s="70" t="str">
        <v/>
      </c>
      <c r="H114" t="str">
        <v>Beam Girder Spacing - Back Span</v>
      </c>
      <c r="M114" s="299"/>
      <c r="N114" s="299"/>
      <c r="O114" s="299"/>
      <c r="P114" s="299"/>
      <c r="Q114" s="299"/>
      <c r="R114" s="299"/>
      <c r="S114" s="299"/>
      <c r="T114" s="299"/>
      <c r="AJ114" s="204"/>
      <c r="AK114" s="239">
        <v>0</v>
      </c>
      <c r="AL114" s="240">
        <f t="shared" ref="AL114:AL119" si="8">AL105+5/12</f>
        <v>1.0833333333333335</v>
      </c>
      <c r="AM114" s="206"/>
      <c r="AO114" s="204"/>
      <c r="AP114" s="239">
        <v>0</v>
      </c>
      <c r="AQ114" s="240">
        <f t="shared" ref="AQ114:AQ119" si="9">AQ105+5/12</f>
        <v>1.0833333333333335</v>
      </c>
      <c r="AR114" s="206"/>
    </row>
    <row r="115" spans="5:60" ht="15.75" thickBot="1" x14ac:dyDescent="0.3">
      <c r="E115" s="335"/>
      <c r="F115" s="4" t="str">
        <f>IF(G98&gt;=17, "Beam Spacing from Bm 16 to Bm 17 (ft) =", "NA")</f>
        <v>NA</v>
      </c>
      <c r="G115" s="70" t="str">
        <v/>
      </c>
      <c r="H115" t="str">
        <v>Beam Girder Spacing - Back Span</v>
      </c>
      <c r="M115" s="299"/>
      <c r="N115" s="299"/>
      <c r="O115" s="299"/>
      <c r="P115" s="299"/>
      <c r="Q115" s="299"/>
      <c r="R115" s="299"/>
      <c r="S115" s="299"/>
      <c r="T115" s="299"/>
      <c r="AJ115" s="204"/>
      <c r="AK115" s="234">
        <v>0</v>
      </c>
      <c r="AL115" s="235">
        <f t="shared" si="8"/>
        <v>1.4166666666666667</v>
      </c>
      <c r="AM115" s="206"/>
      <c r="AO115" s="204"/>
      <c r="AP115" s="234">
        <v>0</v>
      </c>
      <c r="AQ115" s="235">
        <f t="shared" si="9"/>
        <v>1.4166666666666667</v>
      </c>
      <c r="AR115" s="206"/>
    </row>
    <row r="116" spans="5:60" x14ac:dyDescent="0.25">
      <c r="E116" s="335"/>
      <c r="F116" s="4" t="str">
        <f>IF(G98&gt;=18, "Beam Spacing from Bm 17 to Bm 18 (ft) =", "NA")</f>
        <v>NA</v>
      </c>
      <c r="G116" s="70" t="str">
        <v/>
      </c>
      <c r="H116" t="str">
        <v>Beam Girder Spacing - Back Span</v>
      </c>
      <c r="M116" s="299"/>
      <c r="N116" s="299"/>
      <c r="O116" s="299"/>
      <c r="P116" s="299"/>
      <c r="Q116" s="299"/>
      <c r="R116" s="299"/>
      <c r="S116" s="299"/>
      <c r="T116" s="299"/>
      <c r="V116" s="137" t="str">
        <f>IF(MAX(AG105:AG112) = 0, "", "Additional ΦVn needed =")</f>
        <v>Additional ΦVn needed =</v>
      </c>
      <c r="W116" s="161">
        <f>IF(V116="", "", MAX(AG105:AG112))</f>
        <v>339.45593402924601</v>
      </c>
      <c r="X116" s="137" t="str">
        <f>IF(V116="", "", "kips")</f>
        <v>kips</v>
      </c>
      <c r="Y116" s="172" t="str" cm="1">
        <f t="array" ref="Y116">IF(W116="", "", SUBSTITUTE(_xlfn.XLOOKUP(W116,AG105:AG112,_xlfn.ANCHORARRAY(V105))," Ratio =", " Controls"))</f>
        <v>Hanger Strength Controls</v>
      </c>
      <c r="AJ116" s="204"/>
      <c r="AK116" s="234">
        <v>0</v>
      </c>
      <c r="AL116" s="235">
        <f t="shared" si="8"/>
        <v>1.25</v>
      </c>
      <c r="AM116" s="206"/>
      <c r="AO116" s="204"/>
      <c r="AP116" s="234">
        <v>0</v>
      </c>
      <c r="AQ116" s="235">
        <f t="shared" si="9"/>
        <v>1.25</v>
      </c>
      <c r="AR116" s="206"/>
      <c r="AT116" s="201"/>
      <c r="AU116" s="202"/>
      <c r="AV116" s="202"/>
      <c r="AW116" s="203"/>
    </row>
    <row r="117" spans="5:60" ht="15.75" thickBot="1" x14ac:dyDescent="0.3">
      <c r="E117" s="335"/>
      <c r="F117" s="4" t="str">
        <f>IF(G98&gt;=19, "Beam Spacing from Bm 18 to Bm 19 (ft) =", "NA")</f>
        <v>NA</v>
      </c>
      <c r="G117" s="70" t="str">
        <v/>
      </c>
      <c r="H117" t="str">
        <v>Beam Girder Spacing - Back Span</v>
      </c>
      <c r="M117" s="299"/>
      <c r="N117" s="299"/>
      <c r="O117" s="299"/>
      <c r="P117" s="299"/>
      <c r="Q117" s="299"/>
      <c r="R117" s="299"/>
      <c r="S117" s="299"/>
      <c r="T117" s="299"/>
      <c r="AJ117" s="204"/>
      <c r="AK117" s="236">
        <f>OSOHBack-_xlfn.XLOOKUP(bkspangirder,Table13[Girder Type],Table13[Width (ft)])/2</f>
        <v>2</v>
      </c>
      <c r="AL117" s="235">
        <f t="shared" si="8"/>
        <v>1.25</v>
      </c>
      <c r="AM117" s="206"/>
      <c r="AO117" s="204"/>
      <c r="AP117" s="236">
        <f>OSOH-_xlfn.XLOOKUP(fdspangirder,Table13[Girder Type],Table13[Width (ft)])/2</f>
        <v>2</v>
      </c>
      <c r="AQ117" s="235">
        <f t="shared" si="9"/>
        <v>1.25</v>
      </c>
      <c r="AR117" s="206"/>
      <c r="AT117" s="204"/>
      <c r="AU117" s="228" t="str">
        <f>CapType &amp; " Cap Points"</f>
        <v>Inverted-Tee Cap Points</v>
      </c>
      <c r="AV117" s="205"/>
      <c r="AW117" s="206"/>
    </row>
    <row r="118" spans="5:60" ht="15.75" thickBot="1" x14ac:dyDescent="0.3">
      <c r="E118" s="336"/>
      <c r="F118" s="5" t="str">
        <f>IF(G98&gt;=20, "Beam Spacing from Bm 19 to Bm 20 (ft) =", "NA")</f>
        <v>NA</v>
      </c>
      <c r="G118" s="70" t="str">
        <v/>
      </c>
      <c r="H118" t="str">
        <v>Beam Girder Spacing - Back Span</v>
      </c>
      <c r="M118" s="299"/>
      <c r="N118" s="299"/>
      <c r="O118" s="299"/>
      <c r="P118" s="299"/>
      <c r="Q118" s="299"/>
      <c r="R118" s="299"/>
      <c r="S118" s="299"/>
      <c r="T118" s="299"/>
      <c r="AJ118" s="204"/>
      <c r="AK118" s="236">
        <f>$AK$117</f>
        <v>2</v>
      </c>
      <c r="AL118" s="235">
        <f t="shared" si="8"/>
        <v>1.4166666666666667</v>
      </c>
      <c r="AM118" s="206"/>
      <c r="AO118" s="204"/>
      <c r="AP118" s="236">
        <f>$AP$117</f>
        <v>2</v>
      </c>
      <c r="AQ118" s="235">
        <f t="shared" si="9"/>
        <v>1.4166666666666667</v>
      </c>
      <c r="AR118" s="206"/>
      <c r="AT118" s="204"/>
      <c r="AU118" s="225" t="s">
        <v>817</v>
      </c>
      <c r="AV118" s="227" t="s">
        <v>818</v>
      </c>
      <c r="AW118" s="206"/>
    </row>
    <row r="119" spans="5:60" ht="15.75" thickBot="1" x14ac:dyDescent="0.3">
      <c r="E119" s="334" t="s">
        <v>179</v>
      </c>
      <c r="F119" s="3" t="s">
        <v>181</v>
      </c>
      <c r="G119" s="92">
        <v>6</v>
      </c>
      <c r="H119" t="str" cm="1">
        <f t="array" ref="H119:H139">D119:D139&amp;E119</f>
        <v>Beam Girder Spacing - Fwd Span</v>
      </c>
      <c r="M119" s="299"/>
      <c r="N119" s="299"/>
      <c r="O119" s="299"/>
      <c r="P119" s="299"/>
      <c r="Q119" s="299"/>
      <c r="R119" s="299"/>
      <c r="S119" s="299"/>
      <c r="T119" s="299"/>
      <c r="AJ119" s="204"/>
      <c r="AK119" s="237">
        <f>$AK$117</f>
        <v>2</v>
      </c>
      <c r="AL119" s="238">
        <f t="shared" si="8"/>
        <v>1.0833333333333335</v>
      </c>
      <c r="AM119" s="206"/>
      <c r="AO119" s="204"/>
      <c r="AP119" s="237">
        <f>$AP$117</f>
        <v>2</v>
      </c>
      <c r="AQ119" s="238">
        <f t="shared" si="9"/>
        <v>1.0833333333333335</v>
      </c>
      <c r="AR119" s="206"/>
      <c r="AT119" s="204"/>
      <c r="AU119" s="220">
        <f>OSOHBack-BkBm1toCapEnd</f>
        <v>1.4531250000000002</v>
      </c>
      <c r="AV119" s="221">
        <f>IF(CapType="Inverted-Tee", 0, -_xlfn.XLOOKUP(bkspangirder,Table13[Girder Type],Table13[Depth (ft)])-(bkspanhaunch+bkbrgpad+PedestalHt)/12)</f>
        <v>0</v>
      </c>
      <c r="AW119" s="206"/>
    </row>
    <row r="120" spans="5:60" x14ac:dyDescent="0.25">
      <c r="E120" s="335"/>
      <c r="F120" s="4" t="s">
        <v>177</v>
      </c>
      <c r="G120" s="70">
        <v>2.8333333333333335</v>
      </c>
      <c r="H120" t="str">
        <v>Beam Girder Spacing - Fwd Span</v>
      </c>
      <c r="M120" s="299"/>
      <c r="N120" s="299"/>
      <c r="O120" s="299"/>
      <c r="P120" s="299"/>
      <c r="Q120" s="299"/>
      <c r="R120" s="299"/>
      <c r="S120" s="299"/>
      <c r="T120" s="299"/>
      <c r="AJ120" s="204"/>
      <c r="AK120" s="205"/>
      <c r="AL120" s="205"/>
      <c r="AM120" s="206"/>
      <c r="AO120" s="204"/>
      <c r="AP120" s="205"/>
      <c r="AQ120" s="205"/>
      <c r="AR120" s="206"/>
      <c r="AT120" s="204"/>
      <c r="AU120" s="220">
        <f>AU119</f>
        <v>1.4531250000000002</v>
      </c>
      <c r="AV120" s="221">
        <f>AV119-capheight/12</f>
        <v>-6.416666666666667</v>
      </c>
      <c r="AW120" s="206"/>
    </row>
    <row r="121" spans="5:60" ht="15.75" thickBot="1" x14ac:dyDescent="0.3">
      <c r="E121" s="335"/>
      <c r="F121" s="4" t="s">
        <v>178</v>
      </c>
      <c r="G121" s="75">
        <v>8.5</v>
      </c>
      <c r="H121" t="str">
        <v>Beam Girder Spacing - Fwd Span</v>
      </c>
      <c r="M121" s="299"/>
      <c r="N121" s="299"/>
      <c r="O121" s="299"/>
      <c r="P121" s="299"/>
      <c r="Q121" s="299"/>
      <c r="R121" s="299"/>
      <c r="S121" s="299"/>
      <c r="T121" s="299"/>
      <c r="W121" s="94"/>
      <c r="AJ121" s="204"/>
      <c r="AK121" s="228" t="s">
        <v>1982</v>
      </c>
      <c r="AL121" s="205"/>
      <c r="AM121" s="206"/>
      <c r="AO121" s="204"/>
      <c r="AP121" s="228" t="s">
        <v>1991</v>
      </c>
      <c r="AQ121" s="205"/>
      <c r="AR121" s="206"/>
      <c r="AT121" s="204"/>
      <c r="AU121" s="220">
        <f>AU119+caplength</f>
        <v>41.786458333333336</v>
      </c>
      <c r="AV121" s="221">
        <f>AV120</f>
        <v>-6.416666666666667</v>
      </c>
      <c r="AW121" s="206"/>
    </row>
    <row r="122" spans="5:60" ht="15.75" thickBot="1" x14ac:dyDescent="0.3">
      <c r="E122" s="335"/>
      <c r="F122" s="4" t="str">
        <f>IF(G119&gt;=3, "Beam Spacing from Bm 2 to Bm 3 (ft) =", "NA")</f>
        <v>Beam Spacing from Bm 2 to Bm 3 (ft) =</v>
      </c>
      <c r="G122" s="75">
        <v>8.5</v>
      </c>
      <c r="H122" t="str">
        <v>Beam Girder Spacing - Fwd Span</v>
      </c>
      <c r="M122" s="299"/>
      <c r="N122" s="299"/>
      <c r="O122" s="299"/>
      <c r="P122" s="299"/>
      <c r="Q122" s="299"/>
      <c r="R122" s="299"/>
      <c r="S122" s="299"/>
      <c r="T122" s="299"/>
      <c r="W122" s="94"/>
      <c r="AJ122" s="204"/>
      <c r="AK122" s="225" t="s">
        <v>817</v>
      </c>
      <c r="AL122" s="227" t="s">
        <v>818</v>
      </c>
      <c r="AM122" s="206"/>
      <c r="AO122" s="204"/>
      <c r="AP122" s="225" t="s">
        <v>817</v>
      </c>
      <c r="AQ122" s="227" t="s">
        <v>818</v>
      </c>
      <c r="AR122" s="206"/>
      <c r="AT122" s="204"/>
      <c r="AU122" s="220">
        <f>AU119+caplength</f>
        <v>41.786458333333336</v>
      </c>
      <c r="AV122" s="221">
        <f>AV119</f>
        <v>0</v>
      </c>
      <c r="AW122" s="206"/>
    </row>
    <row r="123" spans="5:60" ht="15.75" thickTop="1" x14ac:dyDescent="0.25">
      <c r="E123" s="335"/>
      <c r="F123" s="4" t="str">
        <f>IF(G119&gt;=4, "Beam Spacing from Bm 3 to Bm 4 (ft) =", "NA")</f>
        <v>Beam Spacing from Bm 3 to Bm 4 (ft) =</v>
      </c>
      <c r="G123" s="75">
        <v>8.5</v>
      </c>
      <c r="H123" t="str">
        <v>Beam Girder Spacing - Fwd Span</v>
      </c>
      <c r="M123" s="299"/>
      <c r="N123" s="299"/>
      <c r="O123" s="299"/>
      <c r="P123" s="299"/>
      <c r="Q123" s="299"/>
      <c r="R123" s="299"/>
      <c r="S123" s="299"/>
      <c r="T123" s="299"/>
      <c r="V123" s="137"/>
      <c r="W123" s="137"/>
      <c r="X123" s="137"/>
      <c r="AJ123" s="204"/>
      <c r="AK123" s="239">
        <f>DeckWidth</f>
        <v>43.182291666666664</v>
      </c>
      <c r="AL123" s="240">
        <f t="shared" ref="AL123:AL128" si="10">AL105+5/12</f>
        <v>1.0833333333333335</v>
      </c>
      <c r="AM123" s="206"/>
      <c r="AO123" s="204"/>
      <c r="AP123" s="239">
        <f>DeckWidth</f>
        <v>43.182291666666664</v>
      </c>
      <c r="AQ123" s="240">
        <f t="shared" ref="AQ123:AQ128" si="11">AQ105+5/12</f>
        <v>1.0833333333333335</v>
      </c>
      <c r="AR123" s="206"/>
      <c r="AT123" s="204"/>
      <c r="AU123" s="220">
        <f>AU119</f>
        <v>1.4531250000000002</v>
      </c>
      <c r="AV123" s="221">
        <f>AV119</f>
        <v>0</v>
      </c>
      <c r="AW123" s="206"/>
    </row>
    <row r="124" spans="5:60" x14ac:dyDescent="0.25">
      <c r="E124" s="335"/>
      <c r="F124" s="4" t="str">
        <f>IF(G119&gt;=5, "Beam Spacing from Bm 4 to Bm 5 (ft) =", "NA")</f>
        <v>Beam Spacing from Bm 4 to Bm 5 (ft) =</v>
      </c>
      <c r="G124" s="75">
        <v>8.5</v>
      </c>
      <c r="H124" t="str">
        <v>Beam Girder Spacing - Fwd Span</v>
      </c>
      <c r="AJ124" s="204"/>
      <c r="AK124" s="234">
        <f>DeckWidth</f>
        <v>43.182291666666664</v>
      </c>
      <c r="AL124" s="235">
        <f t="shared" si="10"/>
        <v>1.4166666666666667</v>
      </c>
      <c r="AM124" s="206"/>
      <c r="AO124" s="204"/>
      <c r="AP124" s="234">
        <f>DeckWidth</f>
        <v>43.182291666666664</v>
      </c>
      <c r="AQ124" s="235">
        <f t="shared" si="11"/>
        <v>1.4166666666666667</v>
      </c>
      <c r="AR124" s="206"/>
      <c r="AT124" s="204"/>
      <c r="AU124" s="197">
        <f>AU119</f>
        <v>1.4531250000000002</v>
      </c>
      <c r="AV124" s="198">
        <f>IF(CapType="Inverted-Tee",AV120+CapLedgeDepth/12,IF(CapType="Tee",AV119-CapLedgeDepth/12,AV119))</f>
        <v>-4.75</v>
      </c>
      <c r="AW124" s="206"/>
    </row>
    <row r="125" spans="5:60" x14ac:dyDescent="0.25">
      <c r="E125" s="335"/>
      <c r="F125" s="4" t="str">
        <f>IF(G119&gt;=6, "Beam Spacing from Bm 5 to Bm 6 (ft) =", "NA")</f>
        <v>Beam Spacing from Bm 5 to Bm 6 (ft) =</v>
      </c>
      <c r="G125" s="75">
        <v>3.5139999999999998</v>
      </c>
      <c r="H125" t="str">
        <v>Beam Girder Spacing - Fwd Span</v>
      </c>
      <c r="AJ125" s="204"/>
      <c r="AK125" s="234">
        <f>DeckWidth</f>
        <v>43.182291666666664</v>
      </c>
      <c r="AL125" s="235">
        <f t="shared" si="10"/>
        <v>1.25</v>
      </c>
      <c r="AM125" s="206"/>
      <c r="AO125" s="204"/>
      <c r="AP125" s="234">
        <f>DeckWidth</f>
        <v>43.182291666666664</v>
      </c>
      <c r="AQ125" s="235">
        <f t="shared" si="11"/>
        <v>1.25</v>
      </c>
      <c r="AR125" s="206"/>
      <c r="AT125" s="204"/>
      <c r="AU125" s="197">
        <f>AU119+caplength</f>
        <v>41.786458333333336</v>
      </c>
      <c r="AV125" s="198">
        <f>AV124</f>
        <v>-4.75</v>
      </c>
      <c r="AW125" s="206"/>
    </row>
    <row r="126" spans="5:60" x14ac:dyDescent="0.25">
      <c r="E126" s="335"/>
      <c r="F126" s="4" t="str">
        <f>IF(G119&gt;=7, "Beam Spacing from Bm 6 to Bm 7 (ft) =", "NA")</f>
        <v>NA</v>
      </c>
      <c r="G126" s="70" t="str">
        <v/>
      </c>
      <c r="H126" t="str">
        <v>Beam Girder Spacing - Fwd Span</v>
      </c>
      <c r="M126" s="299"/>
      <c r="N126" s="299"/>
      <c r="O126" s="299"/>
      <c r="P126" s="299"/>
      <c r="Q126" s="299"/>
      <c r="R126" s="299"/>
      <c r="S126" s="299"/>
      <c r="T126" s="299"/>
      <c r="AJ126" s="204"/>
      <c r="AK126" s="236">
        <f>DeckWidth-OSOHBackRT+_xlfn.XLOOKUP(bkspangirder,Table13[Girder Type],Table13[Width (ft)])/2</f>
        <v>41.182291666666664</v>
      </c>
      <c r="AL126" s="235">
        <f t="shared" si="10"/>
        <v>1.25</v>
      </c>
      <c r="AM126" s="206"/>
      <c r="AO126" s="204"/>
      <c r="AP126" s="236">
        <f>DeckWidth-OSOHRT+_xlfn.XLOOKUP(fdspangirder,Table13[Girder Type],Table13[Width (ft)])/2</f>
        <v>41.182291666666664</v>
      </c>
      <c r="AQ126" s="235">
        <f t="shared" si="11"/>
        <v>1.25</v>
      </c>
      <c r="AR126" s="206"/>
      <c r="AT126" s="204"/>
      <c r="AU126" s="197">
        <f>AU119+caplength</f>
        <v>41.786458333333336</v>
      </c>
      <c r="AV126" s="198">
        <f>AV119</f>
        <v>0</v>
      </c>
      <c r="AW126" s="206"/>
    </row>
    <row r="127" spans="5:60" ht="15.75" thickBot="1" x14ac:dyDescent="0.3">
      <c r="E127" s="335"/>
      <c r="F127" s="4" t="str">
        <f>IF(G119&gt;=8, "Beam Spacing from Bm 7 to Bm 8 (ft) =", "NA")</f>
        <v>NA</v>
      </c>
      <c r="G127" s="75" t="str">
        <v/>
      </c>
      <c r="H127" t="str">
        <v>Beam Girder Spacing - Fwd Span</v>
      </c>
      <c r="M127" s="299"/>
      <c r="N127" s="299"/>
      <c r="O127" s="299"/>
      <c r="P127" s="299"/>
      <c r="Q127" s="299"/>
      <c r="R127" s="299"/>
      <c r="S127" s="299"/>
      <c r="T127" s="299"/>
      <c r="V127" s="18" t="s">
        <v>924</v>
      </c>
      <c r="W127" s="18"/>
      <c r="AJ127" s="204"/>
      <c r="AK127" s="236">
        <f>$AK$126</f>
        <v>41.182291666666664</v>
      </c>
      <c r="AL127" s="235">
        <f t="shared" si="10"/>
        <v>1.4166666666666667</v>
      </c>
      <c r="AM127" s="206"/>
      <c r="AO127" s="204"/>
      <c r="AP127" s="236">
        <f>$AP$126</f>
        <v>41.182291666666664</v>
      </c>
      <c r="AQ127" s="235">
        <f t="shared" si="11"/>
        <v>1.4166666666666667</v>
      </c>
      <c r="AR127" s="206"/>
      <c r="AT127" s="204"/>
      <c r="AU127" s="199">
        <f>AU119</f>
        <v>1.4531250000000002</v>
      </c>
      <c r="AV127" s="200">
        <f>AV119</f>
        <v>0</v>
      </c>
      <c r="AW127" s="206"/>
    </row>
    <row r="128" spans="5:60" ht="16.5" thickTop="1" thickBot="1" x14ac:dyDescent="0.3">
      <c r="E128" s="335"/>
      <c r="F128" s="4" t="str">
        <f>IF(G119&gt;=9, "Beam Spacing from Bm 8 to Bm 9 (ft) =", "NA")</f>
        <v>NA</v>
      </c>
      <c r="G128" s="70" t="str">
        <v/>
      </c>
      <c r="H128" t="str">
        <v>Beam Girder Spacing - Fwd Span</v>
      </c>
      <c r="M128" s="299"/>
      <c r="N128" s="299"/>
      <c r="O128" s="299" t="str">
        <f>ProjectSubject &amp; " - Whole Section Capacity Ratios"</f>
        <v>Bent 75R - Whole Section Capacity Ratios</v>
      </c>
      <c r="P128" s="299"/>
      <c r="Q128" s="299"/>
      <c r="R128" s="299"/>
      <c r="S128" s="299"/>
      <c r="T128" s="299"/>
      <c r="V128" t="str" cm="1">
        <f t="array" ref="V128:V138">_xlfn.VSTACK(F285:F287,F289:F291,F293,F296:F297,F299:F300)</f>
        <v>Punching Shear Pyramid Check 1 =</v>
      </c>
      <c r="W128" s="173" t="str">
        <f>$G285</f>
        <v>NG, 0.5bw + av &lt; 0.5L + df, pyramid failure surfaces overlap in longitudinal direction</v>
      </c>
      <c r="Y128" s="94"/>
      <c r="AJ128" s="204"/>
      <c r="AK128" s="237">
        <f>$AK$126</f>
        <v>41.182291666666664</v>
      </c>
      <c r="AL128" s="238">
        <f t="shared" si="10"/>
        <v>1.0833333333333335</v>
      </c>
      <c r="AM128" s="206"/>
      <c r="AO128" s="204"/>
      <c r="AP128" s="237">
        <f>$AP$126</f>
        <v>41.182291666666664</v>
      </c>
      <c r="AQ128" s="238">
        <f t="shared" si="11"/>
        <v>1.0833333333333335</v>
      </c>
      <c r="AR128" s="206"/>
      <c r="AT128" s="208"/>
      <c r="AU128" s="209"/>
      <c r="AV128" s="209"/>
      <c r="AW128" s="210"/>
    </row>
    <row r="129" spans="5:61" x14ac:dyDescent="0.25">
      <c r="E129" s="335"/>
      <c r="F129" s="4" t="str">
        <f>IF(G119&gt;=10, "Beam Spacing from Bm 9 to Bm 10 (ft) =", "NA")</f>
        <v>NA</v>
      </c>
      <c r="G129" s="70" t="str">
        <v/>
      </c>
      <c r="H129" t="str">
        <v>Beam Girder Spacing - Fwd Span</v>
      </c>
      <c r="M129" s="299"/>
      <c r="N129" s="299"/>
      <c r="O129" s="299"/>
      <c r="P129" s="299"/>
      <c r="Q129" s="299"/>
      <c r="R129" s="299"/>
      <c r="S129" s="299"/>
      <c r="T129" s="299"/>
      <c r="V129" t="str">
        <v>Punching Shear Pyramid Check 2 =</v>
      </c>
      <c r="W129" s="173" t="str">
        <f>$G286</f>
        <v>NG, S &lt; 2df + W, pyramid failure surfaces overlap in transverse direction,</v>
      </c>
      <c r="Y129" s="94"/>
      <c r="AJ129" s="204"/>
      <c r="AK129" s="205"/>
      <c r="AL129" s="205"/>
      <c r="AM129" s="206"/>
      <c r="AO129" s="204"/>
      <c r="AP129" s="205"/>
      <c r="AQ129" s="205"/>
      <c r="AR129" s="206"/>
    </row>
    <row r="130" spans="5:61" ht="15.75" thickBot="1" x14ac:dyDescent="0.3">
      <c r="E130" s="335"/>
      <c r="F130" s="4" t="str">
        <f>IF(G119&gt;=11, "Beam Spacing from Bm 10 to Bm 11 (ft) =", "NA")</f>
        <v>NA</v>
      </c>
      <c r="G130" s="70" t="str">
        <v/>
      </c>
      <c r="H130" t="str">
        <v>Beam Girder Spacing - Fwd Span</v>
      </c>
      <c r="M130" s="299"/>
      <c r="N130" s="299"/>
      <c r="O130" s="299"/>
      <c r="P130" s="299"/>
      <c r="Q130" s="299"/>
      <c r="R130" s="299"/>
      <c r="S130" s="299"/>
      <c r="T130" s="299"/>
      <c r="V130" t="str">
        <v>Web Shear Theta Check =</v>
      </c>
      <c r="W130" s="173" t="str">
        <f>$G287</f>
        <v>OK</v>
      </c>
      <c r="Y130" s="94"/>
      <c r="AJ130" s="204"/>
      <c r="AK130" s="228" t="s">
        <v>1983</v>
      </c>
      <c r="AL130" s="205"/>
      <c r="AM130" s="206"/>
      <c r="AO130" s="204"/>
      <c r="AP130" s="228" t="s">
        <v>1992</v>
      </c>
      <c r="AQ130" s="205"/>
      <c r="AR130" s="206"/>
    </row>
    <row r="131" spans="5:61" ht="15.75" customHeight="1" thickBot="1" x14ac:dyDescent="0.3">
      <c r="E131" s="335"/>
      <c r="F131" s="4" t="str">
        <f>IF(G119&gt;=12, "Beam Spacing from Bm 11 to Bm 12 (ft) =", "NA")</f>
        <v>NA</v>
      </c>
      <c r="G131" s="70" t="str">
        <v/>
      </c>
      <c r="H131" t="str">
        <v>Beam Girder Spacing - Fwd Span</v>
      </c>
      <c r="M131" s="299"/>
      <c r="N131" s="299"/>
      <c r="O131" s="299"/>
      <c r="P131" s="299"/>
      <c r="Q131" s="299"/>
      <c r="R131" s="299"/>
      <c r="S131" s="299"/>
      <c r="T131" s="299"/>
      <c r="V131" t="str">
        <v>Web Shear Max Spacing Check =</v>
      </c>
      <c r="W131" s="173" t="str">
        <f>$G289</f>
        <v>Max Spacing OK</v>
      </c>
      <c r="Y131" s="94"/>
      <c r="AJ131" s="204"/>
      <c r="AK131" s="225" t="s">
        <v>817</v>
      </c>
      <c r="AL131" s="227" t="s">
        <v>818</v>
      </c>
      <c r="AM131" s="206"/>
      <c r="AO131" s="204"/>
      <c r="AP131" s="225" t="s">
        <v>817</v>
      </c>
      <c r="AQ131" s="227" t="s">
        <v>818</v>
      </c>
      <c r="AR131" s="206"/>
    </row>
    <row r="132" spans="5:61" ht="15" customHeight="1" thickTop="1" x14ac:dyDescent="0.25">
      <c r="E132" s="335"/>
      <c r="F132" s="4" t="str">
        <f>IF(G119&gt;=13, "Beam Spacing from Bm 12 to Bm 13 (ft) =", "NA")</f>
        <v>NA</v>
      </c>
      <c r="G132" s="70" t="str">
        <v/>
      </c>
      <c r="H132" t="str">
        <v>Beam Girder Spacing - Fwd Span</v>
      </c>
      <c r="M132" s="299"/>
      <c r="N132" s="299"/>
      <c r="O132" s="299"/>
      <c r="P132" s="299"/>
      <c r="Q132" s="299"/>
      <c r="R132" s="299"/>
      <c r="S132" s="299"/>
      <c r="T132" s="299"/>
      <c r="V132" t="str">
        <v>Web Shear Min Av Check =</v>
      </c>
      <c r="W132" s="173" t="str">
        <f>$G290</f>
        <v>Minimum Steel OK</v>
      </c>
      <c r="Y132" s="94"/>
      <c r="AJ132" s="204"/>
      <c r="AK132" s="239">
        <f>DeckWidth-OSOHBackRT-_xlfn.XLOOKUP(bkspangirder,Table13[Girder Type],Table13[Width (ft)])/2</f>
        <v>39.515624999999993</v>
      </c>
      <c r="AL132" s="240">
        <f>slabthickness/12+1/12</f>
        <v>0.66666666666666674</v>
      </c>
      <c r="AM132" s="206"/>
      <c r="AO132" s="204"/>
      <c r="AP132" s="239">
        <f>DeckWidth-OSOHRT-_xlfn.XLOOKUP(fdspangirder,Table13[Girder Type],Table13[Width (ft)])/2</f>
        <v>39.515624999999993</v>
      </c>
      <c r="AQ132" s="240">
        <f>slabthickness/12+1/12</f>
        <v>0.66666666666666674</v>
      </c>
      <c r="AR132" s="206"/>
    </row>
    <row r="133" spans="5:61" x14ac:dyDescent="0.25">
      <c r="E133" s="335"/>
      <c r="F133" s="4" t="str">
        <f>IF(G119&gt;=14, "Beam Spacing from Bm 13 to Bm 14 (ft) =", "NA")</f>
        <v>NA</v>
      </c>
      <c r="G133" s="70" t="str">
        <v/>
      </c>
      <c r="H133" t="str">
        <v>Beam Girder Spacing - Fwd Span</v>
      </c>
      <c r="M133" s="299"/>
      <c r="N133" s="299"/>
      <c r="O133" s="299"/>
      <c r="P133" s="299"/>
      <c r="Q133" s="299"/>
      <c r="R133" s="299"/>
      <c r="S133" s="299"/>
      <c r="T133" s="299"/>
      <c r="V133" t="str">
        <v>Shear w Torsion Theta Check =</v>
      </c>
      <c r="W133" s="173" t="str">
        <f>$G291</f>
        <v>OK</v>
      </c>
      <c r="Y133" s="94"/>
      <c r="AJ133" s="204"/>
      <c r="AK133" s="234">
        <f>$AK$132</f>
        <v>39.515624999999993</v>
      </c>
      <c r="AL133" s="235">
        <f>AL132+4/12</f>
        <v>1</v>
      </c>
      <c r="AM133" s="206"/>
      <c r="AO133" s="204"/>
      <c r="AP133" s="234">
        <f>$AP$132</f>
        <v>39.515624999999993</v>
      </c>
      <c r="AQ133" s="235">
        <f>AQ132+4/12</f>
        <v>1</v>
      </c>
      <c r="AR133" s="206"/>
    </row>
    <row r="134" spans="5:61" x14ac:dyDescent="0.25">
      <c r="E134" s="335"/>
      <c r="F134" s="4" t="str">
        <f>IF(G119&gt;=15, "Beam Spacing from Bm 14 to Bm 15 (ft) =", "NA")</f>
        <v>NA</v>
      </c>
      <c r="G134" s="70" t="str">
        <v/>
      </c>
      <c r="H134" t="str">
        <v>Beam Girder Spacing - Fwd Span</v>
      </c>
      <c r="M134" s="299"/>
      <c r="N134" s="299"/>
      <c r="O134" s="299"/>
      <c r="P134" s="299"/>
      <c r="Q134" s="299"/>
      <c r="R134" s="299"/>
      <c r="S134" s="299"/>
      <c r="T134" s="299"/>
      <c r="V134" t="str">
        <v>Torsion w Shear Theta Check =</v>
      </c>
      <c r="W134" s="173" t="str">
        <f>$G293</f>
        <v>OK</v>
      </c>
      <c r="Y134" s="94"/>
      <c r="AJ134" s="204"/>
      <c r="AK134" s="234">
        <f>$AK$132</f>
        <v>39.515624999999993</v>
      </c>
      <c r="AL134" s="235">
        <f>AL133-2/12</f>
        <v>0.83333333333333337</v>
      </c>
      <c r="AM134" s="206"/>
      <c r="AO134" s="204"/>
      <c r="AP134" s="234">
        <f>$AP$132</f>
        <v>39.515624999999993</v>
      </c>
      <c r="AQ134" s="235">
        <f>AQ133-2/12</f>
        <v>0.83333333333333337</v>
      </c>
      <c r="AR134" s="206"/>
    </row>
    <row r="135" spans="5:61" x14ac:dyDescent="0.25">
      <c r="E135" s="335"/>
      <c r="F135" s="4" t="str">
        <f>IF(G119&gt;=16, "Beam Spacing from Bm 15 to Bm 16 (ft) =", "NA")</f>
        <v>NA</v>
      </c>
      <c r="G135" s="70" t="str">
        <v/>
      </c>
      <c r="H135" t="str">
        <v>Beam Girder Spacing - Fwd Span</v>
      </c>
      <c r="M135" s="299"/>
      <c r="N135" s="299"/>
      <c r="O135" s="299"/>
      <c r="P135" s="299"/>
      <c r="Q135" s="299"/>
      <c r="R135" s="299"/>
      <c r="S135" s="299"/>
      <c r="T135" s="299"/>
      <c r="V135" t="str">
        <v>Moment rectangular behavior check =</v>
      </c>
      <c r="W135" s="173" t="str">
        <f>$G296</f>
        <v>c &lt; ledge depth - OK</v>
      </c>
      <c r="Y135" s="94"/>
      <c r="AJ135" s="204"/>
      <c r="AK135" s="236">
        <f>$AK$132-BW41</f>
        <v>34.425291666666659</v>
      </c>
      <c r="AL135" s="235">
        <f>AL133-2/12</f>
        <v>0.83333333333333337</v>
      </c>
      <c r="AM135" s="206"/>
      <c r="AO135" s="204"/>
      <c r="AP135" s="236">
        <f>$AP$132-BW66</f>
        <v>37.668291666666661</v>
      </c>
      <c r="AQ135" s="235">
        <f>AQ133-2/12</f>
        <v>0.83333333333333337</v>
      </c>
      <c r="AR135" s="206"/>
    </row>
    <row r="136" spans="5:61" x14ac:dyDescent="0.25">
      <c r="E136" s="335"/>
      <c r="F136" s="4" t="str">
        <f>IF(G119&gt;=17, "Beam Spacing from Bm 16 to Bm 17 (ft) =", "NA")</f>
        <v>NA</v>
      </c>
      <c r="G136" s="70" t="str">
        <v/>
      </c>
      <c r="H136" t="str">
        <v>Beam Girder Spacing - Fwd Span</v>
      </c>
      <c r="M136" s="299"/>
      <c r="N136" s="299"/>
      <c r="O136" s="299"/>
      <c r="P136" s="299"/>
      <c r="Q136" s="299"/>
      <c r="R136" s="299"/>
      <c r="S136" s="299"/>
      <c r="T136" s="299"/>
      <c r="V136" t="str">
        <v>Steel yielded? =</v>
      </c>
      <c r="W136" s="174" t="str">
        <f>$G297</f>
        <v>Yes-Steel has yielded at Mn</v>
      </c>
      <c r="Y136" s="94"/>
      <c r="AJ136" s="204"/>
      <c r="AK136" s="236">
        <f>$AK$135</f>
        <v>34.425291666666659</v>
      </c>
      <c r="AL136" s="235">
        <f>AL132+4/12</f>
        <v>1</v>
      </c>
      <c r="AM136" s="206"/>
      <c r="AO136" s="204"/>
      <c r="AP136" s="236">
        <f>$AP$135</f>
        <v>37.668291666666661</v>
      </c>
      <c r="AQ136" s="235">
        <f>AQ132+4/12</f>
        <v>1</v>
      </c>
      <c r="AR136" s="206"/>
    </row>
    <row r="137" spans="5:61" ht="15.75" thickBot="1" x14ac:dyDescent="0.3">
      <c r="E137" s="335"/>
      <c r="F137" s="4" t="str">
        <f>IF(G119&gt;=18, "Beam Spacing from Bm 17 to Bm 18 (ft) =", "NA")</f>
        <v>NA</v>
      </c>
      <c r="G137" s="70" t="str">
        <v/>
      </c>
      <c r="H137" t="str">
        <v>Beam Girder Spacing - Fwd Span</v>
      </c>
      <c r="M137" s="299"/>
      <c r="N137" s="299"/>
      <c r="O137" s="299"/>
      <c r="P137" s="299"/>
      <c r="Q137" s="299"/>
      <c r="R137" s="299"/>
      <c r="S137" s="299"/>
      <c r="T137" s="299"/>
      <c r="V137" t="str">
        <v>Moment min reinforcement Check =</v>
      </c>
      <c r="W137" s="173" t="str">
        <f>$G299</f>
        <v>As &gt; Asmin - OK</v>
      </c>
      <c r="Y137" s="94"/>
      <c r="AJ137" s="204"/>
      <c r="AK137" s="237">
        <f>$AK$135</f>
        <v>34.425291666666659</v>
      </c>
      <c r="AL137" s="238">
        <f>slabthickness/12+1/12</f>
        <v>0.66666666666666674</v>
      </c>
      <c r="AM137" s="206"/>
      <c r="AO137" s="204"/>
      <c r="AP137" s="237">
        <f>$AP$135</f>
        <v>37.668291666666661</v>
      </c>
      <c r="AQ137" s="238">
        <f>slabthickness/12+1/12</f>
        <v>0.66666666666666674</v>
      </c>
      <c r="AR137" s="206"/>
    </row>
    <row r="138" spans="5:61" ht="15.75" thickBot="1" x14ac:dyDescent="0.3">
      <c r="E138" s="335"/>
      <c r="F138" s="4" t="str">
        <f>IF(G119&gt;=19, "Beam Spacing from Bm 18 to Bm 19 (ft) =", "NA")</f>
        <v>NA</v>
      </c>
      <c r="G138" s="70" t="str">
        <v/>
      </c>
      <c r="H138" t="str">
        <v>Beam Girder Spacing - Fwd Span</v>
      </c>
      <c r="M138" s="299"/>
      <c r="N138" s="299"/>
      <c r="O138" s="299"/>
      <c r="P138" s="299"/>
      <c r="Q138" s="299"/>
      <c r="R138" s="299"/>
      <c r="S138" s="299"/>
      <c r="T138" s="299"/>
      <c r="V138" t="str">
        <v>Bar Spacing Check =</v>
      </c>
      <c r="W138" s="173" t="str">
        <f>$G300</f>
        <v>Bundled Spacing - NG</v>
      </c>
      <c r="Y138" s="94"/>
      <c r="AJ138" s="208"/>
      <c r="AK138" s="209"/>
      <c r="AL138" s="209"/>
      <c r="AM138" s="210"/>
      <c r="AO138" s="208"/>
      <c r="AP138" s="209"/>
      <c r="AQ138" s="209"/>
      <c r="AR138" s="210"/>
    </row>
    <row r="139" spans="5:61" ht="15.75" thickBot="1" x14ac:dyDescent="0.3">
      <c r="E139" s="336"/>
      <c r="F139" s="5" t="str">
        <f>IF(G119&gt;=20, "Beam Spacing from Bm 19 to Bm 20 (ft) =", "NA")</f>
        <v>NA</v>
      </c>
      <c r="G139" s="70" t="str">
        <v/>
      </c>
      <c r="H139" t="str">
        <v>Beam Girder Spacing - Fwd Span</v>
      </c>
      <c r="M139" s="299"/>
      <c r="N139" s="299"/>
      <c r="O139" s="299"/>
      <c r="P139" s="299"/>
      <c r="Q139" s="299"/>
      <c r="R139" s="299"/>
      <c r="S139" s="299"/>
      <c r="T139" s="299"/>
      <c r="V139" t="s">
        <v>972</v>
      </c>
      <c r="W139" s="173" t="str">
        <f>G302</f>
        <v/>
      </c>
    </row>
    <row r="140" spans="5:61" ht="15.75" thickBot="1" x14ac:dyDescent="0.3">
      <c r="E140" s="334" t="s">
        <v>209</v>
      </c>
      <c r="F140" s="85" t="str">
        <f>IF(G5=FALSE, "NA", "Back Span Design Width (ft) =")</f>
        <v>Back Span Design Width (ft) =</v>
      </c>
      <c r="G140" s="70">
        <v>42.424479166666664</v>
      </c>
      <c r="H140" t="str" cm="1">
        <f t="array" ref="H140:H225">D140:D225&amp;E140</f>
        <v>Complex Geometry</v>
      </c>
      <c r="M140" s="299"/>
      <c r="N140" s="299"/>
      <c r="O140" s="299"/>
      <c r="P140" s="299"/>
      <c r="Q140" s="299"/>
      <c r="R140" s="299"/>
      <c r="S140" s="299"/>
      <c r="T140" s="299"/>
    </row>
    <row r="141" spans="5:61" ht="15.75" thickBot="1" x14ac:dyDescent="0.3">
      <c r="E141" s="335"/>
      <c r="F141" s="86" t="str">
        <f>IF(G5=FALSE, "NA", "Forward Span Design Width (ft) =")</f>
        <v>Forward Span Design Width (ft) =</v>
      </c>
      <c r="G141" s="70">
        <v>45.644520833333331</v>
      </c>
      <c r="H141" t="str">
        <v>Complex Geometry</v>
      </c>
      <c r="M141" s="299"/>
      <c r="N141" s="299"/>
      <c r="O141" s="299"/>
      <c r="P141" s="299"/>
      <c r="Q141" s="299"/>
      <c r="R141" s="299"/>
      <c r="S141" s="299"/>
      <c r="T141" s="299"/>
      <c r="V141" s="18" t="s">
        <v>923</v>
      </c>
      <c r="W141" s="18"/>
      <c r="Y141" s="94"/>
      <c r="AJ141" s="211" t="s">
        <v>1994</v>
      </c>
      <c r="AK141" s="202"/>
      <c r="AL141" s="202"/>
      <c r="AM141" s="202"/>
      <c r="AN141" s="202"/>
      <c r="AO141" s="202"/>
      <c r="AP141" s="202"/>
      <c r="AQ141" s="202"/>
      <c r="AR141" s="202"/>
      <c r="AS141" s="202"/>
      <c r="AT141" s="202"/>
      <c r="AU141" s="202"/>
      <c r="AV141" s="203"/>
      <c r="AX141" s="211" t="s">
        <v>1977</v>
      </c>
      <c r="AY141" s="212"/>
      <c r="AZ141" s="212"/>
      <c r="BA141" s="202"/>
      <c r="BB141" s="202"/>
      <c r="BC141" s="202"/>
      <c r="BD141" s="202"/>
      <c r="BE141" s="202"/>
      <c r="BF141" s="202"/>
      <c r="BG141" s="202"/>
      <c r="BH141" s="202"/>
      <c r="BI141" s="203"/>
    </row>
    <row r="142" spans="5:61" ht="16.5" thickTop="1" thickBot="1" x14ac:dyDescent="0.3">
      <c r="E142" s="335"/>
      <c r="F142" s="86" t="str">
        <f>IF(G5=FALSE, "NA", "Segment Length Back/Forward Edge (ft) =")</f>
        <v>Segment Length Back/Forward Edge (ft) =</v>
      </c>
      <c r="G142" s="70">
        <v>43.182291666666664</v>
      </c>
      <c r="H142" t="str">
        <v>Complex Geometry</v>
      </c>
      <c r="M142" s="299"/>
      <c r="N142" s="299"/>
      <c r="O142" s="299"/>
      <c r="P142" s="299"/>
      <c r="Q142" s="299"/>
      <c r="R142" s="299"/>
      <c r="S142" s="299"/>
      <c r="T142" s="299"/>
      <c r="V142" t="str" cm="1">
        <f t="array" ref="V142:V147">_xlfn.VSTACK(F288,F292,F294:F295,F298,F301)</f>
        <v>Web Shear Strength Ratio =</v>
      </c>
      <c r="W142" s="156">
        <f>$G288</f>
        <v>0.93824597990937109</v>
      </c>
      <c r="Y142" s="94"/>
      <c r="AJ142" s="204"/>
      <c r="AK142" s="228" t="str">
        <f>CapType &amp; " Cross Section"</f>
        <v>Inverted-Tee Cross Section</v>
      </c>
      <c r="AL142" s="205"/>
      <c r="AM142" s="205"/>
      <c r="AN142" s="228" t="s">
        <v>816</v>
      </c>
      <c r="AO142" s="205"/>
      <c r="AP142" s="205"/>
      <c r="AQ142" s="228" t="s">
        <v>819</v>
      </c>
      <c r="AR142" s="205"/>
      <c r="AS142" s="205"/>
      <c r="AT142" s="228" t="s">
        <v>820</v>
      </c>
      <c r="AU142" s="205"/>
      <c r="AV142" s="206"/>
      <c r="AX142" s="204"/>
      <c r="AY142" s="205"/>
      <c r="AZ142" s="205"/>
      <c r="BA142" s="205"/>
      <c r="BB142" s="205"/>
      <c r="BC142" s="205"/>
      <c r="BD142" s="205"/>
      <c r="BE142" s="205"/>
      <c r="BF142" s="205"/>
      <c r="BG142" s="205"/>
      <c r="BH142" s="205"/>
      <c r="BI142" s="206"/>
    </row>
    <row r="143" spans="5:61" ht="15.75" thickBot="1" x14ac:dyDescent="0.3">
      <c r="E143" s="335"/>
      <c r="F143" s="86" t="str">
        <f>IF(G5=FALSE, "NA", "Breakbacks? =")</f>
        <v>Breakbacks? =</v>
      </c>
      <c r="G143" s="70" t="str">
        <v>None</v>
      </c>
      <c r="H143" t="str">
        <v>Complex Geometry</v>
      </c>
      <c r="M143" s="299"/>
      <c r="N143" s="299"/>
      <c r="O143" s="299"/>
      <c r="P143" s="299"/>
      <c r="Q143" s="299"/>
      <c r="R143" s="299"/>
      <c r="S143" s="299"/>
      <c r="T143" s="299"/>
      <c r="V143" t="str">
        <v>Shear w Torsion Ratio =</v>
      </c>
      <c r="W143" s="156">
        <f>$G292</f>
        <v>1.2620632241608261</v>
      </c>
      <c r="Y143" s="94"/>
      <c r="AJ143" s="204"/>
      <c r="AK143" s="257" t="s">
        <v>817</v>
      </c>
      <c r="AL143" s="258" t="s">
        <v>818</v>
      </c>
      <c r="AM143" s="205"/>
      <c r="AN143" s="257" t="s">
        <v>817</v>
      </c>
      <c r="AO143" s="258" t="s">
        <v>818</v>
      </c>
      <c r="AP143" s="205"/>
      <c r="AQ143" s="257" t="s">
        <v>817</v>
      </c>
      <c r="AR143" s="258" t="s">
        <v>818</v>
      </c>
      <c r="AS143" s="205"/>
      <c r="AT143" s="257" t="s">
        <v>817</v>
      </c>
      <c r="AU143" s="258" t="s">
        <v>818</v>
      </c>
      <c r="AV143" s="206"/>
      <c r="AX143" s="204"/>
      <c r="AY143" s="205" t="s">
        <v>1962</v>
      </c>
      <c r="AZ143" s="176">
        <v>350</v>
      </c>
      <c r="BA143" s="205"/>
      <c r="BB143" s="205" t="s">
        <v>1960</v>
      </c>
      <c r="BC143" s="205"/>
      <c r="BD143" s="176">
        <v>14</v>
      </c>
      <c r="BE143" s="205"/>
      <c r="BF143" s="343" t="s">
        <v>1967</v>
      </c>
      <c r="BG143" s="344" t="s">
        <v>1968</v>
      </c>
      <c r="BH143" s="345" t="s">
        <v>1969</v>
      </c>
      <c r="BI143" s="206"/>
    </row>
    <row r="144" spans="5:61" ht="15.75" thickTop="1" x14ac:dyDescent="0.25">
      <c r="E144" s="335"/>
      <c r="F144" s="86" t="str">
        <f>IF(G5=FALSE, "NA", "Skew Angle =")</f>
        <v>Skew Angle =</v>
      </c>
      <c r="G144" s="70">
        <v>0</v>
      </c>
      <c r="H144" t="str">
        <v>Complex Geometry</v>
      </c>
      <c r="M144" s="299"/>
      <c r="N144" s="299"/>
      <c r="O144" s="299"/>
      <c r="P144" s="299"/>
      <c r="Q144" s="299"/>
      <c r="R144" s="299"/>
      <c r="S144" s="299"/>
      <c r="T144" s="299"/>
      <c r="V144" t="str">
        <v>Torsion w Shear Ratio =</v>
      </c>
      <c r="W144" s="156">
        <f>$G294</f>
        <v>1.5146680878437018</v>
      </c>
      <c r="Y144" s="94"/>
      <c r="AJ144" s="204"/>
      <c r="AK144" s="220" cm="1">
        <f t="array" ref="AK144:AL152">IF(CapType="Inverted-Tee", AN144:AO152, IF(CapType = "Rectangular", AQ144:AR152, AT144:AU152))</f>
        <v>0</v>
      </c>
      <c r="AL144" s="221">
        <v>0</v>
      </c>
      <c r="AM144" s="205"/>
      <c r="AN144" s="220">
        <v>0</v>
      </c>
      <c r="AO144" s="221">
        <v>0</v>
      </c>
      <c r="AP144" s="205"/>
      <c r="AQ144" s="220">
        <v>0</v>
      </c>
      <c r="AR144" s="221">
        <v>0</v>
      </c>
      <c r="AS144" s="205"/>
      <c r="AT144" s="220">
        <v>0</v>
      </c>
      <c r="AU144" s="221">
        <f>capheight</f>
        <v>77</v>
      </c>
      <c r="AV144" s="206"/>
      <c r="AX144" s="204"/>
      <c r="AY144" s="205" t="s">
        <v>1963</v>
      </c>
      <c r="AZ144" s="176">
        <v>200</v>
      </c>
      <c r="BA144" s="205"/>
      <c r="BB144" s="205" t="s">
        <v>1964</v>
      </c>
      <c r="BC144" s="205" t="s">
        <v>1965</v>
      </c>
      <c r="BD144" s="205" t="s">
        <v>1966</v>
      </c>
      <c r="BE144" s="205"/>
      <c r="BF144" s="343"/>
      <c r="BG144" s="344"/>
      <c r="BH144" s="345"/>
      <c r="BI144" s="206"/>
    </row>
    <row r="145" spans="5:61" ht="15.75" thickBot="1" x14ac:dyDescent="0.3">
      <c r="E145" s="336"/>
      <c r="F145" s="87" t="str">
        <f>IF(G5=FALSE, "NA", "Distance to Station Line (ft) =")</f>
        <v>Distance to Station Line (ft) =</v>
      </c>
      <c r="G145" s="70">
        <v>6.833333333333333</v>
      </c>
      <c r="H145" t="str">
        <v>Complex Geometry</v>
      </c>
      <c r="M145" s="299"/>
      <c r="N145" s="299"/>
      <c r="O145" s="299"/>
      <c r="P145" s="299"/>
      <c r="Q145" s="299"/>
      <c r="R145" s="299"/>
      <c r="S145" s="299"/>
      <c r="T145" s="299"/>
      <c r="V145" t="str">
        <v>Skin Reinforcement Ratio =</v>
      </c>
      <c r="W145" s="156">
        <f>$G295</f>
        <v>2.5859575258064522</v>
      </c>
      <c r="Y145" s="94"/>
      <c r="AJ145" s="204"/>
      <c r="AK145" s="220">
        <v>63</v>
      </c>
      <c r="AL145" s="221">
        <v>0</v>
      </c>
      <c r="AM145" s="205"/>
      <c r="AN145" s="220">
        <f>InvTeeBotWidth</f>
        <v>63</v>
      </c>
      <c r="AO145" s="221">
        <v>0</v>
      </c>
      <c r="AP145" s="205"/>
      <c r="AQ145" s="220">
        <f>capstemWidth</f>
        <v>30</v>
      </c>
      <c r="AR145" s="221">
        <v>0</v>
      </c>
      <c r="AS145" s="205"/>
      <c r="AT145" s="220">
        <f>InvTeeBotWidth</f>
        <v>63</v>
      </c>
      <c r="AU145" s="221">
        <f>capheight</f>
        <v>77</v>
      </c>
      <c r="AV145" s="206"/>
      <c r="AX145" s="204"/>
      <c r="AY145" s="205"/>
      <c r="AZ145" s="205"/>
      <c r="BA145" s="205"/>
      <c r="BB145" s="205">
        <f>MIN(AK144:AK152)</f>
        <v>0</v>
      </c>
      <c r="BC145" s="205">
        <f>MIN(ROUND(BB145/BD143+0.001,0)*BD143-BD143/2,-2.5)</f>
        <v>-7</v>
      </c>
      <c r="BD145" s="205">
        <f>ROUND(BC145/BD143,0)*BD143</f>
        <v>-14</v>
      </c>
      <c r="BE145" s="205"/>
      <c r="BF145" s="205">
        <f>BD146-BD145</f>
        <v>84</v>
      </c>
      <c r="BG145" s="205">
        <f>BF150*AZ143/AZ144</f>
        <v>168</v>
      </c>
      <c r="BH145" s="205">
        <f>IF(P43, BC145, 0)</f>
        <v>-7</v>
      </c>
      <c r="BI145" s="206"/>
    </row>
    <row r="146" spans="5:61" x14ac:dyDescent="0.25">
      <c r="E146" s="334" t="s">
        <v>211</v>
      </c>
      <c r="F146" s="85" t="str">
        <f>IF(G5=FALSE, "NA", "Distance from PGL to Beam #1 (ft) =")</f>
        <v>Distance from PGL to Beam #1 (ft) =</v>
      </c>
      <c r="G146" s="70">
        <v>-4</v>
      </c>
      <c r="H146" t="str">
        <v>Complex Geometry</v>
      </c>
      <c r="M146" s="299"/>
      <c r="N146" s="299"/>
      <c r="O146" s="299"/>
      <c r="P146" s="299"/>
      <c r="Q146" s="299"/>
      <c r="R146" s="299"/>
      <c r="S146" s="299"/>
      <c r="T146" s="299"/>
      <c r="V146" t="str">
        <v>Moment Strength Ratio =</v>
      </c>
      <c r="W146" s="156">
        <f>$G298</f>
        <v>1.0644135359017084</v>
      </c>
      <c r="Y146" s="94"/>
      <c r="AJ146" s="204"/>
      <c r="AK146" s="220">
        <v>63</v>
      </c>
      <c r="AL146" s="221">
        <v>20</v>
      </c>
      <c r="AM146" s="205"/>
      <c r="AN146" s="220">
        <f>AN145</f>
        <v>63</v>
      </c>
      <c r="AO146" s="221">
        <f>CapLedgeDepth</f>
        <v>20</v>
      </c>
      <c r="AP146" s="205"/>
      <c r="AQ146" s="220">
        <f>AQ145</f>
        <v>30</v>
      </c>
      <c r="AR146" s="221">
        <f>capheight</f>
        <v>77</v>
      </c>
      <c r="AS146" s="205"/>
      <c r="AT146" s="220">
        <f>AT145</f>
        <v>63</v>
      </c>
      <c r="AU146" s="221">
        <f>capheight-CapLedgeDepth</f>
        <v>57</v>
      </c>
      <c r="AV146" s="206"/>
      <c r="AX146" s="204"/>
      <c r="AY146" s="205"/>
      <c r="AZ146" s="205"/>
      <c r="BA146" s="205"/>
      <c r="BB146" s="205">
        <f>MAX(AK144:AK152)</f>
        <v>63</v>
      </c>
      <c r="BC146" s="207">
        <f>ROUND(BB146/BD143-0.0001,0)*BD143+BD143/2</f>
        <v>63</v>
      </c>
      <c r="BD146" s="205">
        <f>ROUND(BC146/BD143,0)*BD143</f>
        <v>70</v>
      </c>
      <c r="BE146" s="205"/>
      <c r="BF146" s="205"/>
      <c r="BG146" s="205"/>
      <c r="BH146" s="205">
        <f>IF(P43, BC146+MAX(0,BG145-BF145),0)</f>
        <v>147</v>
      </c>
      <c r="BI146" s="206"/>
    </row>
    <row r="147" spans="5:61" x14ac:dyDescent="0.25">
      <c r="E147" s="335"/>
      <c r="F147" s="86" t="str">
        <f>IF(G5=FALSE, "NA", "Distance to Beam #2 (ft) =")</f>
        <v>Distance to Beam #2 (ft) =</v>
      </c>
      <c r="G147" s="75">
        <v>6</v>
      </c>
      <c r="H147" t="str">
        <v>Complex Geometry</v>
      </c>
      <c r="M147" s="299"/>
      <c r="N147" s="299"/>
      <c r="O147" s="299"/>
      <c r="P147" s="299"/>
      <c r="Q147" s="299"/>
      <c r="R147" s="299"/>
      <c r="S147" s="299"/>
      <c r="T147" s="299"/>
      <c r="V147" t="str">
        <v>Moment Service Ratio =</v>
      </c>
      <c r="W147" s="156">
        <f>$G301</f>
        <v>1.192289651305916</v>
      </c>
      <c r="AJ147" s="204"/>
      <c r="AK147" s="220">
        <v>46.5</v>
      </c>
      <c r="AL147" s="221">
        <v>20</v>
      </c>
      <c r="AM147" s="205"/>
      <c r="AN147" s="220">
        <f>AN145-(InvTeeBotWidth-capstemWidth)/2</f>
        <v>46.5</v>
      </c>
      <c r="AO147" s="221">
        <f>AO146</f>
        <v>20</v>
      </c>
      <c r="AP147" s="205"/>
      <c r="AQ147" s="220">
        <v>0</v>
      </c>
      <c r="AR147" s="221">
        <f>AR146</f>
        <v>77</v>
      </c>
      <c r="AS147" s="205"/>
      <c r="AT147" s="220">
        <f>AT145-(InvTeeBotWidth-capstemWidth)/2</f>
        <v>46.5</v>
      </c>
      <c r="AU147" s="221">
        <f>capheight-CapLedgeDepth</f>
        <v>57</v>
      </c>
      <c r="AV147" s="206"/>
      <c r="AX147" s="204"/>
      <c r="AY147" s="205"/>
      <c r="AZ147" s="205"/>
      <c r="BA147" s="205"/>
      <c r="BB147" s="205"/>
      <c r="BC147" s="205"/>
      <c r="BD147" s="205"/>
      <c r="BE147" s="205"/>
      <c r="BF147" s="205"/>
      <c r="BG147" s="205"/>
      <c r="BH147" s="205"/>
      <c r="BI147" s="206"/>
    </row>
    <row r="148" spans="5:61" ht="15.75" thickBot="1" x14ac:dyDescent="0.3">
      <c r="E148" s="335"/>
      <c r="F148" s="86" t="str">
        <f>IF(G5=FALSE,"NA",IF(G98&lt;3,"NA", "Distance to Beam #3 (ft) ="))</f>
        <v>Distance to Beam #3 (ft) =</v>
      </c>
      <c r="G148" s="75">
        <v>6</v>
      </c>
      <c r="H148" t="str">
        <v>Complex Geometry</v>
      </c>
      <c r="M148" s="299"/>
      <c r="N148" s="299"/>
      <c r="O148" s="299"/>
      <c r="P148" s="299"/>
      <c r="Q148" s="299"/>
      <c r="R148" s="299"/>
      <c r="S148" s="299"/>
      <c r="T148" s="299"/>
      <c r="AJ148" s="204"/>
      <c r="AK148" s="220">
        <v>46.5</v>
      </c>
      <c r="AL148" s="221">
        <v>77</v>
      </c>
      <c r="AM148" s="205"/>
      <c r="AN148" s="220">
        <f>AN147</f>
        <v>46.5</v>
      </c>
      <c r="AO148" s="221">
        <f>capheight</f>
        <v>77</v>
      </c>
      <c r="AP148" s="205"/>
      <c r="AQ148" s="220">
        <v>0</v>
      </c>
      <c r="AR148" s="221">
        <v>0</v>
      </c>
      <c r="AS148" s="205"/>
      <c r="AT148" s="220">
        <f>AT147</f>
        <v>46.5</v>
      </c>
      <c r="AU148" s="198">
        <v>0</v>
      </c>
      <c r="AV148" s="206"/>
      <c r="AX148" s="204"/>
      <c r="AY148" s="205"/>
      <c r="AZ148" s="205"/>
      <c r="BA148" s="205"/>
      <c r="BB148" s="205" t="s">
        <v>1961</v>
      </c>
      <c r="BC148" s="205"/>
      <c r="BD148" s="297">
        <f>BD143*AZ144/AZ143</f>
        <v>8</v>
      </c>
      <c r="BE148" s="205"/>
      <c r="BF148" s="343" t="s">
        <v>1970</v>
      </c>
      <c r="BG148" s="344" t="s">
        <v>1971</v>
      </c>
      <c r="BH148" s="345" t="s">
        <v>1972</v>
      </c>
      <c r="BI148" s="206"/>
    </row>
    <row r="149" spans="5:61" ht="15.75" thickBot="1" x14ac:dyDescent="0.3">
      <c r="E149" s="335"/>
      <c r="F149" s="86" t="str">
        <f>IF(G5=FALSE,"NA",IF(G98&lt;4,"NA", "Distance to Beam #4 (ft) ="))</f>
        <v>Distance to Beam #4 (ft) =</v>
      </c>
      <c r="G149" s="75">
        <v>6</v>
      </c>
      <c r="H149" t="str">
        <v>Complex Geometry</v>
      </c>
      <c r="M149" s="299"/>
      <c r="N149" s="299"/>
      <c r="O149" s="299"/>
      <c r="P149" s="299"/>
      <c r="Q149" s="299"/>
      <c r="R149" s="299"/>
      <c r="S149" s="299"/>
      <c r="T149" s="299"/>
      <c r="AJ149" s="204"/>
      <c r="AK149" s="220">
        <v>16.5</v>
      </c>
      <c r="AL149" s="221">
        <v>77</v>
      </c>
      <c r="AM149" s="205"/>
      <c r="AN149" s="220">
        <f>AN147-capstemWidth</f>
        <v>16.5</v>
      </c>
      <c r="AO149" s="221">
        <f>AO148</f>
        <v>77</v>
      </c>
      <c r="AP149" s="205"/>
      <c r="AQ149" s="220">
        <v>0</v>
      </c>
      <c r="AR149" s="221">
        <v>0</v>
      </c>
      <c r="AS149" s="205"/>
      <c r="AT149" s="220">
        <f>AT147-capstemWidth</f>
        <v>16.5</v>
      </c>
      <c r="AU149" s="198">
        <v>0</v>
      </c>
      <c r="AV149" s="206"/>
      <c r="AX149" s="204"/>
      <c r="AY149" s="259" t="s">
        <v>817</v>
      </c>
      <c r="AZ149" s="260" t="s">
        <v>818</v>
      </c>
      <c r="BA149" s="205"/>
      <c r="BB149" s="205" t="s">
        <v>1973</v>
      </c>
      <c r="BC149" s="205" t="s">
        <v>1974</v>
      </c>
      <c r="BD149" s="205" t="s">
        <v>1975</v>
      </c>
      <c r="BE149" s="205"/>
      <c r="BF149" s="343"/>
      <c r="BG149" s="344"/>
      <c r="BH149" s="345"/>
      <c r="BI149" s="206"/>
    </row>
    <row r="150" spans="5:61" ht="15.75" thickTop="1" x14ac:dyDescent="0.25">
      <c r="E150" s="335"/>
      <c r="F150" s="86" t="str">
        <f>IF(G5=FALSE,"NA",IF(G98&lt;5,"NA", "Distance to Beam #5 (ft) ="))</f>
        <v>Distance to Beam #5 (ft) =</v>
      </c>
      <c r="G150" s="75">
        <v>6</v>
      </c>
      <c r="H150" t="str">
        <v>Complex Geometry</v>
      </c>
      <c r="M150" s="299"/>
      <c r="N150" s="299"/>
      <c r="O150" s="299"/>
      <c r="P150" s="299"/>
      <c r="Q150" s="299"/>
      <c r="R150" s="299"/>
      <c r="S150" s="299"/>
      <c r="T150" s="299"/>
      <c r="AJ150" s="204"/>
      <c r="AK150" s="220">
        <v>16.5</v>
      </c>
      <c r="AL150" s="221">
        <v>20</v>
      </c>
      <c r="AM150" s="205"/>
      <c r="AN150" s="220">
        <f>AN149</f>
        <v>16.5</v>
      </c>
      <c r="AO150" s="221">
        <f>AO147</f>
        <v>20</v>
      </c>
      <c r="AP150" s="205"/>
      <c r="AQ150" s="220">
        <v>0</v>
      </c>
      <c r="AR150" s="221">
        <v>0</v>
      </c>
      <c r="AS150" s="205"/>
      <c r="AT150" s="220">
        <f>AT149</f>
        <v>16.5</v>
      </c>
      <c r="AU150" s="221">
        <f>capheight-CapLedgeDepth</f>
        <v>57</v>
      </c>
      <c r="AV150" s="206"/>
      <c r="AX150" s="204"/>
      <c r="AY150" s="213">
        <f>BH145</f>
        <v>-7</v>
      </c>
      <c r="AZ150" s="214">
        <f>BH150</f>
        <v>-4</v>
      </c>
      <c r="BA150" s="205"/>
      <c r="BB150" s="205">
        <f>MIN(AL144:AL152)</f>
        <v>0</v>
      </c>
      <c r="BC150" s="205">
        <f>MIN(ROUND(BB150/BD148+0.001,0)*BD148-BD148/2,0)</f>
        <v>-4</v>
      </c>
      <c r="BD150" s="205">
        <f>ROUND(BC150/BD148,0)*BD148</f>
        <v>-8</v>
      </c>
      <c r="BE150" s="205"/>
      <c r="BF150" s="205">
        <f>BD151-BD150</f>
        <v>96</v>
      </c>
      <c r="BG150" s="205">
        <f>BF145*AZ144/AZ143</f>
        <v>48</v>
      </c>
      <c r="BH150" s="205">
        <f>IF(P43, BC150, 0)</f>
        <v>-4</v>
      </c>
      <c r="BI150" s="206"/>
    </row>
    <row r="151" spans="5:61" ht="15.75" thickBot="1" x14ac:dyDescent="0.3">
      <c r="E151" s="335"/>
      <c r="F151" s="86" t="str">
        <f>IF(G5=FALSE,"NA",IF(G98&lt;6,"NA", "Distance to Beam #6 (ft) ="))</f>
        <v>Distance to Beam #6 (ft) =</v>
      </c>
      <c r="G151" s="75">
        <v>6.7569999999999997</v>
      </c>
      <c r="H151" t="str">
        <v>Complex Geometry</v>
      </c>
      <c r="M151" s="299"/>
      <c r="N151" s="299"/>
      <c r="O151" s="299"/>
      <c r="P151" s="299"/>
      <c r="Q151" s="299"/>
      <c r="R151" s="299"/>
      <c r="S151" s="299"/>
      <c r="T151" s="299"/>
      <c r="AJ151" s="204"/>
      <c r="AK151" s="220">
        <v>0</v>
      </c>
      <c r="AL151" s="221">
        <v>20</v>
      </c>
      <c r="AM151" s="205"/>
      <c r="AN151" s="220">
        <v>0</v>
      </c>
      <c r="AO151" s="221">
        <f>AO150</f>
        <v>20</v>
      </c>
      <c r="AP151" s="205"/>
      <c r="AQ151" s="220">
        <v>0</v>
      </c>
      <c r="AR151" s="221">
        <v>0</v>
      </c>
      <c r="AS151" s="205"/>
      <c r="AT151" s="220">
        <v>0</v>
      </c>
      <c r="AU151" s="221">
        <f>capheight-CapLedgeDepth</f>
        <v>57</v>
      </c>
      <c r="AV151" s="206"/>
      <c r="AX151" s="204"/>
      <c r="AY151" s="215">
        <f>BH146</f>
        <v>147</v>
      </c>
      <c r="AZ151" s="216">
        <f>BH151</f>
        <v>84</v>
      </c>
      <c r="BA151" s="205"/>
      <c r="BB151" s="205">
        <f>MAX(AL144:AL152)</f>
        <v>77</v>
      </c>
      <c r="BC151" s="207">
        <f>ROUND(BB151/BD148-0.0001,0)*BD148+BD148/2</f>
        <v>84</v>
      </c>
      <c r="BD151" s="205">
        <f>ROUND(BC151/BD148,0)*BD148</f>
        <v>88</v>
      </c>
      <c r="BE151" s="205"/>
      <c r="BF151" s="205"/>
      <c r="BG151" s="205"/>
      <c r="BH151" s="205">
        <f>IF(P43, BC151+MAX(0, BG150-BF150), 0)</f>
        <v>84</v>
      </c>
      <c r="BI151" s="206"/>
    </row>
    <row r="152" spans="5:61" ht="15.75" thickBot="1" x14ac:dyDescent="0.3">
      <c r="E152" s="335"/>
      <c r="F152" s="86" t="str">
        <f>IF(G5=FALSE,"NA",IF(G98&lt;7,"NA", "Distance to Beam #7 (ft) ="))</f>
        <v>Distance to Beam #7 (ft) =</v>
      </c>
      <c r="G152" s="70">
        <v>6.7569999999999997</v>
      </c>
      <c r="H152" t="str">
        <v>Complex Geometry</v>
      </c>
      <c r="M152" s="299"/>
      <c r="N152" s="299"/>
      <c r="O152" s="299"/>
      <c r="P152" s="299"/>
      <c r="Q152" s="299"/>
      <c r="R152" s="299"/>
      <c r="S152" s="299"/>
      <c r="T152" s="299"/>
      <c r="AJ152" s="204"/>
      <c r="AK152" s="222">
        <v>0</v>
      </c>
      <c r="AL152" s="224">
        <v>0</v>
      </c>
      <c r="AM152" s="205"/>
      <c r="AN152" s="222">
        <v>0</v>
      </c>
      <c r="AO152" s="224">
        <v>0</v>
      </c>
      <c r="AP152" s="205"/>
      <c r="AQ152" s="222">
        <v>0</v>
      </c>
      <c r="AR152" s="224">
        <v>0</v>
      </c>
      <c r="AS152" s="205"/>
      <c r="AT152" s="222">
        <v>0</v>
      </c>
      <c r="AU152" s="224">
        <f>capheight</f>
        <v>77</v>
      </c>
      <c r="AV152" s="206"/>
      <c r="AX152" s="208"/>
      <c r="AY152" s="209"/>
      <c r="AZ152" s="209"/>
      <c r="BA152" s="209"/>
      <c r="BB152" s="209"/>
      <c r="BC152" s="209"/>
      <c r="BD152" s="209"/>
      <c r="BE152" s="209"/>
      <c r="BF152" s="209"/>
      <c r="BG152" s="209"/>
      <c r="BH152" s="209"/>
      <c r="BI152" s="210"/>
    </row>
    <row r="153" spans="5:61" ht="15.75" thickBot="1" x14ac:dyDescent="0.3">
      <c r="E153" s="335"/>
      <c r="F153" s="86" t="str">
        <f>IF(G5=FALSE,"NA",IF(G98&lt;8,"NA", "Distance to Beam #8 (ft) ="))</f>
        <v>NA</v>
      </c>
      <c r="G153" s="70" t="str">
        <v/>
      </c>
      <c r="H153" t="str">
        <v>Complex Geometry</v>
      </c>
      <c r="M153" s="299"/>
      <c r="N153" s="299"/>
      <c r="O153" s="299"/>
      <c r="P153" s="299"/>
      <c r="Q153" s="299"/>
      <c r="R153" s="299"/>
      <c r="S153" s="299"/>
      <c r="T153" s="299"/>
      <c r="AJ153" s="208"/>
      <c r="AK153" s="209"/>
      <c r="AL153" s="209"/>
      <c r="AM153" s="209"/>
      <c r="AN153" s="209"/>
      <c r="AO153" s="209"/>
      <c r="AP153" s="209"/>
      <c r="AQ153" s="209"/>
      <c r="AR153" s="209"/>
      <c r="AS153" s="209"/>
      <c r="AT153" s="209"/>
      <c r="AU153" s="209"/>
      <c r="AV153" s="210"/>
    </row>
    <row r="154" spans="5:61" ht="15.75" thickBot="1" x14ac:dyDescent="0.3">
      <c r="E154" s="335"/>
      <c r="F154" s="86" t="str">
        <f>IF(G5=FALSE,"NA",IF(G98&lt;9,"NA", "Distance to Beam #9 (ft) ="))</f>
        <v>NA</v>
      </c>
      <c r="G154" s="70" t="str">
        <v/>
      </c>
      <c r="H154" t="str">
        <v>Complex Geometry</v>
      </c>
    </row>
    <row r="155" spans="5:61" x14ac:dyDescent="0.25">
      <c r="E155" s="335"/>
      <c r="F155" s="86" t="str">
        <f>IF(G5=FALSE,"NA",IF(G98&lt;10,"NA", "Distance to Beam #10 (ft) ="))</f>
        <v>NA</v>
      </c>
      <c r="G155" s="70" t="str">
        <v/>
      </c>
      <c r="H155" t="str">
        <v>Complex Geometry</v>
      </c>
      <c r="AJ155" s="211" t="s">
        <v>821</v>
      </c>
      <c r="AK155" s="202"/>
      <c r="AL155" s="202"/>
      <c r="AM155" s="202"/>
      <c r="AN155" s="202"/>
      <c r="AO155" s="202"/>
      <c r="AP155" s="202"/>
      <c r="AQ155" s="202"/>
      <c r="AR155" s="202"/>
      <c r="AS155" s="203"/>
      <c r="AU155" s="211" t="s">
        <v>824</v>
      </c>
      <c r="AV155" s="202"/>
      <c r="AW155" s="202"/>
      <c r="AX155" s="202"/>
      <c r="AY155" s="202"/>
      <c r="AZ155" s="202"/>
      <c r="BA155" s="202"/>
      <c r="BB155" s="202"/>
      <c r="BC155" s="202"/>
      <c r="BD155" s="203"/>
    </row>
    <row r="156" spans="5:61" ht="15.75" thickBot="1" x14ac:dyDescent="0.3">
      <c r="E156" s="335"/>
      <c r="F156" s="86" t="str">
        <f>IF(G5=FALSE,"NA",IF(G98&lt;11,"NA", "Distance to Beam #11 (ft) ="))</f>
        <v>NA</v>
      </c>
      <c r="G156" s="70" t="str">
        <v/>
      </c>
      <c r="H156" t="str">
        <v>Complex Geometry</v>
      </c>
      <c r="AJ156" s="204"/>
      <c r="AK156" s="228" t="s">
        <v>821</v>
      </c>
      <c r="AL156" s="205"/>
      <c r="AM156" s="205"/>
      <c r="AN156" s="228" t="s">
        <v>822</v>
      </c>
      <c r="AO156" s="205"/>
      <c r="AP156" s="205"/>
      <c r="AQ156" s="228" t="s">
        <v>823</v>
      </c>
      <c r="AR156" s="205"/>
      <c r="AS156" s="206"/>
      <c r="AU156" s="204"/>
      <c r="AV156" s="228" t="s">
        <v>824</v>
      </c>
      <c r="AW156" s="205"/>
      <c r="AX156" s="205"/>
      <c r="AY156" s="228" t="s">
        <v>825</v>
      </c>
      <c r="AZ156" s="205"/>
      <c r="BA156" s="205"/>
      <c r="BB156" s="228" t="s">
        <v>826</v>
      </c>
      <c r="BC156" s="205"/>
      <c r="BD156" s="206"/>
      <c r="BG156" t="str" cm="1">
        <f t="array" ref="BG156:BI162">_xlfn.VSTACK(AK208:AM208,AY208:BA208,AK175:AM175,AK186:AM186,AK197:AM197,AY186:BA186,AY197:BA197)</f>
        <v>hs: 57 in</v>
      </c>
      <c r="BH156">
        <v>-5</v>
      </c>
      <c r="BI156">
        <v>53.5</v>
      </c>
    </row>
    <row r="157" spans="5:61" ht="15.75" thickBot="1" x14ac:dyDescent="0.3">
      <c r="E157" s="335"/>
      <c r="F157" s="86" t="str">
        <f>IF(G5=FALSE,"NA",IF(G98&lt;12,"NA", "Distance to Beam #12 (ft) ="))</f>
        <v>NA</v>
      </c>
      <c r="G157" s="70" t="str">
        <v/>
      </c>
      <c r="H157" t="str">
        <v>Complex Geometry</v>
      </c>
      <c r="AJ157" s="204"/>
      <c r="AK157" s="257" t="s">
        <v>817</v>
      </c>
      <c r="AL157" s="258" t="s">
        <v>818</v>
      </c>
      <c r="AM157" s="205"/>
      <c r="AN157" s="257" t="s">
        <v>817</v>
      </c>
      <c r="AO157" s="258" t="s">
        <v>818</v>
      </c>
      <c r="AP157" s="205"/>
      <c r="AQ157" s="257" t="s">
        <v>817</v>
      </c>
      <c r="AR157" s="258" t="s">
        <v>818</v>
      </c>
      <c r="AS157" s="206"/>
      <c r="AU157" s="204"/>
      <c r="AV157" s="257" t="s">
        <v>817</v>
      </c>
      <c r="AW157" s="258" t="s">
        <v>818</v>
      </c>
      <c r="AX157" s="205"/>
      <c r="AY157" s="257" t="s">
        <v>817</v>
      </c>
      <c r="AZ157" s="258" t="s">
        <v>818</v>
      </c>
      <c r="BA157" s="205"/>
      <c r="BB157" s="257" t="s">
        <v>817</v>
      </c>
      <c r="BC157" s="258" t="s">
        <v>818</v>
      </c>
      <c r="BD157" s="206"/>
      <c r="BG157" t="str">
        <v>h: 20 in</v>
      </c>
      <c r="BH157">
        <v>-5</v>
      </c>
      <c r="BI157">
        <v>15</v>
      </c>
    </row>
    <row r="158" spans="5:61" ht="15.75" thickTop="1" x14ac:dyDescent="0.25">
      <c r="E158" s="335"/>
      <c r="F158" s="86" t="str">
        <f>IF(G5=FALSE,"NA",IF(G98&lt;13,"NA", "Distance to Beam #13 (ft) ="))</f>
        <v>NA</v>
      </c>
      <c r="G158" s="70" t="str">
        <v/>
      </c>
      <c r="H158" t="str">
        <v>Complex Geometry</v>
      </c>
      <c r="AJ158" s="204"/>
      <c r="AK158" s="220" cm="1">
        <f t="array" ref="AK158:AL162">IF(CapType = "Inverted-Tee", AN158:AO162,AQ158:AR162)</f>
        <v>4.5</v>
      </c>
      <c r="AL158" s="221">
        <v>21</v>
      </c>
      <c r="AM158" s="205"/>
      <c r="AN158" s="220">
        <f>InvTeeBotWidth/2-BearingDist-$G$245/2</f>
        <v>4.5</v>
      </c>
      <c r="AO158" s="221">
        <f>CapLedgeDepth+PedestalHt</f>
        <v>21</v>
      </c>
      <c r="AP158" s="205"/>
      <c r="AQ158" s="220">
        <v>0</v>
      </c>
      <c r="AR158" s="221">
        <v>0</v>
      </c>
      <c r="AS158" s="206"/>
      <c r="AU158" s="204"/>
      <c r="AV158" s="220" cm="1">
        <f t="array" ref="AV158:AW162">IF(CapType = "Inverted-Tee", AY158:AZ162,BB158:BC162)</f>
        <v>49.5</v>
      </c>
      <c r="AW158" s="221">
        <v>21</v>
      </c>
      <c r="AX158" s="205"/>
      <c r="AY158" s="220">
        <f>InvTeeBotWidth/2+BearingDist-$G$245/2</f>
        <v>49.5</v>
      </c>
      <c r="AZ158" s="221">
        <f>CapLedgeDepth+PedestalHt</f>
        <v>21</v>
      </c>
      <c r="BA158" s="205"/>
      <c r="BB158" s="220">
        <v>0</v>
      </c>
      <c r="BC158" s="221">
        <v>0</v>
      </c>
      <c r="BD158" s="206"/>
      <c r="BG158" t="str">
        <v>av: 7.5 in</v>
      </c>
      <c r="BH158">
        <v>6.75</v>
      </c>
      <c r="BI158">
        <v>32.75</v>
      </c>
    </row>
    <row r="159" spans="5:61" x14ac:dyDescent="0.25">
      <c r="E159" s="335"/>
      <c r="F159" s="86" t="str">
        <f>IF(G5=FALSE,"NA",IF(G98&lt;14,"NA", "Distance to Beam #14 (ft) ="))</f>
        <v>NA</v>
      </c>
      <c r="G159" s="70" t="str">
        <v/>
      </c>
      <c r="H159" t="str">
        <v>Complex Geometry</v>
      </c>
      <c r="AJ159" s="204"/>
      <c r="AK159" s="220">
        <v>13.5</v>
      </c>
      <c r="AL159" s="221">
        <v>21</v>
      </c>
      <c r="AM159" s="205"/>
      <c r="AN159" s="220">
        <f>AN158+$G$245</f>
        <v>13.5</v>
      </c>
      <c r="AO159" s="221">
        <f>AO158</f>
        <v>21</v>
      </c>
      <c r="AP159" s="205"/>
      <c r="AQ159" s="220">
        <v>0</v>
      </c>
      <c r="AR159" s="221">
        <v>0</v>
      </c>
      <c r="AS159" s="206"/>
      <c r="AU159" s="204"/>
      <c r="AV159" s="220">
        <v>58.5</v>
      </c>
      <c r="AW159" s="221">
        <v>21</v>
      </c>
      <c r="AX159" s="205"/>
      <c r="AY159" s="220">
        <f>AY158+$G$245</f>
        <v>58.5</v>
      </c>
      <c r="AZ159" s="221">
        <f>AZ158</f>
        <v>21</v>
      </c>
      <c r="BA159" s="205"/>
      <c r="BB159" s="220">
        <v>0</v>
      </c>
      <c r="BC159" s="221">
        <v>0</v>
      </c>
      <c r="BD159" s="206"/>
      <c r="BG159" t="str">
        <v>bw: 30 in</v>
      </c>
      <c r="BH159">
        <v>31.5</v>
      </c>
      <c r="BI159">
        <v>80</v>
      </c>
    </row>
    <row r="160" spans="5:61" x14ac:dyDescent="0.25">
      <c r="E160" s="335"/>
      <c r="F160" s="86" t="str">
        <f>IF(G5=FALSE,"NA",IF(G98&lt;15,"NA", "Distance to Beam #15 (ft) ="))</f>
        <v>NA</v>
      </c>
      <c r="G160" s="70" t="str">
        <v/>
      </c>
      <c r="H160" t="str">
        <v>Complex Geometry</v>
      </c>
      <c r="AJ160" s="204"/>
      <c r="AK160" s="220">
        <v>13.5</v>
      </c>
      <c r="AL160" s="221">
        <v>22.75</v>
      </c>
      <c r="AM160" s="205"/>
      <c r="AN160" s="220">
        <f>AN159</f>
        <v>13.5</v>
      </c>
      <c r="AO160" s="221">
        <f>AO159+bkbrgpad</f>
        <v>22.75</v>
      </c>
      <c r="AP160" s="205"/>
      <c r="AQ160" s="220">
        <v>0</v>
      </c>
      <c r="AR160" s="221">
        <v>0</v>
      </c>
      <c r="AS160" s="206"/>
      <c r="AU160" s="204"/>
      <c r="AV160" s="220">
        <v>58.5</v>
      </c>
      <c r="AW160" s="221">
        <v>22.75</v>
      </c>
      <c r="AX160" s="205"/>
      <c r="AY160" s="220">
        <f>AY159</f>
        <v>58.5</v>
      </c>
      <c r="AZ160" s="221">
        <f>AZ159+fdbrgpad</f>
        <v>22.75</v>
      </c>
      <c r="BA160" s="205"/>
      <c r="BB160" s="220">
        <v>0</v>
      </c>
      <c r="BC160" s="221">
        <v>0</v>
      </c>
      <c r="BD160" s="206"/>
      <c r="BG160" t="str">
        <v>bf: 63 in</v>
      </c>
      <c r="BH160">
        <v>31.5</v>
      </c>
      <c r="BI160">
        <v>-3</v>
      </c>
    </row>
    <row r="161" spans="5:61" x14ac:dyDescent="0.25">
      <c r="E161" s="335"/>
      <c r="F161" s="86" t="str">
        <f>IF(G5=FALSE,"NA",IF(G98&lt;16,"NA", "Distance to Beam #16 (ft) ="))</f>
        <v>NA</v>
      </c>
      <c r="G161" s="70" t="str">
        <v/>
      </c>
      <c r="H161" t="str">
        <v>Complex Geometry</v>
      </c>
      <c r="AJ161" s="204"/>
      <c r="AK161" s="220">
        <v>4.5</v>
      </c>
      <c r="AL161" s="221">
        <v>22.75</v>
      </c>
      <c r="AM161" s="205"/>
      <c r="AN161" s="220">
        <f>AN158</f>
        <v>4.5</v>
      </c>
      <c r="AO161" s="221">
        <f>AO160</f>
        <v>22.75</v>
      </c>
      <c r="AP161" s="205"/>
      <c r="AQ161" s="220">
        <v>0</v>
      </c>
      <c r="AR161" s="221">
        <v>0</v>
      </c>
      <c r="AS161" s="206"/>
      <c r="AU161" s="204"/>
      <c r="AV161" s="220">
        <v>49.5</v>
      </c>
      <c r="AW161" s="221">
        <v>22.75</v>
      </c>
      <c r="AX161" s="205"/>
      <c r="AY161" s="220">
        <f>AY158</f>
        <v>49.5</v>
      </c>
      <c r="AZ161" s="221">
        <f>AZ160</f>
        <v>22.75</v>
      </c>
      <c r="BA161" s="205"/>
      <c r="BB161" s="220">
        <v>0</v>
      </c>
      <c r="BC161" s="221">
        <v>0</v>
      </c>
      <c r="BD161" s="206"/>
      <c r="BG161" t="str">
        <v>bl: 16.5 in</v>
      </c>
      <c r="BH161">
        <v>59.75</v>
      </c>
      <c r="BI161">
        <v>32.75</v>
      </c>
    </row>
    <row r="162" spans="5:61" ht="15.75" thickBot="1" x14ac:dyDescent="0.3">
      <c r="E162" s="335"/>
      <c r="F162" s="86" t="str">
        <f>IF(G5=FALSE,"NA",IF(G98&lt;17,"NA", "Distance to Beam #17 (ft) ="))</f>
        <v>NA</v>
      </c>
      <c r="G162" s="70" t="str">
        <v/>
      </c>
      <c r="H162" t="str">
        <v>Complex Geometry</v>
      </c>
      <c r="AJ162" s="204"/>
      <c r="AK162" s="222">
        <v>4.5</v>
      </c>
      <c r="AL162" s="224">
        <v>21</v>
      </c>
      <c r="AM162" s="205"/>
      <c r="AN162" s="222">
        <f>AN161</f>
        <v>4.5</v>
      </c>
      <c r="AO162" s="224">
        <f>AO158</f>
        <v>21</v>
      </c>
      <c r="AP162" s="205"/>
      <c r="AQ162" s="222">
        <v>0</v>
      </c>
      <c r="AR162" s="224">
        <v>0</v>
      </c>
      <c r="AS162" s="206"/>
      <c r="AU162" s="204"/>
      <c r="AV162" s="222">
        <v>49.5</v>
      </c>
      <c r="AW162" s="224">
        <v>21</v>
      </c>
      <c r="AX162" s="205"/>
      <c r="AY162" s="222">
        <f>AY161</f>
        <v>49.5</v>
      </c>
      <c r="AZ162" s="224">
        <f>AZ158</f>
        <v>21</v>
      </c>
      <c r="BA162" s="205"/>
      <c r="BB162" s="222">
        <v>0</v>
      </c>
      <c r="BC162" s="224">
        <v>0</v>
      </c>
      <c r="BD162" s="206"/>
      <c r="BG162" t="str">
        <v>d: 77 in</v>
      </c>
      <c r="BH162">
        <v>68</v>
      </c>
      <c r="BI162">
        <v>38.5</v>
      </c>
    </row>
    <row r="163" spans="5:61" ht="15.75" thickBot="1" x14ac:dyDescent="0.3">
      <c r="E163" s="335"/>
      <c r="F163" s="86" t="str">
        <f>IF(G5=FALSE,"NA",IF(G98&lt;18,"NA", "Distance to Beam #18 (ft) ="))</f>
        <v>NA</v>
      </c>
      <c r="G163" s="70" t="str">
        <v/>
      </c>
      <c r="H163" t="str">
        <v>Complex Geometry</v>
      </c>
      <c r="AJ163" s="208"/>
      <c r="AK163" s="209"/>
      <c r="AL163" s="209"/>
      <c r="AM163" s="209"/>
      <c r="AN163" s="209"/>
      <c r="AO163" s="209"/>
      <c r="AP163" s="209"/>
      <c r="AQ163" s="209"/>
      <c r="AR163" s="209"/>
      <c r="AS163" s="210"/>
      <c r="AU163" s="208"/>
      <c r="AV163" s="209"/>
      <c r="AW163" s="209"/>
      <c r="AX163" s="209"/>
      <c r="AY163" s="209"/>
      <c r="AZ163" s="209"/>
      <c r="BA163" s="209"/>
      <c r="BB163" s="209"/>
      <c r="BC163" s="209"/>
      <c r="BD163" s="210"/>
    </row>
    <row r="164" spans="5:61" ht="15.75" thickBot="1" x14ac:dyDescent="0.3">
      <c r="E164" s="335"/>
      <c r="F164" s="86" t="str">
        <f>IF(G5=FALSE,"NA",IF(G98&lt;19,"NA", "Distance to Beam #19 (ft) ="))</f>
        <v>NA</v>
      </c>
      <c r="G164" s="70" t="str">
        <v/>
      </c>
      <c r="H164" t="str">
        <v>Complex Geometry</v>
      </c>
    </row>
    <row r="165" spans="5:61" ht="15.75" thickBot="1" x14ac:dyDescent="0.3">
      <c r="E165" s="336"/>
      <c r="F165" s="87" t="str">
        <f>IF(G5=FALSE,"NA",IF(G98&lt;20,"NA", "Distance to Beam #20 (ft) ="))</f>
        <v>NA</v>
      </c>
      <c r="G165" s="70" t="str">
        <v/>
      </c>
      <c r="H165" t="str">
        <v>Complex Geometry</v>
      </c>
      <c r="AJ165" s="211" t="s">
        <v>831</v>
      </c>
      <c r="AK165" s="202"/>
      <c r="AL165" s="202"/>
      <c r="AM165" s="202"/>
      <c r="AN165" s="202"/>
      <c r="AO165" s="202"/>
      <c r="AP165" s="202"/>
      <c r="AQ165" s="202"/>
      <c r="AR165" s="202"/>
      <c r="AS165" s="203"/>
      <c r="AU165" s="211" t="s">
        <v>832</v>
      </c>
      <c r="AV165" s="202"/>
      <c r="AW165" s="202"/>
      <c r="AX165" s="202"/>
      <c r="AY165" s="202"/>
      <c r="AZ165" s="202"/>
      <c r="BA165" s="202"/>
      <c r="BB165" s="202"/>
      <c r="BC165" s="202"/>
      <c r="BD165" s="203"/>
    </row>
    <row r="166" spans="5:61" ht="15.75" thickBot="1" x14ac:dyDescent="0.3">
      <c r="E166" s="334" t="s">
        <v>846</v>
      </c>
      <c r="F166" s="69" t="str">
        <f>IF(G5=FALSE, "NA", "Beam 1 (ft) =")</f>
        <v>Beam 1 (ft) =</v>
      </c>
      <c r="G166" s="65">
        <v>122.54300000000001</v>
      </c>
      <c r="H166" t="str">
        <v>Complex Geometry</v>
      </c>
      <c r="AJ166" s="204"/>
      <c r="AK166" s="228" t="s">
        <v>831</v>
      </c>
      <c r="AL166" s="205"/>
      <c r="AM166" s="205"/>
      <c r="AN166" s="228" t="s">
        <v>1995</v>
      </c>
      <c r="AO166" s="205"/>
      <c r="AP166" s="205"/>
      <c r="AQ166" s="228" t="s">
        <v>1996</v>
      </c>
      <c r="AR166" s="205"/>
      <c r="AS166" s="206"/>
      <c r="AU166" s="204"/>
      <c r="AV166" s="228" t="s">
        <v>832</v>
      </c>
      <c r="AW166" s="205"/>
      <c r="AX166" s="205"/>
      <c r="AY166" s="228" t="s">
        <v>1997</v>
      </c>
      <c r="AZ166" s="205"/>
      <c r="BA166" s="205"/>
      <c r="BB166" s="228" t="s">
        <v>1998</v>
      </c>
      <c r="BC166" s="205"/>
      <c r="BD166" s="206"/>
    </row>
    <row r="167" spans="5:61" ht="15" customHeight="1" thickBot="1" x14ac:dyDescent="0.3">
      <c r="E167" s="335"/>
      <c r="F167" s="88" t="str">
        <f>IF(G5=FALSE, "NA", "Beam 2 (ft) =")</f>
        <v>Beam 2 (ft) =</v>
      </c>
      <c r="G167" s="65">
        <v>122.47799999999999</v>
      </c>
      <c r="H167" t="str">
        <v>Complex Geometry</v>
      </c>
      <c r="AJ167" s="204"/>
      <c r="AK167" s="257" t="s">
        <v>817</v>
      </c>
      <c r="AL167" s="258" t="s">
        <v>818</v>
      </c>
      <c r="AM167" s="205"/>
      <c r="AN167" s="257" t="s">
        <v>817</v>
      </c>
      <c r="AO167" s="258" t="s">
        <v>818</v>
      </c>
      <c r="AP167" s="205"/>
      <c r="AQ167" s="257" t="s">
        <v>817</v>
      </c>
      <c r="AR167" s="258" t="s">
        <v>818</v>
      </c>
      <c r="AS167" s="206"/>
      <c r="AU167" s="204"/>
      <c r="AV167" s="257" t="s">
        <v>817</v>
      </c>
      <c r="AW167" s="258" t="s">
        <v>818</v>
      </c>
      <c r="AX167" s="205"/>
      <c r="AY167" s="257" t="s">
        <v>817</v>
      </c>
      <c r="AZ167" s="258" t="s">
        <v>818</v>
      </c>
      <c r="BA167" s="205"/>
      <c r="BB167" s="257" t="s">
        <v>817</v>
      </c>
      <c r="BC167" s="258" t="s">
        <v>818</v>
      </c>
      <c r="BD167" s="206"/>
    </row>
    <row r="168" spans="5:61" ht="15.75" customHeight="1" thickTop="1" x14ac:dyDescent="0.25">
      <c r="E168" s="335"/>
      <c r="F168" s="88" t="str">
        <f>IF(G5=FALSE,"NA",IF(G98&lt;3,"NA", "Beam 3 (ft) ="))</f>
        <v>Beam 3 (ft) =</v>
      </c>
      <c r="G168" s="65">
        <v>122.41200000000001</v>
      </c>
      <c r="H168" t="str">
        <v>Complex Geometry</v>
      </c>
      <c r="AJ168" s="204"/>
      <c r="AK168" s="220" cm="1">
        <f t="array" ref="AK168:AL172">IF(CapType = "Inverted-Tee", AN168:AO172,AQ168:AR172)</f>
        <v>0</v>
      </c>
      <c r="AL168" s="221">
        <v>20</v>
      </c>
      <c r="AM168" s="205"/>
      <c r="AN168" s="220">
        <f>0</f>
        <v>0</v>
      </c>
      <c r="AO168" s="221">
        <f>CapLedgeDepth</f>
        <v>20</v>
      </c>
      <c r="AP168" s="205"/>
      <c r="AQ168" s="220">
        <v>0</v>
      </c>
      <c r="AR168" s="221">
        <v>0</v>
      </c>
      <c r="AS168" s="206"/>
      <c r="AU168" s="204"/>
      <c r="AV168" s="220" cm="1">
        <f t="array" ref="AV168:AW172">IF(CapType = "Inverted-Tee", AY168:AZ172,BB168:BC172)</f>
        <v>46.5</v>
      </c>
      <c r="AW168" s="221">
        <v>20</v>
      </c>
      <c r="AX168" s="205"/>
      <c r="AY168" s="220">
        <f>InvTeeBotWidth/2+capstemWidth/2</f>
        <v>46.5</v>
      </c>
      <c r="AZ168" s="221">
        <f>CapLedgeDepth</f>
        <v>20</v>
      </c>
      <c r="BA168" s="205"/>
      <c r="BB168" s="220">
        <v>0</v>
      </c>
      <c r="BC168" s="221">
        <v>0</v>
      </c>
      <c r="BD168" s="206"/>
    </row>
    <row r="169" spans="5:61" x14ac:dyDescent="0.25">
      <c r="E169" s="335"/>
      <c r="F169" s="88" t="str">
        <f>IF(G5=FALSE,"NA",IF(G98&lt;4,"NA", "Beam 4 (ft) ="))</f>
        <v>Beam 4 (ft) =</v>
      </c>
      <c r="G169" s="65">
        <v>122.34699999999999</v>
      </c>
      <c r="H169" t="str">
        <v>Complex Geometry</v>
      </c>
      <c r="AJ169" s="204"/>
      <c r="AK169" s="220">
        <v>16.5</v>
      </c>
      <c r="AL169" s="221">
        <v>20</v>
      </c>
      <c r="AM169" s="205"/>
      <c r="AN169" s="220">
        <f>AN168+(InvTeeBotWidth-capstemWidth)/2</f>
        <v>16.5</v>
      </c>
      <c r="AO169" s="221">
        <f>AO168</f>
        <v>20</v>
      </c>
      <c r="AP169" s="205"/>
      <c r="AQ169" s="220">
        <v>0</v>
      </c>
      <c r="AR169" s="221">
        <v>0</v>
      </c>
      <c r="AS169" s="206"/>
      <c r="AU169" s="204"/>
      <c r="AV169" s="220">
        <v>63</v>
      </c>
      <c r="AW169" s="221">
        <v>20</v>
      </c>
      <c r="AX169" s="205"/>
      <c r="AY169" s="220">
        <f>AY168+(InvTeeBotWidth-capstemWidth)/2</f>
        <v>63</v>
      </c>
      <c r="AZ169" s="221">
        <f>AZ168</f>
        <v>20</v>
      </c>
      <c r="BA169" s="205"/>
      <c r="BB169" s="220">
        <v>0</v>
      </c>
      <c r="BC169" s="221">
        <v>0</v>
      </c>
      <c r="BD169" s="206"/>
    </row>
    <row r="170" spans="5:61" x14ac:dyDescent="0.25">
      <c r="E170" s="335"/>
      <c r="F170" s="88" t="str">
        <f>IF(G5=FALSE,"NA",IF(G98&lt;5,"NA", "Beam 5 (ft) ="))</f>
        <v>Beam 5 (ft) =</v>
      </c>
      <c r="G170" s="65">
        <v>122.28100000000001</v>
      </c>
      <c r="H170" t="str">
        <v>Complex Geometry</v>
      </c>
      <c r="AJ170" s="204"/>
      <c r="AK170" s="220">
        <v>16.5</v>
      </c>
      <c r="AL170" s="221">
        <v>21</v>
      </c>
      <c r="AM170" s="205"/>
      <c r="AN170" s="220">
        <f>AN169</f>
        <v>16.5</v>
      </c>
      <c r="AO170" s="221">
        <f>AO169+PedestalHt</f>
        <v>21</v>
      </c>
      <c r="AP170" s="205"/>
      <c r="AQ170" s="220">
        <v>0</v>
      </c>
      <c r="AR170" s="221">
        <v>0</v>
      </c>
      <c r="AS170" s="206"/>
      <c r="AU170" s="204"/>
      <c r="AV170" s="220">
        <v>63</v>
      </c>
      <c r="AW170" s="221">
        <v>21</v>
      </c>
      <c r="AX170" s="205"/>
      <c r="AY170" s="220">
        <f>AY169</f>
        <v>63</v>
      </c>
      <c r="AZ170" s="221">
        <f>AZ169+PedestalHt</f>
        <v>21</v>
      </c>
      <c r="BA170" s="205"/>
      <c r="BB170" s="220">
        <v>0</v>
      </c>
      <c r="BC170" s="221">
        <v>0</v>
      </c>
      <c r="BD170" s="206"/>
    </row>
    <row r="171" spans="5:61" x14ac:dyDescent="0.25">
      <c r="E171" s="335"/>
      <c r="F171" s="88" t="str">
        <f>IF(G5=FALSE,"NA",IF(G98&lt;6,"NA", "Beam 6 (ft) ="))</f>
        <v>Beam 6 (ft) =</v>
      </c>
      <c r="G171" s="65">
        <v>122.214</v>
      </c>
      <c r="H171" t="str">
        <v>Complex Geometry</v>
      </c>
      <c r="AJ171" s="204"/>
      <c r="AK171" s="220">
        <v>0</v>
      </c>
      <c r="AL171" s="221">
        <v>21</v>
      </c>
      <c r="AM171" s="205"/>
      <c r="AN171" s="220">
        <f>AN168</f>
        <v>0</v>
      </c>
      <c r="AO171" s="221">
        <f>AO170</f>
        <v>21</v>
      </c>
      <c r="AP171" s="205"/>
      <c r="AQ171" s="220">
        <v>0</v>
      </c>
      <c r="AR171" s="221">
        <v>0</v>
      </c>
      <c r="AS171" s="206"/>
      <c r="AU171" s="204"/>
      <c r="AV171" s="220">
        <v>46.5</v>
      </c>
      <c r="AW171" s="221">
        <v>21</v>
      </c>
      <c r="AX171" s="205"/>
      <c r="AY171" s="220">
        <f>AY168</f>
        <v>46.5</v>
      </c>
      <c r="AZ171" s="221">
        <f>AZ170</f>
        <v>21</v>
      </c>
      <c r="BA171" s="205"/>
      <c r="BB171" s="220">
        <v>0</v>
      </c>
      <c r="BC171" s="221">
        <v>0</v>
      </c>
      <c r="BD171" s="206"/>
    </row>
    <row r="172" spans="5:61" ht="15.75" thickBot="1" x14ac:dyDescent="0.3">
      <c r="E172" s="335"/>
      <c r="F172" s="88" t="str">
        <f>IF(G5=FALSE,"NA",IF(G98&lt;7,"NA", "Beam 7 (ft) ="))</f>
        <v>Beam 7 (ft) =</v>
      </c>
      <c r="G172" s="70">
        <v>122.151</v>
      </c>
      <c r="H172" t="str">
        <v>Complex Geometry</v>
      </c>
      <c r="AJ172" s="204"/>
      <c r="AK172" s="222">
        <v>0</v>
      </c>
      <c r="AL172" s="224">
        <v>20</v>
      </c>
      <c r="AM172" s="205"/>
      <c r="AN172" s="222">
        <f>AN171</f>
        <v>0</v>
      </c>
      <c r="AO172" s="224">
        <f>AO168</f>
        <v>20</v>
      </c>
      <c r="AP172" s="205"/>
      <c r="AQ172" s="222">
        <v>0</v>
      </c>
      <c r="AR172" s="224">
        <v>0</v>
      </c>
      <c r="AS172" s="206"/>
      <c r="AU172" s="204"/>
      <c r="AV172" s="222">
        <v>46.5</v>
      </c>
      <c r="AW172" s="224">
        <v>20</v>
      </c>
      <c r="AX172" s="205"/>
      <c r="AY172" s="222">
        <f>AY171</f>
        <v>46.5</v>
      </c>
      <c r="AZ172" s="224">
        <f>AZ168</f>
        <v>20</v>
      </c>
      <c r="BA172" s="205"/>
      <c r="BB172" s="222">
        <v>0</v>
      </c>
      <c r="BC172" s="224">
        <v>0</v>
      </c>
      <c r="BD172" s="206"/>
    </row>
    <row r="173" spans="5:61" ht="15.75" thickBot="1" x14ac:dyDescent="0.3">
      <c r="E173" s="335"/>
      <c r="F173" s="88" t="str">
        <f>IF(G5=FALSE,"NA",IF(G98&lt;8,"NA", "Beam 8 (ft) ="))</f>
        <v>NA</v>
      </c>
      <c r="G173" s="70" t="str">
        <v/>
      </c>
      <c r="H173" t="str">
        <v>Complex Geometry</v>
      </c>
      <c r="AJ173" s="208"/>
      <c r="AK173" s="209"/>
      <c r="AL173" s="209"/>
      <c r="AM173" s="209"/>
      <c r="AN173" s="209"/>
      <c r="AO173" s="209"/>
      <c r="AP173" s="209"/>
      <c r="AQ173" s="209"/>
      <c r="AR173" s="209"/>
      <c r="AS173" s="210"/>
      <c r="AU173" s="208"/>
      <c r="AV173" s="209"/>
      <c r="AW173" s="209"/>
      <c r="AX173" s="209"/>
      <c r="AY173" s="209"/>
      <c r="AZ173" s="209"/>
      <c r="BA173" s="209"/>
      <c r="BB173" s="209"/>
      <c r="BC173" s="209"/>
      <c r="BD173" s="210"/>
    </row>
    <row r="174" spans="5:61" ht="15.75" thickBot="1" x14ac:dyDescent="0.3">
      <c r="E174" s="335"/>
      <c r="F174" s="88" t="str">
        <f>IF(G5=FALSE,"NA",IF(G98&lt;9,"NA", "Beam 9 (ft) ="))</f>
        <v>NA</v>
      </c>
      <c r="G174" s="70" t="str">
        <v/>
      </c>
      <c r="H174" t="str">
        <v>Complex Geometry</v>
      </c>
    </row>
    <row r="175" spans="5:61" x14ac:dyDescent="0.25">
      <c r="E175" s="335"/>
      <c r="F175" s="88" t="str">
        <f>IF(G5=FALSE,"NA",IF(G98&lt;10,"NA", "Beam 10 (ft) ="))</f>
        <v>NA</v>
      </c>
      <c r="G175" s="70" t="str">
        <v/>
      </c>
      <c r="H175" t="str">
        <v>Complex Geometry</v>
      </c>
      <c r="AJ175" s="211" t="s">
        <v>1999</v>
      </c>
      <c r="AK175" s="202" t="str">
        <f>IF(CapType = "Inverted-Tee","av: " &amp; AK181-AK180 &amp;  " in", "")</f>
        <v>av: 7.5 in</v>
      </c>
      <c r="AL175" s="202">
        <f>IF(CapType = "Inverted-Tee", AVERAGE(AK178:AK183)-6,NA())</f>
        <v>6.75</v>
      </c>
      <c r="AM175" s="202">
        <f>IF(CapType = "Inverted-Tee", MAX(AL178:AL183)+5,NA())</f>
        <v>32.75</v>
      </c>
      <c r="AN175" s="202"/>
      <c r="AO175" s="202"/>
      <c r="AP175" s="202"/>
      <c r="AQ175" s="202"/>
      <c r="AR175" s="202"/>
      <c r="AS175" s="203"/>
      <c r="AU175" s="211" t="s">
        <v>2000</v>
      </c>
      <c r="AV175" s="202"/>
      <c r="AW175" s="202"/>
      <c r="AX175" s="202"/>
      <c r="AY175" s="202"/>
      <c r="AZ175" s="202"/>
      <c r="BA175" s="202"/>
      <c r="BB175" s="202"/>
      <c r="BC175" s="202"/>
      <c r="BD175" s="203"/>
    </row>
    <row r="176" spans="5:61" ht="15.75" thickBot="1" x14ac:dyDescent="0.3">
      <c r="E176" s="335"/>
      <c r="F176" s="88" t="str">
        <f>IF(G5=FALSE,"NA",IF(G98&lt;11,"NA", "Beam 11 (ft) ="))</f>
        <v>NA</v>
      </c>
      <c r="G176" s="70" t="str">
        <v/>
      </c>
      <c r="H176" t="str">
        <v>Complex Geometry</v>
      </c>
      <c r="AJ176" s="204"/>
      <c r="AK176" s="228" t="s">
        <v>833</v>
      </c>
      <c r="AL176" s="205"/>
      <c r="AM176" s="205"/>
      <c r="AN176" s="228" t="str">
        <f>AK176 &amp; "- Inverted Tee"</f>
        <v>av (left)- Inverted Tee</v>
      </c>
      <c r="AO176" s="205"/>
      <c r="AP176" s="205"/>
      <c r="AQ176" s="228" t="str">
        <f>AK176 &amp; " - Rectangular"</f>
        <v>av (left) - Rectangular</v>
      </c>
      <c r="AR176" s="205"/>
      <c r="AS176" s="206"/>
      <c r="AU176" s="204"/>
      <c r="AV176" s="228" t="s">
        <v>834</v>
      </c>
      <c r="AW176" s="205"/>
      <c r="AX176" s="205"/>
      <c r="AY176" s="228" t="str">
        <f>AV176 &amp; "- Inverted Tee"</f>
        <v>af (left)- Inverted Tee</v>
      </c>
      <c r="AZ176" s="205"/>
      <c r="BA176" s="205"/>
      <c r="BB176" s="228" t="str">
        <f>AV176 &amp; " - Rectangular"</f>
        <v>af (left) - Rectangular</v>
      </c>
      <c r="BC176" s="205"/>
      <c r="BD176" s="206"/>
    </row>
    <row r="177" spans="5:62" ht="15.75" thickBot="1" x14ac:dyDescent="0.3">
      <c r="E177" s="335"/>
      <c r="F177" s="88" t="str">
        <f>IF(G5=FALSE,"NA",IF(G98&lt;12,"NA", "Beam 12 (ft) ="))</f>
        <v>NA</v>
      </c>
      <c r="G177" s="70" t="str">
        <v/>
      </c>
      <c r="H177" t="str">
        <v>Complex Geometry</v>
      </c>
      <c r="AJ177" s="204"/>
      <c r="AK177" s="257" t="s">
        <v>817</v>
      </c>
      <c r="AL177" s="258" t="s">
        <v>818</v>
      </c>
      <c r="AM177" s="205"/>
      <c r="AN177" s="257" t="s">
        <v>817</v>
      </c>
      <c r="AO177" s="258" t="s">
        <v>818</v>
      </c>
      <c r="AP177" s="205"/>
      <c r="AQ177" s="257" t="s">
        <v>817</v>
      </c>
      <c r="AR177" s="258" t="s">
        <v>818</v>
      </c>
      <c r="AS177" s="206"/>
      <c r="AU177" s="204"/>
      <c r="AV177" s="257" t="s">
        <v>817</v>
      </c>
      <c r="AW177" s="258" t="s">
        <v>818</v>
      </c>
      <c r="AX177" s="205"/>
      <c r="AY177" s="257" t="s">
        <v>817</v>
      </c>
      <c r="AZ177" s="258" t="s">
        <v>818</v>
      </c>
      <c r="BA177" s="205"/>
      <c r="BB177" s="257" t="s">
        <v>817</v>
      </c>
      <c r="BC177" s="258" t="s">
        <v>818</v>
      </c>
      <c r="BD177" s="206"/>
    </row>
    <row r="178" spans="5:62" ht="15.75" thickTop="1" x14ac:dyDescent="0.25">
      <c r="E178" s="335"/>
      <c r="F178" s="88" t="str">
        <f>IF(G5=FALSE,"NA",IF(G98&lt;13,"NA", "Beam 13 (ft) ="))</f>
        <v>NA</v>
      </c>
      <c r="G178" s="70" t="str">
        <v/>
      </c>
      <c r="H178" t="str">
        <v>Complex Geometry</v>
      </c>
      <c r="AJ178" s="204"/>
      <c r="AK178" s="269" cm="1">
        <f t="array" ref="AK178:AL183">IF(CapType = "Inverted-Tee", AN178:AO183,AQ178:AR183)</f>
        <v>9</v>
      </c>
      <c r="AL178" s="262">
        <v>23.75</v>
      </c>
      <c r="AM178" s="205"/>
      <c r="AN178" s="261">
        <f>InvTeeBotWidth/2-BearingDist</f>
        <v>9</v>
      </c>
      <c r="AO178" s="262">
        <f>CapLedgeDepth+PedestalHt+bkbrgpad+1</f>
        <v>23.75</v>
      </c>
      <c r="AP178" s="205"/>
      <c r="AQ178" s="261">
        <v>0</v>
      </c>
      <c r="AR178" s="262">
        <v>0</v>
      </c>
      <c r="AS178" s="206"/>
      <c r="AU178" s="204"/>
      <c r="AV178" s="266" cm="1">
        <f t="array" ref="AV178:AW183">IF(CapType = "Inverted-Tee", AY178:AZ183,BB178:BC183)</f>
        <v>9</v>
      </c>
      <c r="AW178" s="263">
        <v>28.75</v>
      </c>
      <c r="AX178" s="205"/>
      <c r="AY178" s="266">
        <f>InvTeeBotWidth/2-BearingDist</f>
        <v>9</v>
      </c>
      <c r="AZ178" s="263">
        <f>AO179+1</f>
        <v>28.75</v>
      </c>
      <c r="BA178" s="205"/>
      <c r="BB178" s="266">
        <v>0</v>
      </c>
      <c r="BC178" s="263">
        <v>0</v>
      </c>
      <c r="BD178" s="206"/>
    </row>
    <row r="179" spans="5:62" x14ac:dyDescent="0.25">
      <c r="E179" s="335"/>
      <c r="F179" s="88" t="str">
        <f>IF(G5=FALSE,"NA",IF(G98&lt;14,"NA", "Beam 14 (ft) ="))</f>
        <v>NA</v>
      </c>
      <c r="G179" s="70" t="str">
        <v/>
      </c>
      <c r="H179" t="str">
        <v>Complex Geometry</v>
      </c>
      <c r="AJ179" s="204"/>
      <c r="AK179" s="197">
        <v>9</v>
      </c>
      <c r="AL179" s="221">
        <v>27.75</v>
      </c>
      <c r="AM179" s="205"/>
      <c r="AN179" s="220">
        <f>AN178</f>
        <v>9</v>
      </c>
      <c r="AO179" s="221">
        <f>AO178+4</f>
        <v>27.75</v>
      </c>
      <c r="AP179" s="205"/>
      <c r="AQ179" s="220">
        <v>0</v>
      </c>
      <c r="AR179" s="221">
        <v>0</v>
      </c>
      <c r="AS179" s="206"/>
      <c r="AU179" s="204"/>
      <c r="AV179" s="267">
        <v>9</v>
      </c>
      <c r="AW179" s="264">
        <v>32.75</v>
      </c>
      <c r="AX179" s="205"/>
      <c r="AY179" s="267">
        <f>AY178</f>
        <v>9</v>
      </c>
      <c r="AZ179" s="264">
        <f>AZ178+4</f>
        <v>32.75</v>
      </c>
      <c r="BA179" s="205"/>
      <c r="BB179" s="267">
        <v>0</v>
      </c>
      <c r="BC179" s="264">
        <v>0</v>
      </c>
      <c r="BD179" s="206"/>
    </row>
    <row r="180" spans="5:62" x14ac:dyDescent="0.25">
      <c r="E180" s="335"/>
      <c r="F180" s="88" t="str">
        <f>IF(G5=FALSE,"NA",IF(G98&lt;15,"NA", "Beam 15 (ft) ="))</f>
        <v>NA</v>
      </c>
      <c r="G180" s="70" t="str">
        <v/>
      </c>
      <c r="H180" t="str">
        <v>Complex Geometry</v>
      </c>
      <c r="AJ180" s="204"/>
      <c r="AK180" s="197">
        <v>9</v>
      </c>
      <c r="AL180" s="221">
        <v>25.75</v>
      </c>
      <c r="AM180" s="205"/>
      <c r="AN180" s="220">
        <f>AN178</f>
        <v>9</v>
      </c>
      <c r="AO180" s="221">
        <f>AO179-2</f>
        <v>25.75</v>
      </c>
      <c r="AP180" s="205"/>
      <c r="AQ180" s="220">
        <v>0</v>
      </c>
      <c r="AR180" s="221">
        <v>0</v>
      </c>
      <c r="AS180" s="206"/>
      <c r="AU180" s="204"/>
      <c r="AV180" s="267">
        <v>9</v>
      </c>
      <c r="AW180" s="264">
        <v>30.75</v>
      </c>
      <c r="AX180" s="205"/>
      <c r="AY180" s="267">
        <f>AY178</f>
        <v>9</v>
      </c>
      <c r="AZ180" s="264">
        <f>AZ179-2</f>
        <v>30.75</v>
      </c>
      <c r="BA180" s="205"/>
      <c r="BB180" s="267">
        <v>0</v>
      </c>
      <c r="BC180" s="264">
        <v>0</v>
      </c>
      <c r="BD180" s="206"/>
    </row>
    <row r="181" spans="5:62" x14ac:dyDescent="0.25">
      <c r="E181" s="335"/>
      <c r="F181" s="88" t="str">
        <f>IF(G5=FALSE,"NA",IF(G98&lt;16,"NA", "Beam 16 (ft) ="))</f>
        <v>NA</v>
      </c>
      <c r="G181" s="70" t="str">
        <v/>
      </c>
      <c r="H181" t="str">
        <v>Complex Geometry</v>
      </c>
      <c r="AJ181" s="204"/>
      <c r="AK181" s="197">
        <v>16.5</v>
      </c>
      <c r="AL181" s="221">
        <v>25.75</v>
      </c>
      <c r="AM181" s="205"/>
      <c r="AN181" s="220">
        <f>InvTeeBotWidth/2-capstemWidth/2</f>
        <v>16.5</v>
      </c>
      <c r="AO181" s="221">
        <f>AO179-2</f>
        <v>25.75</v>
      </c>
      <c r="AP181" s="205"/>
      <c r="AQ181" s="220">
        <v>0</v>
      </c>
      <c r="AR181" s="221">
        <v>0</v>
      </c>
      <c r="AS181" s="206"/>
      <c r="AU181" s="204"/>
      <c r="AV181" s="267">
        <v>16.5</v>
      </c>
      <c r="AW181" s="264">
        <v>30.75</v>
      </c>
      <c r="AX181" s="205"/>
      <c r="AY181" s="267">
        <f>InvTeeBotWidth/2-capstemWidth/2</f>
        <v>16.5</v>
      </c>
      <c r="AZ181" s="264">
        <f>AZ179-2</f>
        <v>30.75</v>
      </c>
      <c r="BA181" s="205"/>
      <c r="BB181" s="267">
        <v>0</v>
      </c>
      <c r="BC181" s="264">
        <v>0</v>
      </c>
      <c r="BD181" s="206"/>
    </row>
    <row r="182" spans="5:62" x14ac:dyDescent="0.25">
      <c r="E182" s="335"/>
      <c r="F182" s="88" t="str">
        <f>IF(G5=FALSE,"NA",IF(G98&lt;17,"NA", "Beam 17 (ft) ="))</f>
        <v>NA</v>
      </c>
      <c r="G182" s="70" t="str">
        <v/>
      </c>
      <c r="H182" t="str">
        <v>Complex Geometry</v>
      </c>
      <c r="AJ182" s="204"/>
      <c r="AK182" s="197">
        <v>16.5</v>
      </c>
      <c r="AL182" s="221">
        <v>27.75</v>
      </c>
      <c r="AM182" s="205"/>
      <c r="AN182" s="220">
        <f>AN181</f>
        <v>16.5</v>
      </c>
      <c r="AO182" s="221">
        <f>AO178+4</f>
        <v>27.75</v>
      </c>
      <c r="AP182" s="205"/>
      <c r="AQ182" s="220">
        <v>0</v>
      </c>
      <c r="AR182" s="221">
        <v>0</v>
      </c>
      <c r="AS182" s="206"/>
      <c r="AU182" s="204"/>
      <c r="AV182" s="267">
        <v>16.5</v>
      </c>
      <c r="AW182" s="264">
        <v>32.75</v>
      </c>
      <c r="AX182" s="205"/>
      <c r="AY182" s="267">
        <f>AY181</f>
        <v>16.5</v>
      </c>
      <c r="AZ182" s="264">
        <f>AZ178+4</f>
        <v>32.75</v>
      </c>
      <c r="BA182" s="205"/>
      <c r="BB182" s="267">
        <v>0</v>
      </c>
      <c r="BC182" s="264">
        <v>0</v>
      </c>
      <c r="BD182" s="206"/>
    </row>
    <row r="183" spans="5:62" ht="15.75" thickBot="1" x14ac:dyDescent="0.3">
      <c r="E183" s="335"/>
      <c r="F183" s="88" t="str">
        <f>IF(G5=FALSE,"NA",IF(G98&lt;18,"NA", "Beam 18 (ft) ="))</f>
        <v>NA</v>
      </c>
      <c r="G183" s="70" t="str">
        <v/>
      </c>
      <c r="H183" t="str">
        <v>Complex Geometry</v>
      </c>
      <c r="AJ183" s="204"/>
      <c r="AK183" s="199">
        <v>16.5</v>
      </c>
      <c r="AL183" s="224">
        <v>23.75</v>
      </c>
      <c r="AM183" s="205"/>
      <c r="AN183" s="199">
        <f>AN181</f>
        <v>16.5</v>
      </c>
      <c r="AO183" s="224">
        <f>AO178</f>
        <v>23.75</v>
      </c>
      <c r="AP183" s="205"/>
      <c r="AQ183" s="199">
        <v>0</v>
      </c>
      <c r="AR183" s="224">
        <v>0</v>
      </c>
      <c r="AS183" s="206"/>
      <c r="AU183" s="204"/>
      <c r="AV183" s="265">
        <v>16.5</v>
      </c>
      <c r="AW183" s="268">
        <v>28.75</v>
      </c>
      <c r="AX183" s="205"/>
      <c r="AY183" s="265">
        <f>AY181</f>
        <v>16.5</v>
      </c>
      <c r="AZ183" s="268">
        <f>AZ178</f>
        <v>28.75</v>
      </c>
      <c r="BA183" s="205"/>
      <c r="BB183" s="265">
        <v>0</v>
      </c>
      <c r="BC183" s="268">
        <v>0</v>
      </c>
      <c r="BD183" s="206"/>
    </row>
    <row r="184" spans="5:62" ht="15.75" thickBot="1" x14ac:dyDescent="0.3">
      <c r="E184" s="335"/>
      <c r="F184" s="88" t="str">
        <f>IF(G5=FALSE,"NA",IF(G98&lt;19,"NA", "Beam 19 (ft) ="))</f>
        <v>NA</v>
      </c>
      <c r="G184" s="70" t="str">
        <v/>
      </c>
      <c r="H184" t="str">
        <v>Complex Geometry</v>
      </c>
      <c r="AJ184" s="208"/>
      <c r="AK184" s="209"/>
      <c r="AL184" s="209"/>
      <c r="AM184" s="209"/>
      <c r="AN184" s="209"/>
      <c r="AO184" s="209"/>
      <c r="AP184" s="209"/>
      <c r="AQ184" s="209"/>
      <c r="AR184" s="209"/>
      <c r="AS184" s="210"/>
      <c r="AU184" s="208"/>
      <c r="AV184" s="209"/>
      <c r="AW184" s="209"/>
      <c r="AX184" s="209"/>
      <c r="AY184" s="209"/>
      <c r="AZ184" s="209"/>
      <c r="BA184" s="209"/>
      <c r="BB184" s="209"/>
      <c r="BC184" s="209"/>
      <c r="BD184" s="210"/>
    </row>
    <row r="185" spans="5:62" ht="15.75" thickBot="1" x14ac:dyDescent="0.3">
      <c r="E185" s="336"/>
      <c r="F185" s="89" t="str">
        <f>IF(G5=FALSE,"NA",IF(G98&lt;20,"NA", "Beam 20 (ft) ="))</f>
        <v>NA</v>
      </c>
      <c r="G185" s="70" t="str">
        <v/>
      </c>
      <c r="H185" t="str">
        <v>Complex Geometry</v>
      </c>
    </row>
    <row r="186" spans="5:62" x14ac:dyDescent="0.25">
      <c r="E186" s="334" t="s">
        <v>210</v>
      </c>
      <c r="F186" s="69" t="str">
        <f>IF(G5=FALSE, "NA", "Distance from PGL to Beam #1 (ft) =")</f>
        <v>Distance from PGL to Beam #1 (ft) =</v>
      </c>
      <c r="G186" s="70">
        <v>-4</v>
      </c>
      <c r="H186" t="str">
        <v>Complex Geometry</v>
      </c>
      <c r="AJ186" s="211" t="s">
        <v>2001</v>
      </c>
      <c r="AK186" s="202" t="str">
        <f>IF(CapType="Inverted-Tee", "bw: " &amp; (AK192-AK191) &amp; " in", IF(CapType = "Rectangular", "b: " &amp; (AK192-AK191) &amp; " in", "bf: " &amp; AT192-AT191&amp; " in"))</f>
        <v>bw: 30 in</v>
      </c>
      <c r="AL186" s="202">
        <f>AVERAGE(AK189:AK194)</f>
        <v>31.5</v>
      </c>
      <c r="AM186" s="202">
        <f>AVERAGE(AL189:AL194)</f>
        <v>80</v>
      </c>
      <c r="AN186" s="202"/>
      <c r="AO186" s="202"/>
      <c r="AP186" s="202"/>
      <c r="AQ186" s="202"/>
      <c r="AR186" s="202"/>
      <c r="AS186" s="202"/>
      <c r="AT186" s="202"/>
      <c r="AU186" s="202"/>
      <c r="AV186" s="203"/>
      <c r="AX186" s="211" t="s">
        <v>2002</v>
      </c>
      <c r="AY186" s="202" t="str">
        <f>IF(OR(CapType="Inverted-Tee",CapType = "Tee"),"bl: "&amp;(InvTeeBotWidth-capstemWidth)/2 &amp;" in","")</f>
        <v>bl: 16.5 in</v>
      </c>
      <c r="AZ186" s="202">
        <f>IF(CapType &lt;&gt; "Rectangular", AVERAGE(AY189:AY194)+5,NA())</f>
        <v>59.75</v>
      </c>
      <c r="BA186" s="202">
        <f>IF(CapType &lt;&gt; "Rectangular", IF(CapType = "Tee",MIN(AZ189:AZ194)-5,MAX(AZ189:AZ194)+5),NA())</f>
        <v>32.75</v>
      </c>
      <c r="BB186" s="202"/>
      <c r="BC186" s="202"/>
      <c r="BD186" s="202"/>
      <c r="BE186" s="202"/>
      <c r="BF186" s="202"/>
      <c r="BG186" s="202"/>
      <c r="BH186" s="202"/>
      <c r="BI186" s="202"/>
      <c r="BJ186" s="203"/>
    </row>
    <row r="187" spans="5:62" ht="15.75" thickBot="1" x14ac:dyDescent="0.3">
      <c r="E187" s="335"/>
      <c r="F187" s="88" t="str">
        <f>IF(G5=FALSE, "NA", "Distance to Beam #2 (ft) =")</f>
        <v>Distance to Beam #2 (ft) =</v>
      </c>
      <c r="G187" s="75">
        <v>8.5</v>
      </c>
      <c r="H187" t="str">
        <v>Complex Geometry</v>
      </c>
      <c r="AJ187" s="204"/>
      <c r="AK187" s="228" t="s">
        <v>835</v>
      </c>
      <c r="AL187" s="205"/>
      <c r="AM187" s="205"/>
      <c r="AN187" s="228" t="str">
        <f>AK187 &amp; "- Inverted Tee"</f>
        <v>bw - Inverted Tee</v>
      </c>
      <c r="AO187" s="205"/>
      <c r="AP187" s="205"/>
      <c r="AQ187" s="228" t="str">
        <f>AK187 &amp; " - Rectangular"</f>
        <v>bw  - Rectangular</v>
      </c>
      <c r="AR187" s="205"/>
      <c r="AS187" s="205"/>
      <c r="AT187" s="270" t="s">
        <v>840</v>
      </c>
      <c r="AU187" s="270"/>
      <c r="AV187" s="206"/>
      <c r="AX187" s="204"/>
      <c r="AY187" s="228" t="s">
        <v>836</v>
      </c>
      <c r="AZ187" s="205"/>
      <c r="BA187" s="205"/>
      <c r="BB187" s="228" t="str">
        <f>AY187 &amp; "- Inverted Tee"</f>
        <v>bl- Inverted Tee</v>
      </c>
      <c r="BC187" s="205"/>
      <c r="BD187" s="205"/>
      <c r="BE187" s="228" t="str">
        <f>AY187 &amp; " - Rectangular"</f>
        <v>bl - Rectangular</v>
      </c>
      <c r="BF187" s="205"/>
      <c r="BG187" s="205"/>
      <c r="BH187" s="228" t="str">
        <f>AY187 &amp; " - Tee"</f>
        <v>bl - Tee</v>
      </c>
      <c r="BI187" s="228"/>
      <c r="BJ187" s="206"/>
    </row>
    <row r="188" spans="5:62" ht="15.75" thickBot="1" x14ac:dyDescent="0.3">
      <c r="E188" s="335"/>
      <c r="F188" s="88" t="str">
        <f>IF(G5=FALSE,"NA",IF(G119&lt;3,"NA", "Distance to Beam #3 (ft) ="))</f>
        <v>Distance to Beam #3 (ft) =</v>
      </c>
      <c r="G188" s="75">
        <v>8.5</v>
      </c>
      <c r="H188" t="str">
        <v>Complex Geometry</v>
      </c>
      <c r="AJ188" s="204"/>
      <c r="AK188" s="257" t="s">
        <v>817</v>
      </c>
      <c r="AL188" s="258" t="s">
        <v>818</v>
      </c>
      <c r="AM188" s="205"/>
      <c r="AN188" s="257" t="s">
        <v>817</v>
      </c>
      <c r="AO188" s="258" t="s">
        <v>818</v>
      </c>
      <c r="AP188" s="205"/>
      <c r="AQ188" s="257" t="s">
        <v>817</v>
      </c>
      <c r="AR188" s="258" t="s">
        <v>818</v>
      </c>
      <c r="AS188" s="205"/>
      <c r="AT188" s="257" t="s">
        <v>817</v>
      </c>
      <c r="AU188" s="258" t="s">
        <v>818</v>
      </c>
      <c r="AV188" s="206"/>
      <c r="AX188" s="204"/>
      <c r="AY188" s="257" t="s">
        <v>817</v>
      </c>
      <c r="AZ188" s="258" t="s">
        <v>818</v>
      </c>
      <c r="BA188" s="205"/>
      <c r="BB188" s="257" t="s">
        <v>817</v>
      </c>
      <c r="BC188" s="258" t="s">
        <v>818</v>
      </c>
      <c r="BD188" s="205"/>
      <c r="BE188" s="257" t="s">
        <v>817</v>
      </c>
      <c r="BF188" s="258" t="s">
        <v>818</v>
      </c>
      <c r="BG188" s="205"/>
      <c r="BH188" s="257" t="s">
        <v>817</v>
      </c>
      <c r="BI188" s="258" t="s">
        <v>818</v>
      </c>
      <c r="BJ188" s="206"/>
    </row>
    <row r="189" spans="5:62" ht="15.75" thickTop="1" x14ac:dyDescent="0.25">
      <c r="E189" s="335"/>
      <c r="F189" s="88" t="str">
        <f>IF(G5=FALSE,"NA",IF(G119&lt;4,"NA", "Distance to Beam #4 (ft) ="))</f>
        <v>Distance to Beam #4 (ft) =</v>
      </c>
      <c r="G189" s="75">
        <v>8.5</v>
      </c>
      <c r="H189" t="str">
        <v>Complex Geometry</v>
      </c>
      <c r="AJ189" s="204"/>
      <c r="AK189" s="269" cm="1">
        <f t="array" ref="AK189:AL194">IF(CapType = "Inverted-Tee", AN189:AO194,IF(CapType = "Rectangular", AQ189:AR194, AT189:AU194))</f>
        <v>16.5</v>
      </c>
      <c r="AL189" s="262">
        <v>78</v>
      </c>
      <c r="AM189" s="205"/>
      <c r="AN189" s="261">
        <f>InvTeeBotWidth/2-capstemWidth/2</f>
        <v>16.5</v>
      </c>
      <c r="AO189" s="262">
        <f>AO148+1</f>
        <v>78</v>
      </c>
      <c r="AP189" s="205"/>
      <c r="AQ189" s="261">
        <v>0</v>
      </c>
      <c r="AR189" s="262">
        <f>AR146+1</f>
        <v>78</v>
      </c>
      <c r="AS189" s="205"/>
      <c r="AT189" s="261">
        <v>0</v>
      </c>
      <c r="AU189" s="262">
        <f>capheight</f>
        <v>77</v>
      </c>
      <c r="AV189" s="206"/>
      <c r="AX189" s="204"/>
      <c r="AY189" s="269" cm="1">
        <f t="array" ref="AY189:AZ194">IF(CapType = "Inverted-Tee", BB189:BC194,IF(CapType = "Rectangular", BE189:BF194, BH189:BI194))</f>
        <v>46.5</v>
      </c>
      <c r="AZ189" s="262">
        <v>23.75</v>
      </c>
      <c r="BA189" s="205"/>
      <c r="BB189" s="261">
        <f>InvTeeBotWidth/2+capstemWidth/2</f>
        <v>46.5</v>
      </c>
      <c r="BC189" s="262">
        <f>AZ160+1</f>
        <v>23.75</v>
      </c>
      <c r="BD189" s="205"/>
      <c r="BE189" s="261">
        <v>0</v>
      </c>
      <c r="BF189" s="262">
        <v>0</v>
      </c>
      <c r="BG189" s="205"/>
      <c r="BH189" s="261">
        <f>InvTeeBotWidth/2+capstemWidth/2</f>
        <v>46.5</v>
      </c>
      <c r="BI189" s="262">
        <f>AU146</f>
        <v>57</v>
      </c>
      <c r="BJ189" s="206"/>
    </row>
    <row r="190" spans="5:62" x14ac:dyDescent="0.25">
      <c r="E190" s="335"/>
      <c r="F190" s="88" t="str">
        <f>IF(G5=FALSE,"NA",IF(G119&lt;5,"NA", "Distance to Beam #5 (ft) ="))</f>
        <v>Distance to Beam #5 (ft) =</v>
      </c>
      <c r="G190" s="75">
        <v>8.5</v>
      </c>
      <c r="H190" t="str">
        <v>Complex Geometry</v>
      </c>
      <c r="AJ190" s="204"/>
      <c r="AK190" s="197">
        <v>16.5</v>
      </c>
      <c r="AL190" s="221">
        <v>82</v>
      </c>
      <c r="AM190" s="205"/>
      <c r="AN190" s="220">
        <f>AN189</f>
        <v>16.5</v>
      </c>
      <c r="AO190" s="221">
        <f>AO189+4</f>
        <v>82</v>
      </c>
      <c r="AP190" s="205"/>
      <c r="AQ190" s="220">
        <v>0</v>
      </c>
      <c r="AR190" s="221">
        <f>AR189+4</f>
        <v>82</v>
      </c>
      <c r="AS190" s="205"/>
      <c r="AT190" s="220">
        <f>AT189</f>
        <v>0</v>
      </c>
      <c r="AU190" s="221">
        <f>AU189+4</f>
        <v>81</v>
      </c>
      <c r="AV190" s="206"/>
      <c r="AX190" s="204"/>
      <c r="AY190" s="197">
        <v>46.5</v>
      </c>
      <c r="AZ190" s="221">
        <v>27.75</v>
      </c>
      <c r="BA190" s="205"/>
      <c r="BB190" s="220">
        <f>BB189</f>
        <v>46.5</v>
      </c>
      <c r="BC190" s="221">
        <f>BC189+4</f>
        <v>27.75</v>
      </c>
      <c r="BD190" s="205"/>
      <c r="BE190" s="220">
        <v>0</v>
      </c>
      <c r="BF190" s="221">
        <v>0</v>
      </c>
      <c r="BG190" s="205"/>
      <c r="BH190" s="220">
        <f>BH189</f>
        <v>46.5</v>
      </c>
      <c r="BI190" s="221">
        <f>BI189-4</f>
        <v>53</v>
      </c>
      <c r="BJ190" s="206"/>
    </row>
    <row r="191" spans="5:62" x14ac:dyDescent="0.25">
      <c r="E191" s="335"/>
      <c r="F191" s="88" t="str">
        <f>IF(G5=FALSE,"NA",IF(G119&lt;6,"NA", "Distance to Beam #6 (ft) ="))</f>
        <v>Distance to Beam #6 (ft) =</v>
      </c>
      <c r="G191" s="75">
        <v>3.5139999999999998</v>
      </c>
      <c r="H191" t="str">
        <v>Complex Geometry</v>
      </c>
      <c r="AJ191" s="204"/>
      <c r="AK191" s="197">
        <v>16.5</v>
      </c>
      <c r="AL191" s="221">
        <v>80</v>
      </c>
      <c r="AM191" s="205"/>
      <c r="AN191" s="220">
        <f>AN189</f>
        <v>16.5</v>
      </c>
      <c r="AO191" s="221">
        <f>AO190-2</f>
        <v>80</v>
      </c>
      <c r="AP191" s="205"/>
      <c r="AQ191" s="220">
        <v>0</v>
      </c>
      <c r="AR191" s="221">
        <f>AR190-2</f>
        <v>80</v>
      </c>
      <c r="AS191" s="205"/>
      <c r="AT191" s="220">
        <f>AT189</f>
        <v>0</v>
      </c>
      <c r="AU191" s="221">
        <f>AU190-2</f>
        <v>79</v>
      </c>
      <c r="AV191" s="206"/>
      <c r="AX191" s="204"/>
      <c r="AY191" s="197">
        <v>46.5</v>
      </c>
      <c r="AZ191" s="221">
        <v>25.75</v>
      </c>
      <c r="BA191" s="205"/>
      <c r="BB191" s="220">
        <f>BB189</f>
        <v>46.5</v>
      </c>
      <c r="BC191" s="221">
        <f>BC190-2</f>
        <v>25.75</v>
      </c>
      <c r="BD191" s="205"/>
      <c r="BE191" s="220">
        <v>0</v>
      </c>
      <c r="BF191" s="221">
        <v>0</v>
      </c>
      <c r="BG191" s="205"/>
      <c r="BH191" s="220">
        <f>BH189</f>
        <v>46.5</v>
      </c>
      <c r="BI191" s="221">
        <f>BI190+2</f>
        <v>55</v>
      </c>
      <c r="BJ191" s="206"/>
    </row>
    <row r="192" spans="5:62" x14ac:dyDescent="0.25">
      <c r="E192" s="335"/>
      <c r="F192" s="88" t="str">
        <f>IF(G5=FALSE,"NA",IF(G119&lt;7,"NA", "Distance to Beam #7 (ft) ="))</f>
        <v>NA</v>
      </c>
      <c r="G192" s="70" t="str">
        <v/>
      </c>
      <c r="H192" t="str">
        <v>Complex Geometry</v>
      </c>
      <c r="AJ192" s="204"/>
      <c r="AK192" s="197">
        <v>46.5</v>
      </c>
      <c r="AL192" s="221">
        <v>80</v>
      </c>
      <c r="AM192" s="205"/>
      <c r="AN192" s="220">
        <f>AN189+capstemWidth</f>
        <v>46.5</v>
      </c>
      <c r="AO192" s="221">
        <f>AO190-2</f>
        <v>80</v>
      </c>
      <c r="AP192" s="205"/>
      <c r="AQ192" s="220">
        <f>AQ145</f>
        <v>30</v>
      </c>
      <c r="AR192" s="221">
        <f>AR190-2</f>
        <v>80</v>
      </c>
      <c r="AS192" s="205"/>
      <c r="AT192" s="220">
        <f>InvTeeBotWidth</f>
        <v>63</v>
      </c>
      <c r="AU192" s="221">
        <f>AU190-2</f>
        <v>79</v>
      </c>
      <c r="AV192" s="206"/>
      <c r="AX192" s="204"/>
      <c r="AY192" s="197">
        <v>63</v>
      </c>
      <c r="AZ192" s="221">
        <v>25.75</v>
      </c>
      <c r="BA192" s="205"/>
      <c r="BB192" s="220">
        <f>BB189+(InvTeeBotWidth-capstemWidth)/2</f>
        <v>63</v>
      </c>
      <c r="BC192" s="221">
        <f>BC190-2</f>
        <v>25.75</v>
      </c>
      <c r="BD192" s="205"/>
      <c r="BE192" s="220">
        <v>0</v>
      </c>
      <c r="BF192" s="221">
        <v>0</v>
      </c>
      <c r="BG192" s="205"/>
      <c r="BH192" s="220">
        <f>BH189+(InvTeeBotWidth-capstemWidth)/2</f>
        <v>63</v>
      </c>
      <c r="BI192" s="221">
        <f>BI190+2</f>
        <v>55</v>
      </c>
      <c r="BJ192" s="206"/>
    </row>
    <row r="193" spans="5:62" x14ac:dyDescent="0.25">
      <c r="E193" s="335"/>
      <c r="F193" s="88" t="str">
        <f>IF(G5=FALSE,"NA",IF(G119&lt;8,"NA", "Distance to Beam #8 (ft) ="))</f>
        <v>NA</v>
      </c>
      <c r="G193" s="70" t="str">
        <v/>
      </c>
      <c r="H193" t="str">
        <v>Complex Geometry</v>
      </c>
      <c r="AJ193" s="204"/>
      <c r="AK193" s="197">
        <v>46.5</v>
      </c>
      <c r="AL193" s="221">
        <v>82</v>
      </c>
      <c r="AM193" s="205"/>
      <c r="AN193" s="220">
        <f>AN192</f>
        <v>46.5</v>
      </c>
      <c r="AO193" s="221">
        <f>AO189+4</f>
        <v>82</v>
      </c>
      <c r="AP193" s="205"/>
      <c r="AQ193" s="220">
        <f>AQ192</f>
        <v>30</v>
      </c>
      <c r="AR193" s="221">
        <f>AR189+4</f>
        <v>82</v>
      </c>
      <c r="AS193" s="205"/>
      <c r="AT193" s="220">
        <f>AT192</f>
        <v>63</v>
      </c>
      <c r="AU193" s="221">
        <f>AU189+4</f>
        <v>81</v>
      </c>
      <c r="AV193" s="206"/>
      <c r="AX193" s="204"/>
      <c r="AY193" s="197">
        <v>63</v>
      </c>
      <c r="AZ193" s="221">
        <v>27.75</v>
      </c>
      <c r="BA193" s="205"/>
      <c r="BB193" s="220">
        <f>BB192</f>
        <v>63</v>
      </c>
      <c r="BC193" s="221">
        <f>BC189+4</f>
        <v>27.75</v>
      </c>
      <c r="BD193" s="205"/>
      <c r="BE193" s="220">
        <v>0</v>
      </c>
      <c r="BF193" s="221">
        <v>0</v>
      </c>
      <c r="BG193" s="205"/>
      <c r="BH193" s="220">
        <f>BH192</f>
        <v>63</v>
      </c>
      <c r="BI193" s="221">
        <f>BI189-4</f>
        <v>53</v>
      </c>
      <c r="BJ193" s="206"/>
    </row>
    <row r="194" spans="5:62" ht="15.75" thickBot="1" x14ac:dyDescent="0.3">
      <c r="E194" s="335"/>
      <c r="F194" s="88" t="str">
        <f>IF(G5=FALSE,"NA",IF(G119&lt;9,"NA", "Distance to Beam #9 (ft) ="))</f>
        <v>NA</v>
      </c>
      <c r="G194" s="70" t="str">
        <v/>
      </c>
      <c r="H194" t="str">
        <v>Complex Geometry</v>
      </c>
      <c r="AJ194" s="204"/>
      <c r="AK194" s="199">
        <v>46.5</v>
      </c>
      <c r="AL194" s="224">
        <v>78</v>
      </c>
      <c r="AM194" s="205"/>
      <c r="AN194" s="199">
        <f>AN192</f>
        <v>46.5</v>
      </c>
      <c r="AO194" s="224">
        <f>AO189</f>
        <v>78</v>
      </c>
      <c r="AP194" s="205"/>
      <c r="AQ194" s="199">
        <f>AQ192</f>
        <v>30</v>
      </c>
      <c r="AR194" s="224">
        <f>AR189</f>
        <v>78</v>
      </c>
      <c r="AS194" s="205"/>
      <c r="AT194" s="199">
        <f>AT192</f>
        <v>63</v>
      </c>
      <c r="AU194" s="224">
        <f>AU189</f>
        <v>77</v>
      </c>
      <c r="AV194" s="206"/>
      <c r="AX194" s="204"/>
      <c r="AY194" s="199">
        <v>63</v>
      </c>
      <c r="AZ194" s="224">
        <v>23.75</v>
      </c>
      <c r="BA194" s="205"/>
      <c r="BB194" s="199">
        <f>BB192</f>
        <v>63</v>
      </c>
      <c r="BC194" s="224">
        <f>BC189</f>
        <v>23.75</v>
      </c>
      <c r="BD194" s="205"/>
      <c r="BE194" s="199">
        <v>0</v>
      </c>
      <c r="BF194" s="224">
        <v>0</v>
      </c>
      <c r="BG194" s="205"/>
      <c r="BH194" s="199">
        <f>BH192</f>
        <v>63</v>
      </c>
      <c r="BI194" s="224">
        <f>BI189</f>
        <v>57</v>
      </c>
      <c r="BJ194" s="206"/>
    </row>
    <row r="195" spans="5:62" ht="15.75" thickBot="1" x14ac:dyDescent="0.3">
      <c r="E195" s="335"/>
      <c r="F195" s="88" t="str">
        <f>IF(G5=FALSE,"NA",IF(G119&lt;10,"NA", "Distance to Beam #10 (ft) ="))</f>
        <v>NA</v>
      </c>
      <c r="G195" s="70" t="str">
        <v/>
      </c>
      <c r="H195" t="str">
        <v>Complex Geometry</v>
      </c>
      <c r="AJ195" s="208"/>
      <c r="AK195" s="209"/>
      <c r="AL195" s="209"/>
      <c r="AM195" s="209"/>
      <c r="AN195" s="209"/>
      <c r="AO195" s="209"/>
      <c r="AP195" s="209"/>
      <c r="AQ195" s="209"/>
      <c r="AR195" s="209"/>
      <c r="AS195" s="209"/>
      <c r="AT195" s="209"/>
      <c r="AU195" s="209"/>
      <c r="AV195" s="210"/>
      <c r="AX195" s="208"/>
      <c r="AY195" s="209"/>
      <c r="AZ195" s="209"/>
      <c r="BA195" s="209"/>
      <c r="BB195" s="209"/>
      <c r="BC195" s="209"/>
      <c r="BD195" s="209"/>
      <c r="BE195" s="209"/>
      <c r="BF195" s="209"/>
      <c r="BG195" s="209"/>
      <c r="BH195" s="209"/>
      <c r="BI195" s="209"/>
      <c r="BJ195" s="210"/>
    </row>
    <row r="196" spans="5:62" ht="15.75" thickBot="1" x14ac:dyDescent="0.3">
      <c r="E196" s="335"/>
      <c r="F196" s="88" t="str">
        <f>IF(G5=FALSE,"NA",IF(G119&lt;11,"NA", "Distance to Beam #11 (ft) ="))</f>
        <v>NA</v>
      </c>
      <c r="G196" s="70" t="str">
        <v/>
      </c>
      <c r="H196" t="str">
        <v>Complex Geometry</v>
      </c>
    </row>
    <row r="197" spans="5:62" x14ac:dyDescent="0.25">
      <c r="E197" s="335"/>
      <c r="F197" s="88" t="str">
        <f>IF(G5=FALSE,"NA",IF(G119&lt;12,"NA", "Distance to Beam #12 (ft) ="))</f>
        <v>NA</v>
      </c>
      <c r="G197" s="70" t="str">
        <v/>
      </c>
      <c r="H197" t="str">
        <v>Complex Geometry</v>
      </c>
      <c r="AJ197" s="211" t="s">
        <v>2003</v>
      </c>
      <c r="AK197" s="202" t="str">
        <f>IF(CapType="Inverted-Tee", "bf: " &amp; (AK203-AK202) &amp; " in", IF(CapType = "Rectangular", "", "bw: " &amp; AT203-AT202 &amp; " in"))</f>
        <v>bf: 63 in</v>
      </c>
      <c r="AL197" s="202">
        <f>IF(CapType &lt;&gt; "Rectangular", AVERAGE(AK200:AK205),NA())</f>
        <v>31.5</v>
      </c>
      <c r="AM197" s="202">
        <f>IF(CapType &lt;&gt; "Rectangular", AVERAGE(AL200:AL205),NA())</f>
        <v>-3</v>
      </c>
      <c r="AN197" s="202"/>
      <c r="AO197" s="202"/>
      <c r="AP197" s="202"/>
      <c r="AQ197" s="202"/>
      <c r="AR197" s="202"/>
      <c r="AS197" s="202"/>
      <c r="AT197" s="202"/>
      <c r="AU197" s="202"/>
      <c r="AV197" s="203"/>
      <c r="AX197" s="211" t="s">
        <v>2004</v>
      </c>
      <c r="AY197" s="202" t="str">
        <f xml:space="preserve"> "d: " &amp; capheight &amp; " in"</f>
        <v>d: 77 in</v>
      </c>
      <c r="AZ197" s="202">
        <f>MAX(AY200:AY205)</f>
        <v>68</v>
      </c>
      <c r="BA197" s="202">
        <f>AVERAGE(AZ200:AZ205)</f>
        <v>38.5</v>
      </c>
      <c r="BB197" s="202"/>
      <c r="BC197" s="202"/>
      <c r="BD197" s="202"/>
      <c r="BE197" s="202"/>
      <c r="BF197" s="202"/>
      <c r="BG197" s="202"/>
      <c r="BH197" s="202"/>
      <c r="BI197" s="202"/>
      <c r="BJ197" s="203"/>
    </row>
    <row r="198" spans="5:62" ht="15.75" thickBot="1" x14ac:dyDescent="0.3">
      <c r="E198" s="335"/>
      <c r="F198" s="88" t="str">
        <f>IF(G5=FALSE,"NA",IF(G119&lt;13,"NA", "Distance to Beam #13 (ft) ="))</f>
        <v>NA</v>
      </c>
      <c r="G198" s="70" t="str">
        <v/>
      </c>
      <c r="H198" t="str">
        <v>Complex Geometry</v>
      </c>
      <c r="AJ198" s="204"/>
      <c r="AK198" s="228" t="s">
        <v>838</v>
      </c>
      <c r="AL198" s="205"/>
      <c r="AM198" s="205"/>
      <c r="AN198" s="228" t="str">
        <f>AK198 &amp; "- Inverted Tee"</f>
        <v>bf- Inverted Tee</v>
      </c>
      <c r="AO198" s="205"/>
      <c r="AP198" s="205"/>
      <c r="AQ198" s="228" t="str">
        <f>AK198 &amp; " - Rectangular"</f>
        <v>bf - Rectangular</v>
      </c>
      <c r="AR198" s="205"/>
      <c r="AS198" s="205"/>
      <c r="AT198" s="270" t="s">
        <v>841</v>
      </c>
      <c r="AU198" s="270"/>
      <c r="AV198" s="206"/>
      <c r="AX198" s="204"/>
      <c r="AY198" s="228" t="s">
        <v>837</v>
      </c>
      <c r="AZ198" s="205"/>
      <c r="BA198" s="205"/>
      <c r="BB198" s="228" t="str">
        <f>AY198 &amp; "- Inverted Tee"</f>
        <v>d- Inverted Tee</v>
      </c>
      <c r="BC198" s="205"/>
      <c r="BD198" s="205"/>
      <c r="BE198" s="228" t="str">
        <f>AY198 &amp; " - Rectangular"</f>
        <v>d - Rectangular</v>
      </c>
      <c r="BF198" s="205"/>
      <c r="BG198" s="205"/>
      <c r="BH198" s="228" t="str">
        <f>AY198 &amp; " - Tee"</f>
        <v>d - Tee</v>
      </c>
      <c r="BI198" s="228"/>
      <c r="BJ198" s="206"/>
    </row>
    <row r="199" spans="5:62" ht="15.75" thickBot="1" x14ac:dyDescent="0.3">
      <c r="E199" s="335"/>
      <c r="F199" s="88" t="str">
        <f>IF(G5=FALSE,"NA",IF(G119&lt;14,"NA", "Distance to Beam #14 (ft) ="))</f>
        <v>NA</v>
      </c>
      <c r="G199" s="70" t="str">
        <v/>
      </c>
      <c r="H199" t="str">
        <v>Complex Geometry</v>
      </c>
      <c r="AJ199" s="204"/>
      <c r="AK199" s="257" t="s">
        <v>817</v>
      </c>
      <c r="AL199" s="258" t="s">
        <v>818</v>
      </c>
      <c r="AM199" s="205"/>
      <c r="AN199" s="257" t="s">
        <v>817</v>
      </c>
      <c r="AO199" s="258" t="s">
        <v>818</v>
      </c>
      <c r="AP199" s="205"/>
      <c r="AQ199" s="257" t="s">
        <v>817</v>
      </c>
      <c r="AR199" s="258" t="s">
        <v>818</v>
      </c>
      <c r="AS199" s="205"/>
      <c r="AT199" s="257" t="s">
        <v>817</v>
      </c>
      <c r="AU199" s="258" t="s">
        <v>818</v>
      </c>
      <c r="AV199" s="206"/>
      <c r="AX199" s="204"/>
      <c r="AY199" s="257" t="s">
        <v>817</v>
      </c>
      <c r="AZ199" s="258" t="s">
        <v>818</v>
      </c>
      <c r="BA199" s="205"/>
      <c r="BB199" s="257" t="s">
        <v>817</v>
      </c>
      <c r="BC199" s="258" t="s">
        <v>818</v>
      </c>
      <c r="BD199" s="205"/>
      <c r="BE199" s="257" t="s">
        <v>817</v>
      </c>
      <c r="BF199" s="258" t="s">
        <v>818</v>
      </c>
      <c r="BG199" s="205"/>
      <c r="BH199" s="257" t="s">
        <v>817</v>
      </c>
      <c r="BI199" s="258" t="s">
        <v>818</v>
      </c>
      <c r="BJ199" s="206"/>
    </row>
    <row r="200" spans="5:62" ht="15.75" thickTop="1" x14ac:dyDescent="0.25">
      <c r="E200" s="335"/>
      <c r="F200" s="88" t="str">
        <f>IF(G5=FALSE,"NA",IF(G119&lt;15,"NA", "Distance to Beam #15 (ft) ="))</f>
        <v>NA</v>
      </c>
      <c r="G200" s="70" t="str">
        <v/>
      </c>
      <c r="H200" t="str">
        <v>Complex Geometry</v>
      </c>
      <c r="AJ200" s="204"/>
      <c r="AK200" s="269" cm="1">
        <f t="array" ref="AK200:AL205">IF(CapType = "Inverted-Tee", AN200:AO205,IF(CapType = "Rectangular", AQ200:AR205, AT200:AU205))</f>
        <v>0</v>
      </c>
      <c r="AL200" s="262">
        <v>-1</v>
      </c>
      <c r="AM200" s="205"/>
      <c r="AN200" s="261">
        <v>0</v>
      </c>
      <c r="AO200" s="262">
        <f>-1</f>
        <v>-1</v>
      </c>
      <c r="AP200" s="205"/>
      <c r="AQ200" s="261">
        <v>0</v>
      </c>
      <c r="AR200" s="262">
        <v>0</v>
      </c>
      <c r="AS200" s="205"/>
      <c r="AT200" s="261">
        <f>InvTeeBotWidth/2-capstemWidth/2</f>
        <v>16.5</v>
      </c>
      <c r="AU200" s="262">
        <f>AU148</f>
        <v>0</v>
      </c>
      <c r="AV200" s="206"/>
      <c r="AX200" s="204"/>
      <c r="AY200" s="269" cm="1">
        <f t="array" ref="AY200:AZ205">IF(CapType = "Inverted-Tee", BB200:BC205,IF(CapType = "Rectangular", BE200:BF205, BH200:BI205))</f>
        <v>64</v>
      </c>
      <c r="AZ200" s="262">
        <v>77</v>
      </c>
      <c r="BA200" s="205"/>
      <c r="BB200" s="261">
        <f>AN145+1</f>
        <v>64</v>
      </c>
      <c r="BC200" s="262">
        <f>AO148</f>
        <v>77</v>
      </c>
      <c r="BD200" s="205"/>
      <c r="BE200" s="261">
        <f>AQ145+1</f>
        <v>31</v>
      </c>
      <c r="BF200" s="262">
        <f>AR146</f>
        <v>77</v>
      </c>
      <c r="BG200" s="205"/>
      <c r="BH200" s="261">
        <f>AT145+1</f>
        <v>64</v>
      </c>
      <c r="BI200" s="262">
        <v>0</v>
      </c>
      <c r="BJ200" s="206"/>
    </row>
    <row r="201" spans="5:62" x14ac:dyDescent="0.25">
      <c r="E201" s="335"/>
      <c r="F201" s="88" t="str">
        <f>IF(G5=FALSE,"NA",IF(G119&lt;16,"NA", "Distance to Beam #16 (ft) ="))</f>
        <v>NA</v>
      </c>
      <c r="G201" s="70" t="str">
        <v/>
      </c>
      <c r="H201" t="str">
        <v>Complex Geometry</v>
      </c>
      <c r="AJ201" s="204"/>
      <c r="AK201" s="197">
        <v>0</v>
      </c>
      <c r="AL201" s="221">
        <v>-5</v>
      </c>
      <c r="AM201" s="205"/>
      <c r="AN201" s="220">
        <f>AN200</f>
        <v>0</v>
      </c>
      <c r="AO201" s="221">
        <f>AO200-4</f>
        <v>-5</v>
      </c>
      <c r="AP201" s="205"/>
      <c r="AQ201" s="220">
        <v>0</v>
      </c>
      <c r="AR201" s="221">
        <v>0</v>
      </c>
      <c r="AS201" s="205"/>
      <c r="AT201" s="220">
        <f>AT200</f>
        <v>16.5</v>
      </c>
      <c r="AU201" s="221">
        <f>AU200-4</f>
        <v>-4</v>
      </c>
      <c r="AV201" s="206"/>
      <c r="AX201" s="204"/>
      <c r="AY201" s="197">
        <v>68</v>
      </c>
      <c r="AZ201" s="221">
        <v>77</v>
      </c>
      <c r="BA201" s="205"/>
      <c r="BB201" s="220">
        <f>BB200+4</f>
        <v>68</v>
      </c>
      <c r="BC201" s="221">
        <f>BC200</f>
        <v>77</v>
      </c>
      <c r="BD201" s="205"/>
      <c r="BE201" s="220">
        <f>BE200+4</f>
        <v>35</v>
      </c>
      <c r="BF201" s="221">
        <f>BF200</f>
        <v>77</v>
      </c>
      <c r="BG201" s="205"/>
      <c r="BH201" s="220">
        <f>BH200+4</f>
        <v>68</v>
      </c>
      <c r="BI201" s="221">
        <v>0</v>
      </c>
      <c r="BJ201" s="206"/>
    </row>
    <row r="202" spans="5:62" x14ac:dyDescent="0.25">
      <c r="E202" s="335"/>
      <c r="F202" s="88" t="str">
        <f>IF(G5=FALSE,"NA",IF(G119&lt;17,"NA", "Distance to Beam #17 (ft) ="))</f>
        <v>NA</v>
      </c>
      <c r="G202" s="70" t="str">
        <v/>
      </c>
      <c r="H202" t="str">
        <v>Complex Geometry</v>
      </c>
      <c r="AJ202" s="204"/>
      <c r="AK202" s="197">
        <v>0</v>
      </c>
      <c r="AL202" s="221">
        <v>-3</v>
      </c>
      <c r="AM202" s="205"/>
      <c r="AN202" s="220">
        <f>AN200</f>
        <v>0</v>
      </c>
      <c r="AO202" s="221">
        <f>AO201+2</f>
        <v>-3</v>
      </c>
      <c r="AP202" s="205"/>
      <c r="AQ202" s="220">
        <v>0</v>
      </c>
      <c r="AR202" s="221">
        <v>0</v>
      </c>
      <c r="AS202" s="205"/>
      <c r="AT202" s="220">
        <f>AT200</f>
        <v>16.5</v>
      </c>
      <c r="AU202" s="221">
        <f>AU201+2</f>
        <v>-2</v>
      </c>
      <c r="AV202" s="206"/>
      <c r="AX202" s="204"/>
      <c r="AY202" s="197">
        <v>66</v>
      </c>
      <c r="AZ202" s="221">
        <v>77</v>
      </c>
      <c r="BA202" s="205"/>
      <c r="BB202" s="220">
        <f>BB201-2</f>
        <v>66</v>
      </c>
      <c r="BC202" s="221">
        <f>BC200</f>
        <v>77</v>
      </c>
      <c r="BD202" s="205"/>
      <c r="BE202" s="220">
        <f>BE201-2</f>
        <v>33</v>
      </c>
      <c r="BF202" s="221">
        <f>BF200</f>
        <v>77</v>
      </c>
      <c r="BG202" s="205"/>
      <c r="BH202" s="220">
        <f>BH201-2</f>
        <v>66</v>
      </c>
      <c r="BI202" s="221">
        <v>0</v>
      </c>
      <c r="BJ202" s="206"/>
    </row>
    <row r="203" spans="5:62" x14ac:dyDescent="0.25">
      <c r="E203" s="335"/>
      <c r="F203" s="88" t="str">
        <f>IF(G5=FALSE,"NA",IF(G119&lt;18,"NA", "Distance to Beam #18 (ft) ="))</f>
        <v>NA</v>
      </c>
      <c r="G203" s="70" t="str">
        <v/>
      </c>
      <c r="H203" t="str">
        <v>Complex Geometry</v>
      </c>
      <c r="AJ203" s="204"/>
      <c r="AK203" s="197">
        <v>63</v>
      </c>
      <c r="AL203" s="221">
        <v>-3</v>
      </c>
      <c r="AM203" s="205"/>
      <c r="AN203" s="220">
        <f>InvTeeBotWidth</f>
        <v>63</v>
      </c>
      <c r="AO203" s="221">
        <f>AO201+2</f>
        <v>-3</v>
      </c>
      <c r="AP203" s="205"/>
      <c r="AQ203" s="220">
        <v>0</v>
      </c>
      <c r="AR203" s="221">
        <v>0</v>
      </c>
      <c r="AS203" s="205"/>
      <c r="AT203" s="220">
        <f>AT200+capstemWidth</f>
        <v>46.5</v>
      </c>
      <c r="AU203" s="221">
        <f>AU201+2</f>
        <v>-2</v>
      </c>
      <c r="AV203" s="206"/>
      <c r="AX203" s="204"/>
      <c r="AY203" s="197">
        <v>66</v>
      </c>
      <c r="AZ203" s="221">
        <v>0</v>
      </c>
      <c r="BA203" s="205"/>
      <c r="BB203" s="220">
        <f>BB201-2</f>
        <v>66</v>
      </c>
      <c r="BC203" s="221">
        <v>0</v>
      </c>
      <c r="BD203" s="205"/>
      <c r="BE203" s="220">
        <f>BE201-2</f>
        <v>33</v>
      </c>
      <c r="BF203" s="221">
        <v>0</v>
      </c>
      <c r="BG203" s="205"/>
      <c r="BH203" s="220">
        <f>BH201-2</f>
        <v>66</v>
      </c>
      <c r="BI203" s="221">
        <f>capheight</f>
        <v>77</v>
      </c>
      <c r="BJ203" s="206"/>
    </row>
    <row r="204" spans="5:62" x14ac:dyDescent="0.25">
      <c r="E204" s="335"/>
      <c r="F204" s="88" t="str">
        <f>IF(G5=FALSE,"NA",IF(G119&lt;19,"NA", "Distance to Beam #19 (ft) ="))</f>
        <v>NA</v>
      </c>
      <c r="G204" s="70" t="str">
        <v/>
      </c>
      <c r="H204" t="str">
        <v>Complex Geometry</v>
      </c>
      <c r="AJ204" s="204"/>
      <c r="AK204" s="197">
        <v>63</v>
      </c>
      <c r="AL204" s="221">
        <v>-5</v>
      </c>
      <c r="AM204" s="205"/>
      <c r="AN204" s="220">
        <f>AN203</f>
        <v>63</v>
      </c>
      <c r="AO204" s="221">
        <f>AO200-4</f>
        <v>-5</v>
      </c>
      <c r="AP204" s="205"/>
      <c r="AQ204" s="220">
        <v>0</v>
      </c>
      <c r="AR204" s="221">
        <v>0</v>
      </c>
      <c r="AS204" s="205"/>
      <c r="AT204" s="220">
        <f>AT203</f>
        <v>46.5</v>
      </c>
      <c r="AU204" s="221">
        <f>AU200-4</f>
        <v>-4</v>
      </c>
      <c r="AV204" s="206"/>
      <c r="AX204" s="204"/>
      <c r="AY204" s="197">
        <v>68</v>
      </c>
      <c r="AZ204" s="221">
        <v>0</v>
      </c>
      <c r="BA204" s="205"/>
      <c r="BB204" s="220">
        <f>BB200+4</f>
        <v>68</v>
      </c>
      <c r="BC204" s="221">
        <f>BC203</f>
        <v>0</v>
      </c>
      <c r="BD204" s="205"/>
      <c r="BE204" s="220">
        <f>BE200+4</f>
        <v>35</v>
      </c>
      <c r="BF204" s="221">
        <f>BF203</f>
        <v>0</v>
      </c>
      <c r="BG204" s="205"/>
      <c r="BH204" s="220">
        <f>BH200+4</f>
        <v>68</v>
      </c>
      <c r="BI204" s="221">
        <f>BI203</f>
        <v>77</v>
      </c>
      <c r="BJ204" s="206"/>
    </row>
    <row r="205" spans="5:62" ht="15.75" thickBot="1" x14ac:dyDescent="0.3">
      <c r="E205" s="336"/>
      <c r="F205" s="89" t="str">
        <f>IF(G5=FALSE,"NA",IF(G119&lt;20,"NA", "Distance to Beam #20 (ft) ="))</f>
        <v>NA</v>
      </c>
      <c r="G205" s="70" t="str">
        <v/>
      </c>
      <c r="H205" t="str">
        <v>Complex Geometry</v>
      </c>
      <c r="AJ205" s="204"/>
      <c r="AK205" s="199">
        <v>63</v>
      </c>
      <c r="AL205" s="224">
        <v>-1</v>
      </c>
      <c r="AM205" s="205"/>
      <c r="AN205" s="199">
        <f>AN203</f>
        <v>63</v>
      </c>
      <c r="AO205" s="224">
        <f>AO200</f>
        <v>-1</v>
      </c>
      <c r="AP205" s="205"/>
      <c r="AQ205" s="199">
        <v>0</v>
      </c>
      <c r="AR205" s="224">
        <v>0</v>
      </c>
      <c r="AS205" s="205"/>
      <c r="AT205" s="199">
        <f>AT203</f>
        <v>46.5</v>
      </c>
      <c r="AU205" s="224">
        <f>AU200</f>
        <v>0</v>
      </c>
      <c r="AV205" s="206"/>
      <c r="AX205" s="204"/>
      <c r="AY205" s="199">
        <v>64</v>
      </c>
      <c r="AZ205" s="224">
        <v>0</v>
      </c>
      <c r="BA205" s="205"/>
      <c r="BB205" s="199">
        <f>BB200</f>
        <v>64</v>
      </c>
      <c r="BC205" s="224">
        <f>BC203</f>
        <v>0</v>
      </c>
      <c r="BD205" s="205"/>
      <c r="BE205" s="199">
        <f>BE200</f>
        <v>31</v>
      </c>
      <c r="BF205" s="224">
        <f>BF203</f>
        <v>0</v>
      </c>
      <c r="BG205" s="205"/>
      <c r="BH205" s="199">
        <f>BH200</f>
        <v>64</v>
      </c>
      <c r="BI205" s="224">
        <f>BI203</f>
        <v>77</v>
      </c>
      <c r="BJ205" s="206"/>
    </row>
    <row r="206" spans="5:62" ht="15.75" thickBot="1" x14ac:dyDescent="0.3">
      <c r="E206" s="334" t="s">
        <v>847</v>
      </c>
      <c r="F206" s="69" t="str">
        <f>IF(G5=FALSE, "NA", "Beam 1 (ft) =")</f>
        <v>Beam 1 (ft) =</v>
      </c>
      <c r="G206" s="65">
        <v>112.54</v>
      </c>
      <c r="H206" t="str">
        <v>Complex Geometry</v>
      </c>
      <c r="AJ206" s="208"/>
      <c r="AK206" s="209"/>
      <c r="AL206" s="209"/>
      <c r="AM206" s="209"/>
      <c r="AN206" s="209"/>
      <c r="AO206" s="209"/>
      <c r="AP206" s="209"/>
      <c r="AQ206" s="209"/>
      <c r="AR206" s="209"/>
      <c r="AS206" s="209"/>
      <c r="AT206" s="209"/>
      <c r="AU206" s="209"/>
      <c r="AV206" s="210"/>
      <c r="AX206" s="208"/>
      <c r="AY206" s="209"/>
      <c r="AZ206" s="209"/>
      <c r="BA206" s="209"/>
      <c r="BB206" s="209"/>
      <c r="BC206" s="209"/>
      <c r="BD206" s="209"/>
      <c r="BE206" s="209"/>
      <c r="BF206" s="209"/>
      <c r="BG206" s="209"/>
      <c r="BH206" s="209"/>
      <c r="BI206" s="209"/>
      <c r="BJ206" s="210"/>
    </row>
    <row r="207" spans="5:62" ht="15.75" thickBot="1" x14ac:dyDescent="0.3">
      <c r="E207" s="335"/>
      <c r="F207" s="90" t="str">
        <f>IF(G5=FALSE, "NA", "Beam 2 (ft) =")</f>
        <v>Beam 2 (ft) =</v>
      </c>
      <c r="G207" s="65">
        <v>112.45399999999999</v>
      </c>
      <c r="H207" t="str">
        <v>Complex Geometry</v>
      </c>
    </row>
    <row r="208" spans="5:62" x14ac:dyDescent="0.25">
      <c r="E208" s="335"/>
      <c r="F208" s="90" t="str">
        <f>IF(G5=FALSE,"NA",IF(G119&lt;3,"NA", "Beam 3 (ft) ="))</f>
        <v>Beam 3 (ft) =</v>
      </c>
      <c r="G208" s="65">
        <v>112.369</v>
      </c>
      <c r="H208" t="str">
        <v>Complex Geometry</v>
      </c>
      <c r="AJ208" s="211" t="s">
        <v>2005</v>
      </c>
      <c r="AK208" s="202" t="str">
        <f>IF(CapType="Inverted-Tee","hs: "&amp;capheight-CapLedgeDepth&amp;" in",IF(CapType="Tee","h: "&amp;CapLedgeDepth&amp;" in",""))</f>
        <v>hs: 57 in</v>
      </c>
      <c r="AL208" s="202">
        <f>IF(CapType &lt;&gt; "Rectangular", MIN(AK211:AK216),NA())</f>
        <v>-5</v>
      </c>
      <c r="AM208" s="202">
        <f>IF(CapType &lt;&gt; "Rectangular", AVERAGE(AL211:AL216)+5,NA())</f>
        <v>53.5</v>
      </c>
      <c r="AN208" s="202"/>
      <c r="AO208" s="202"/>
      <c r="AP208" s="202"/>
      <c r="AQ208" s="202"/>
      <c r="AR208" s="202"/>
      <c r="AS208" s="202"/>
      <c r="AT208" s="202"/>
      <c r="AU208" s="202"/>
      <c r="AV208" s="203"/>
      <c r="AX208" s="211" t="s">
        <v>2006</v>
      </c>
      <c r="AY208" s="202" t="str">
        <f>IF(CapType="Inverted-Tee","h: "&amp;CapLedgeDepth&amp;" in",IF(CapType="Tee","hs: "&amp;capheight-CapLedgeDepth&amp;" in",""))</f>
        <v>h: 20 in</v>
      </c>
      <c r="AZ208" s="202">
        <f>IF(CapType&lt;&gt; "Rectangular", MIN(AY211:AY216),NA())</f>
        <v>-5</v>
      </c>
      <c r="BA208" s="202">
        <f>IF(CapType &lt;&gt; "Rectangular", AVERAGE(AZ211:AZ216)+5,NA())</f>
        <v>15</v>
      </c>
      <c r="BB208" s="202"/>
      <c r="BC208" s="202"/>
      <c r="BD208" s="202"/>
      <c r="BE208" s="202"/>
      <c r="BF208" s="202"/>
      <c r="BG208" s="202"/>
      <c r="BH208" s="202"/>
      <c r="BI208" s="202"/>
      <c r="BJ208" s="203"/>
    </row>
    <row r="209" spans="5:62" ht="15.75" thickBot="1" x14ac:dyDescent="0.3">
      <c r="E209" s="335"/>
      <c r="F209" s="90" t="str">
        <f>IF(G5=FALSE,"NA",IF(G119&lt;4,"NA", "Beam 4 (ft) ="))</f>
        <v>Beam 4 (ft) =</v>
      </c>
      <c r="G209" s="65">
        <v>112.28400000000001</v>
      </c>
      <c r="H209" t="str">
        <v>Complex Geometry</v>
      </c>
      <c r="AJ209" s="204"/>
      <c r="AK209" s="228" t="s">
        <v>839</v>
      </c>
      <c r="AL209" s="205"/>
      <c r="AM209" s="205"/>
      <c r="AN209" s="228" t="str">
        <f>AK209 &amp; "- Inverted Tee"</f>
        <v>hs- Inverted Tee</v>
      </c>
      <c r="AO209" s="205"/>
      <c r="AP209" s="205"/>
      <c r="AQ209" s="228" t="str">
        <f>AK209 &amp; " - Rectangular"</f>
        <v>hs - Rectangular</v>
      </c>
      <c r="AR209" s="205"/>
      <c r="AS209" s="205"/>
      <c r="AT209" s="270" t="s">
        <v>842</v>
      </c>
      <c r="AU209" s="270"/>
      <c r="AV209" s="206"/>
      <c r="AX209" s="204"/>
      <c r="AY209" s="228" t="s">
        <v>843</v>
      </c>
      <c r="AZ209" s="205"/>
      <c r="BA209" s="205"/>
      <c r="BB209" s="228" t="str">
        <f>AY209 &amp; "- Inverted Tee"</f>
        <v>h- Inverted Tee</v>
      </c>
      <c r="BC209" s="205"/>
      <c r="BD209" s="205"/>
      <c r="BE209" s="228" t="str">
        <f>AY209 &amp; " - Rectangular"</f>
        <v>h - Rectangular</v>
      </c>
      <c r="BF209" s="205"/>
      <c r="BG209" s="205"/>
      <c r="BH209" s="270" t="s">
        <v>844</v>
      </c>
      <c r="BI209" s="270"/>
      <c r="BJ209" s="206"/>
    </row>
    <row r="210" spans="5:62" ht="15.75" thickBot="1" x14ac:dyDescent="0.3">
      <c r="E210" s="335"/>
      <c r="F210" s="90" t="str">
        <f>IF(G5=FALSE,"NA",IF(G119&lt;5,"NA", "Beam 5 (ft) ="))</f>
        <v>Beam 5 (ft) =</v>
      </c>
      <c r="G210" s="65">
        <v>112.19799999999999</v>
      </c>
      <c r="H210" t="str">
        <v>Complex Geometry</v>
      </c>
      <c r="AJ210" s="204"/>
      <c r="AK210" s="257" t="s">
        <v>817</v>
      </c>
      <c r="AL210" s="258" t="s">
        <v>818</v>
      </c>
      <c r="AM210" s="205"/>
      <c r="AN210" s="257" t="s">
        <v>817</v>
      </c>
      <c r="AO210" s="258" t="s">
        <v>818</v>
      </c>
      <c r="AP210" s="205"/>
      <c r="AQ210" s="257" t="s">
        <v>817</v>
      </c>
      <c r="AR210" s="258" t="s">
        <v>818</v>
      </c>
      <c r="AS210" s="205"/>
      <c r="AT210" s="257" t="s">
        <v>817</v>
      </c>
      <c r="AU210" s="258" t="s">
        <v>818</v>
      </c>
      <c r="AV210" s="206"/>
      <c r="AX210" s="204"/>
      <c r="AY210" s="257" t="s">
        <v>817</v>
      </c>
      <c r="AZ210" s="258" t="s">
        <v>818</v>
      </c>
      <c r="BA210" s="205"/>
      <c r="BB210" s="257" t="s">
        <v>817</v>
      </c>
      <c r="BC210" s="258" t="s">
        <v>818</v>
      </c>
      <c r="BD210" s="205"/>
      <c r="BE210" s="257" t="s">
        <v>817</v>
      </c>
      <c r="BF210" s="258" t="s">
        <v>818</v>
      </c>
      <c r="BG210" s="205"/>
      <c r="BH210" s="257" t="s">
        <v>817</v>
      </c>
      <c r="BI210" s="258" t="s">
        <v>818</v>
      </c>
      <c r="BJ210" s="206"/>
    </row>
    <row r="211" spans="5:62" ht="15.75" thickTop="1" x14ac:dyDescent="0.25">
      <c r="E211" s="335"/>
      <c r="F211" s="90" t="str">
        <f>IF(G5=FALSE,"NA",IF(G119&lt;6,"NA", "Beam 6 (ft) ="))</f>
        <v>Beam 6 (ft) =</v>
      </c>
      <c r="G211" s="65">
        <v>112.24299999999999</v>
      </c>
      <c r="H211" t="str">
        <v>Complex Geometry</v>
      </c>
      <c r="AJ211" s="204"/>
      <c r="AK211" s="269" cm="1">
        <f t="array" ref="AK211:AL216">IF(CapType = "Inverted-Tee", AN211:AO216,IF(CapType = "Rectangular", AQ211:AR216, AT211:AU216))</f>
        <v>-1</v>
      </c>
      <c r="AL211" s="262">
        <v>77</v>
      </c>
      <c r="AM211" s="205"/>
      <c r="AN211" s="261">
        <f>-1</f>
        <v>-1</v>
      </c>
      <c r="AO211" s="262">
        <f>AO148</f>
        <v>77</v>
      </c>
      <c r="AP211" s="205"/>
      <c r="AQ211" s="261">
        <v>0</v>
      </c>
      <c r="AR211" s="262">
        <v>0</v>
      </c>
      <c r="AS211" s="205"/>
      <c r="AT211" s="261">
        <f>-1</f>
        <v>-1</v>
      </c>
      <c r="AU211" s="262">
        <f>AU144</f>
        <v>77</v>
      </c>
      <c r="AV211" s="206"/>
      <c r="AX211" s="204"/>
      <c r="AY211" s="269" cm="1">
        <f t="array" ref="AY211:AZ216">IF(CapType = "Inverted-Tee", BB211:BC216,IF(CapType = "Rectangular", BE211:BF216, BH211:BI216))</f>
        <v>-1</v>
      </c>
      <c r="AZ211" s="262">
        <v>20</v>
      </c>
      <c r="BA211" s="205"/>
      <c r="BB211" s="261">
        <f>-1</f>
        <v>-1</v>
      </c>
      <c r="BC211" s="262">
        <f>AO146</f>
        <v>20</v>
      </c>
      <c r="BD211" s="205"/>
      <c r="BE211" s="261">
        <v>0</v>
      </c>
      <c r="BF211" s="262">
        <v>0</v>
      </c>
      <c r="BG211" s="205"/>
      <c r="BH211" s="261">
        <f>-1</f>
        <v>-1</v>
      </c>
      <c r="BI211" s="262">
        <f>AU146</f>
        <v>57</v>
      </c>
      <c r="BJ211" s="206"/>
    </row>
    <row r="212" spans="5:62" x14ac:dyDescent="0.25">
      <c r="E212" s="335"/>
      <c r="F212" s="90" t="str">
        <f>IF(G5=FALSE,"NA",IF(G119&lt;7,"NA", "Beam 7 (ft) ="))</f>
        <v>NA</v>
      </c>
      <c r="G212" s="70" t="str">
        <v/>
      </c>
      <c r="H212" t="str">
        <v>Complex Geometry</v>
      </c>
      <c r="AJ212" s="204"/>
      <c r="AK212" s="197">
        <v>-5</v>
      </c>
      <c r="AL212" s="221">
        <v>77</v>
      </c>
      <c r="AM212" s="205"/>
      <c r="AN212" s="220">
        <f>AN211-4</f>
        <v>-5</v>
      </c>
      <c r="AO212" s="221">
        <f>AO211</f>
        <v>77</v>
      </c>
      <c r="AP212" s="205"/>
      <c r="AQ212" s="220">
        <v>0</v>
      </c>
      <c r="AR212" s="221">
        <v>0</v>
      </c>
      <c r="AS212" s="205"/>
      <c r="AT212" s="220">
        <f>AT211-4</f>
        <v>-5</v>
      </c>
      <c r="AU212" s="221">
        <f>AU211</f>
        <v>77</v>
      </c>
      <c r="AV212" s="206"/>
      <c r="AX212" s="204"/>
      <c r="AY212" s="197">
        <v>-5</v>
      </c>
      <c r="AZ212" s="221">
        <v>20</v>
      </c>
      <c r="BA212" s="205"/>
      <c r="BB212" s="220">
        <f>BB211-4</f>
        <v>-5</v>
      </c>
      <c r="BC212" s="221">
        <f>BC211</f>
        <v>20</v>
      </c>
      <c r="BD212" s="205"/>
      <c r="BE212" s="220">
        <v>0</v>
      </c>
      <c r="BF212" s="221">
        <v>0</v>
      </c>
      <c r="BG212" s="205"/>
      <c r="BH212" s="220">
        <f>BH211-4</f>
        <v>-5</v>
      </c>
      <c r="BI212" s="221">
        <f>BI211</f>
        <v>57</v>
      </c>
      <c r="BJ212" s="206"/>
    </row>
    <row r="213" spans="5:62" x14ac:dyDescent="0.25">
      <c r="E213" s="335"/>
      <c r="F213" s="90" t="str">
        <f>IF(G5=FALSE,"NA",IF(G119&lt;8,"NA", "Beam 8 (ft) ="))</f>
        <v>NA</v>
      </c>
      <c r="G213" s="70" t="str">
        <v/>
      </c>
      <c r="H213" t="str">
        <v>Complex Geometry</v>
      </c>
      <c r="AJ213" s="204"/>
      <c r="AK213" s="197">
        <v>-3</v>
      </c>
      <c r="AL213" s="221">
        <v>77</v>
      </c>
      <c r="AM213" s="205"/>
      <c r="AN213" s="220">
        <f>AN212+2</f>
        <v>-3</v>
      </c>
      <c r="AO213" s="221">
        <f>AO211</f>
        <v>77</v>
      </c>
      <c r="AP213" s="205"/>
      <c r="AQ213" s="220">
        <v>0</v>
      </c>
      <c r="AR213" s="221">
        <v>0</v>
      </c>
      <c r="AS213" s="205"/>
      <c r="AT213" s="220">
        <f>AT212+2</f>
        <v>-3</v>
      </c>
      <c r="AU213" s="221">
        <f>AU211</f>
        <v>77</v>
      </c>
      <c r="AV213" s="206"/>
      <c r="AX213" s="204"/>
      <c r="AY213" s="197">
        <v>-3</v>
      </c>
      <c r="AZ213" s="221">
        <v>20</v>
      </c>
      <c r="BA213" s="205"/>
      <c r="BB213" s="220">
        <f>BB212+2</f>
        <v>-3</v>
      </c>
      <c r="BC213" s="221">
        <f>BC211</f>
        <v>20</v>
      </c>
      <c r="BD213" s="205"/>
      <c r="BE213" s="220">
        <v>0</v>
      </c>
      <c r="BF213" s="221">
        <v>0</v>
      </c>
      <c r="BG213" s="205"/>
      <c r="BH213" s="220">
        <f>BH212+2</f>
        <v>-3</v>
      </c>
      <c r="BI213" s="221">
        <f>BI211</f>
        <v>57</v>
      </c>
      <c r="BJ213" s="206"/>
    </row>
    <row r="214" spans="5:62" x14ac:dyDescent="0.25">
      <c r="E214" s="335"/>
      <c r="F214" s="90" t="str">
        <f>IF(G5=FALSE,"NA",IF(G119&lt;9,"NA", "Beam 9 (ft) ="))</f>
        <v>NA</v>
      </c>
      <c r="G214" s="70" t="str">
        <v/>
      </c>
      <c r="H214" t="str">
        <v>Complex Geometry</v>
      </c>
      <c r="AJ214" s="204"/>
      <c r="AK214" s="197">
        <v>-3</v>
      </c>
      <c r="AL214" s="221">
        <v>20</v>
      </c>
      <c r="AM214" s="205"/>
      <c r="AN214" s="220">
        <f>AN212+2</f>
        <v>-3</v>
      </c>
      <c r="AO214" s="221">
        <f>AO150</f>
        <v>20</v>
      </c>
      <c r="AP214" s="205"/>
      <c r="AQ214" s="220">
        <v>0</v>
      </c>
      <c r="AR214" s="221">
        <v>0</v>
      </c>
      <c r="AS214" s="205"/>
      <c r="AT214" s="220">
        <f>AT212+2</f>
        <v>-3</v>
      </c>
      <c r="AU214" s="221">
        <f>AU150</f>
        <v>57</v>
      </c>
      <c r="AV214" s="206"/>
      <c r="AX214" s="204"/>
      <c r="AY214" s="197">
        <v>-3</v>
      </c>
      <c r="AZ214" s="221">
        <v>0</v>
      </c>
      <c r="BA214" s="205"/>
      <c r="BB214" s="220">
        <f>BB212+2</f>
        <v>-3</v>
      </c>
      <c r="BC214" s="221">
        <v>0</v>
      </c>
      <c r="BD214" s="205"/>
      <c r="BE214" s="220">
        <v>0</v>
      </c>
      <c r="BF214" s="221">
        <v>0</v>
      </c>
      <c r="BG214" s="205"/>
      <c r="BH214" s="220">
        <f>BH212+2</f>
        <v>-3</v>
      </c>
      <c r="BI214" s="221">
        <f>AU148</f>
        <v>0</v>
      </c>
      <c r="BJ214" s="206"/>
    </row>
    <row r="215" spans="5:62" x14ac:dyDescent="0.25">
      <c r="E215" s="335"/>
      <c r="F215" s="90" t="str">
        <f>IF(G5=FALSE,"NA",IF(G119&lt;10,"NA", "Beam 10 (ft) ="))</f>
        <v>NA</v>
      </c>
      <c r="G215" s="70" t="str">
        <v/>
      </c>
      <c r="H215" t="str">
        <v>Complex Geometry</v>
      </c>
      <c r="AJ215" s="204"/>
      <c r="AK215" s="197">
        <v>-5</v>
      </c>
      <c r="AL215" s="221">
        <v>20</v>
      </c>
      <c r="AM215" s="205"/>
      <c r="AN215" s="220">
        <f>AN211-4</f>
        <v>-5</v>
      </c>
      <c r="AO215" s="221">
        <f>AO214</f>
        <v>20</v>
      </c>
      <c r="AP215" s="205"/>
      <c r="AQ215" s="220">
        <v>0</v>
      </c>
      <c r="AR215" s="221">
        <v>0</v>
      </c>
      <c r="AS215" s="205"/>
      <c r="AT215" s="220">
        <f>AT211-4</f>
        <v>-5</v>
      </c>
      <c r="AU215" s="221">
        <f>AU214</f>
        <v>57</v>
      </c>
      <c r="AV215" s="206"/>
      <c r="AX215" s="204"/>
      <c r="AY215" s="197">
        <v>-5</v>
      </c>
      <c r="AZ215" s="221">
        <v>0</v>
      </c>
      <c r="BA215" s="205"/>
      <c r="BB215" s="220">
        <f>BB211-4</f>
        <v>-5</v>
      </c>
      <c r="BC215" s="221">
        <f>BC214</f>
        <v>0</v>
      </c>
      <c r="BD215" s="205"/>
      <c r="BE215" s="220">
        <v>0</v>
      </c>
      <c r="BF215" s="221">
        <v>0</v>
      </c>
      <c r="BG215" s="205"/>
      <c r="BH215" s="220">
        <f>BH211-4</f>
        <v>-5</v>
      </c>
      <c r="BI215" s="221">
        <f>BI214</f>
        <v>0</v>
      </c>
      <c r="BJ215" s="206"/>
    </row>
    <row r="216" spans="5:62" ht="15.75" thickBot="1" x14ac:dyDescent="0.3">
      <c r="E216" s="335"/>
      <c r="F216" s="90" t="str">
        <f>IF(G5=FALSE,"NA",IF(G119&lt;11,"NA", "Beam 11 (ft) ="))</f>
        <v>NA</v>
      </c>
      <c r="G216" s="70" t="str">
        <v/>
      </c>
      <c r="H216" t="str">
        <v>Complex Geometry</v>
      </c>
      <c r="AJ216" s="204"/>
      <c r="AK216" s="199">
        <v>-1</v>
      </c>
      <c r="AL216" s="224">
        <v>20</v>
      </c>
      <c r="AM216" s="205"/>
      <c r="AN216" s="199">
        <f>AN211</f>
        <v>-1</v>
      </c>
      <c r="AO216" s="224">
        <f>AO214</f>
        <v>20</v>
      </c>
      <c r="AP216" s="205"/>
      <c r="AQ216" s="199">
        <v>0</v>
      </c>
      <c r="AR216" s="224">
        <v>0</v>
      </c>
      <c r="AS216" s="205"/>
      <c r="AT216" s="199">
        <f>AT211</f>
        <v>-1</v>
      </c>
      <c r="AU216" s="224">
        <f>AU214</f>
        <v>57</v>
      </c>
      <c r="AV216" s="206"/>
      <c r="AX216" s="204"/>
      <c r="AY216" s="199">
        <v>-1</v>
      </c>
      <c r="AZ216" s="224">
        <v>0</v>
      </c>
      <c r="BA216" s="205"/>
      <c r="BB216" s="199">
        <f>BB211</f>
        <v>-1</v>
      </c>
      <c r="BC216" s="224">
        <f>BC214</f>
        <v>0</v>
      </c>
      <c r="BD216" s="205"/>
      <c r="BE216" s="199">
        <v>0</v>
      </c>
      <c r="BF216" s="224">
        <v>0</v>
      </c>
      <c r="BG216" s="205"/>
      <c r="BH216" s="199">
        <f>BH211</f>
        <v>-1</v>
      </c>
      <c r="BI216" s="224">
        <f>BI214</f>
        <v>0</v>
      </c>
      <c r="BJ216" s="206"/>
    </row>
    <row r="217" spans="5:62" ht="15.75" thickBot="1" x14ac:dyDescent="0.3">
      <c r="E217" s="335"/>
      <c r="F217" s="90" t="str">
        <f>IF(G5=FALSE,"NA",IF(G119&lt;12,"NA", "Beam 12 (ft) ="))</f>
        <v>NA</v>
      </c>
      <c r="G217" s="70" t="str">
        <v/>
      </c>
      <c r="H217" t="str">
        <v>Complex Geometry</v>
      </c>
      <c r="AJ217" s="208"/>
      <c r="AK217" s="209"/>
      <c r="AL217" s="209"/>
      <c r="AM217" s="209"/>
      <c r="AN217" s="209"/>
      <c r="AO217" s="209"/>
      <c r="AP217" s="209"/>
      <c r="AQ217" s="209"/>
      <c r="AR217" s="209"/>
      <c r="AS217" s="209"/>
      <c r="AT217" s="209"/>
      <c r="AU217" s="209"/>
      <c r="AV217" s="210"/>
      <c r="AX217" s="208"/>
      <c r="AY217" s="209"/>
      <c r="AZ217" s="209"/>
      <c r="BA217" s="209"/>
      <c r="BB217" s="209"/>
      <c r="BC217" s="209"/>
      <c r="BD217" s="209"/>
      <c r="BE217" s="209"/>
      <c r="BF217" s="209"/>
      <c r="BG217" s="209"/>
      <c r="BH217" s="209"/>
      <c r="BI217" s="209"/>
      <c r="BJ217" s="210"/>
    </row>
    <row r="218" spans="5:62" x14ac:dyDescent="0.25">
      <c r="E218" s="335"/>
      <c r="F218" s="90" t="str">
        <f>IF(G5=FALSE,"NA",IF(G119&lt;13,"NA", "Beam 13 (ft) ="))</f>
        <v>NA</v>
      </c>
      <c r="G218" s="70" t="str">
        <v/>
      </c>
      <c r="H218" t="str">
        <v>Complex Geometry</v>
      </c>
    </row>
    <row r="219" spans="5:62" ht="15.75" thickBot="1" x14ac:dyDescent="0.3">
      <c r="E219" s="335"/>
      <c r="F219" s="90" t="str">
        <f>IF(G5=FALSE,"NA",IF(G119&lt;14,"NA", "Beam 14 (ft) ="))</f>
        <v>NA</v>
      </c>
      <c r="G219" s="70" t="str">
        <v/>
      </c>
      <c r="H219" t="str">
        <v>Complex Geometry</v>
      </c>
    </row>
    <row r="220" spans="5:62" x14ac:dyDescent="0.25">
      <c r="E220" s="335"/>
      <c r="F220" s="90" t="str">
        <f>IF(G5=FALSE,"NA",IF(G119&lt;15,"NA", "Beam 15 (ft) ="))</f>
        <v>NA</v>
      </c>
      <c r="G220" s="70" t="str">
        <v/>
      </c>
      <c r="H220" t="str">
        <v>Complex Geometry</v>
      </c>
      <c r="AJ220" s="211" t="s">
        <v>920</v>
      </c>
      <c r="AK220" s="202"/>
      <c r="AL220" s="202"/>
      <c r="AM220" s="202"/>
      <c r="AN220" s="202"/>
      <c r="AO220" s="202"/>
      <c r="AP220" s="203"/>
      <c r="AR220" s="211" t="s">
        <v>919</v>
      </c>
      <c r="AS220" s="202"/>
      <c r="AT220" s="202"/>
      <c r="AU220" s="202"/>
      <c r="AV220" s="202"/>
      <c r="AW220" s="202"/>
      <c r="AX220" s="203"/>
    </row>
    <row r="221" spans="5:62" x14ac:dyDescent="0.25">
      <c r="E221" s="335"/>
      <c r="F221" s="90" t="str">
        <f>IF(G5=FALSE,"NA",IF(G119&lt;16,"NA", "Beam 16 (ft) ="))</f>
        <v>NA</v>
      </c>
      <c r="G221" s="70" t="str">
        <v/>
      </c>
      <c r="H221" t="str">
        <v>Complex Geometry</v>
      </c>
      <c r="AJ221" s="204"/>
      <c r="AK221" s="205"/>
      <c r="AL221" s="205"/>
      <c r="AM221" s="205"/>
      <c r="AN221" s="205"/>
      <c r="AO221" s="205"/>
      <c r="AP221" s="206"/>
      <c r="AR221" s="204"/>
      <c r="AS221" s="205"/>
      <c r="AT221" s="205"/>
      <c r="AU221" s="205"/>
      <c r="AV221" s="205"/>
      <c r="AW221" s="205"/>
      <c r="AX221" s="206"/>
    </row>
    <row r="222" spans="5:62" x14ac:dyDescent="0.25">
      <c r="E222" s="335"/>
      <c r="F222" s="90" t="str">
        <f>IF(G5=FALSE,"NA",IF(G119&lt;17,"NA", "Beam 17 (ft) ="))</f>
        <v>NA</v>
      </c>
      <c r="G222" s="70" t="str">
        <v/>
      </c>
      <c r="H222" t="str">
        <v>Complex Geometry</v>
      </c>
      <c r="AJ222" s="204"/>
      <c r="AK222" s="228" t="str">
        <f xml:space="preserve"> "Under Capacity (&gt;" &amp; FIXED(AN225,1) &amp; ")"</f>
        <v>Under Capacity (&gt;1.0)</v>
      </c>
      <c r="AL222" s="205"/>
      <c r="AM222" s="228" t="str">
        <f>"OK (&gt;" &amp; FIXED(AO225,1) &amp; " &amp; &lt;=" &amp; FIXED(AN225,1) &amp; ")"</f>
        <v>OK (&gt;0.8 &amp; &lt;=1.0)</v>
      </c>
      <c r="AN222" s="205"/>
      <c r="AO222" s="228" t="str">
        <f>"Good (&lt;=" &amp; FIXED(AO225,1) &amp; ")"</f>
        <v>Good (&lt;=0.8)</v>
      </c>
      <c r="AP222" s="206"/>
      <c r="AR222" s="204"/>
      <c r="AS222" s="228" t="str">
        <f xml:space="preserve"> "Under Capacity (&gt;" &amp; FIXED(AV225,1) &amp; ")"</f>
        <v>Under Capacity (&gt;1.0)</v>
      </c>
      <c r="AT222" s="205"/>
      <c r="AU222" s="228" t="str">
        <f>"OK (&gt;" &amp; FIXED(AW225,1) &amp; " &amp; &lt;=" &amp; FIXED(AV225,1) &amp; ")"</f>
        <v>OK (&gt;0.8 &amp; &lt;=1.0)</v>
      </c>
      <c r="AV222" s="205"/>
      <c r="AW222" s="228" t="str">
        <f>"Good (&lt;=" &amp; FIXED(AW225,1) &amp; ")"</f>
        <v>Good (&lt;=0.8)</v>
      </c>
      <c r="AX222" s="206"/>
    </row>
    <row r="223" spans="5:62" ht="15.75" thickBot="1" x14ac:dyDescent="0.3">
      <c r="E223" s="335"/>
      <c r="F223" s="90" t="str">
        <f>IF(G5=FALSE,"NA",IF(G119&lt;18,"NA", "Beam 18 (ft) ="))</f>
        <v>NA</v>
      </c>
      <c r="G223" s="70" t="str">
        <v/>
      </c>
      <c r="H223" t="str">
        <v>Complex Geometry</v>
      </c>
      <c r="AJ223" s="204"/>
      <c r="AK223" s="205"/>
      <c r="AL223" s="205"/>
      <c r="AM223" s="205"/>
      <c r="AN223" s="205"/>
      <c r="AO223" s="205"/>
      <c r="AP223" s="206"/>
      <c r="AR223" s="204"/>
      <c r="AS223" s="205"/>
      <c r="AT223" s="205"/>
      <c r="AU223" s="205"/>
      <c r="AV223" s="205"/>
      <c r="AW223" s="205"/>
      <c r="AX223" s="206"/>
    </row>
    <row r="224" spans="5:62" ht="15.75" thickBot="1" x14ac:dyDescent="0.3">
      <c r="E224" s="335"/>
      <c r="F224" s="90" t="str">
        <f>IF(G5=FALSE,"NA",IF(G119&lt;19,"NA", "Beam 19 (ft) ="))</f>
        <v>NA</v>
      </c>
      <c r="G224" s="70" t="str">
        <v/>
      </c>
      <c r="H224" t="str">
        <v>Complex Geometry</v>
      </c>
      <c r="AJ224" s="204"/>
      <c r="AK224" s="280"/>
      <c r="AL224" s="280"/>
      <c r="AM224" s="271" t="s">
        <v>828</v>
      </c>
      <c r="AN224" s="272" t="s">
        <v>829</v>
      </c>
      <c r="AO224" s="273" t="s">
        <v>830</v>
      </c>
      <c r="AP224" s="206"/>
      <c r="AR224" s="204"/>
      <c r="AS224" s="280"/>
      <c r="AT224" s="280"/>
      <c r="AU224" s="271" t="s">
        <v>828</v>
      </c>
      <c r="AV224" s="272" t="s">
        <v>829</v>
      </c>
      <c r="AW224" s="273" t="s">
        <v>830</v>
      </c>
      <c r="AX224" s="206"/>
    </row>
    <row r="225" spans="5:50" ht="16.5" thickTop="1" thickBot="1" x14ac:dyDescent="0.3">
      <c r="E225" s="336"/>
      <c r="F225" s="91" t="str">
        <f>IF(G5=FALSE,"NA",IF(G119&lt;20,"NA", "Beam 20 (ft) ="))</f>
        <v>NA</v>
      </c>
      <c r="G225" s="70" t="str">
        <v/>
      </c>
      <c r="H225" t="str">
        <v>Complex Geometry</v>
      </c>
      <c r="AJ225" s="204"/>
      <c r="AK225" s="281"/>
      <c r="AL225" s="282" t="str" cm="1">
        <f t="array" ref="AL225:AL232">SUBSTITUTE(_xlfn.VSTACK(F261:F263,F265,F268,F270:F272),"=","")</f>
        <v xml:space="preserve">Punching Shear Ratio </v>
      </c>
      <c r="AM225" s="274">
        <f>IF(MAX(W75:W82)&gt;=1, MAX(W75:W82)+MAX(0.8, (MAX(W75:W82)-MIN(W75:W82,0))*0.3), 1.1)</f>
        <v>3.0810623690826029</v>
      </c>
      <c r="AN225" s="275">
        <v>1</v>
      </c>
      <c r="AO225" s="276">
        <v>0.8</v>
      </c>
      <c r="AP225" s="206"/>
      <c r="AR225" s="204"/>
      <c r="AS225" s="281"/>
      <c r="AT225" s="282" t="str" cm="1">
        <f t="array" ref="AT225:AT232">SUBSTITUTE(_xlfn.VSTACK(F273:F275,F277,F280,F282:F284),"=","")</f>
        <v xml:space="preserve">Punching Shear Ratio </v>
      </c>
      <c r="AU225" s="274">
        <f>IF(MAX(W105:W112)&gt;=1, MAX(W105:W112)+MAX(0.8, (MAX(W105:W112)-MIN(W105:W112,0))*0.3), 1.1)</f>
        <v>4.5299475717301299</v>
      </c>
      <c r="AV225" s="275">
        <v>1</v>
      </c>
      <c r="AW225" s="276">
        <v>0.8</v>
      </c>
      <c r="AX225" s="206"/>
    </row>
    <row r="226" spans="5:50" x14ac:dyDescent="0.25">
      <c r="E226" s="334" t="s">
        <v>946</v>
      </c>
      <c r="F226" s="178" t="s">
        <v>947</v>
      </c>
      <c r="G226" s="66" t="str">
        <v>No</v>
      </c>
      <c r="H226" t="str" cm="1">
        <f t="array" ref="H226:H227">D226:D227&amp;E226</f>
        <v>Conc DL Tab</v>
      </c>
      <c r="AJ226" s="204"/>
      <c r="AK226" s="281"/>
      <c r="AL226" s="282" t="str">
        <v xml:space="preserve">Bearing Ratio </v>
      </c>
      <c r="AM226" s="274">
        <f t="shared" ref="AM226:AM232" si="12">AM225</f>
        <v>3.0810623690826029</v>
      </c>
      <c r="AN226" s="275">
        <v>1</v>
      </c>
      <c r="AO226" s="276">
        <v>0.8</v>
      </c>
      <c r="AP226" s="206"/>
      <c r="AR226" s="204"/>
      <c r="AS226" s="281"/>
      <c r="AT226" s="282" t="str">
        <v xml:space="preserve">Bearing Ratio </v>
      </c>
      <c r="AU226" s="274">
        <f t="shared" ref="AU226:AU232" si="13">AU225</f>
        <v>4.5299475717301299</v>
      </c>
      <c r="AV226" s="275">
        <v>1</v>
      </c>
      <c r="AW226" s="276">
        <v>0.8</v>
      </c>
      <c r="AX226" s="206"/>
    </row>
    <row r="227" spans="5:50" ht="15.75" thickBot="1" x14ac:dyDescent="0.3">
      <c r="E227" s="336"/>
      <c r="F227" s="91" t="s">
        <v>948</v>
      </c>
      <c r="G227" s="70">
        <v>0</v>
      </c>
      <c r="H227" t="str">
        <v>Conc DL Tab</v>
      </c>
      <c r="AJ227" s="204"/>
      <c r="AK227" s="281"/>
      <c r="AL227" s="282" t="str">
        <v xml:space="preserve">Bar M Development Length Ratio </v>
      </c>
      <c r="AM227" s="274">
        <f t="shared" si="12"/>
        <v>3.0810623690826029</v>
      </c>
      <c r="AN227" s="275">
        <v>1</v>
      </c>
      <c r="AO227" s="276">
        <v>0.8</v>
      </c>
      <c r="AP227" s="206"/>
      <c r="AR227" s="204"/>
      <c r="AS227" s="281"/>
      <c r="AT227" s="282" t="str">
        <v xml:space="preserve">Bar M Development Length Ratio </v>
      </c>
      <c r="AU227" s="274">
        <f t="shared" si="13"/>
        <v>4.5299475717301299</v>
      </c>
      <c r="AV227" s="275">
        <v>1</v>
      </c>
      <c r="AW227" s="276">
        <v>0.8</v>
      </c>
      <c r="AX227" s="206"/>
    </row>
    <row r="228" spans="5:50" x14ac:dyDescent="0.25">
      <c r="E228" s="334" t="s">
        <v>949</v>
      </c>
      <c r="F228" s="178" t="s">
        <v>950</v>
      </c>
      <c r="G228" s="70">
        <v>0</v>
      </c>
      <c r="H228" t="str" cm="1">
        <f t="array" ref="H228:H230">D228:D230&amp;E228</f>
        <v>Dead Load Moment Tab</v>
      </c>
      <c r="AJ228" s="204"/>
      <c r="AK228" s="281"/>
      <c r="AL228" s="282" t="str">
        <v xml:space="preserve">Ledge Flexure Ratio </v>
      </c>
      <c r="AM228" s="274">
        <f t="shared" si="12"/>
        <v>3.0810623690826029</v>
      </c>
      <c r="AN228" s="275">
        <v>1</v>
      </c>
      <c r="AO228" s="276">
        <v>0.8</v>
      </c>
      <c r="AP228" s="206"/>
      <c r="AR228" s="204"/>
      <c r="AS228" s="281"/>
      <c r="AT228" s="282" t="str">
        <v xml:space="preserve">Ledge Flexure Ratio </v>
      </c>
      <c r="AU228" s="274">
        <f t="shared" si="13"/>
        <v>4.5299475717301299</v>
      </c>
      <c r="AV228" s="275">
        <v>1</v>
      </c>
      <c r="AW228" s="276">
        <v>0.8</v>
      </c>
      <c r="AX228" s="206"/>
    </row>
    <row r="229" spans="5:50" x14ac:dyDescent="0.25">
      <c r="E229" s="335"/>
      <c r="F229" s="90" t="s">
        <v>951</v>
      </c>
      <c r="G229" s="70">
        <v>0</v>
      </c>
      <c r="H229" t="str">
        <v>Dead Load Moment Tab</v>
      </c>
      <c r="AJ229" s="204"/>
      <c r="AK229" s="281"/>
      <c r="AL229" s="282" t="str">
        <v xml:space="preserve">Shear Friction Ratio </v>
      </c>
      <c r="AM229" s="274">
        <f t="shared" si="12"/>
        <v>3.0810623690826029</v>
      </c>
      <c r="AN229" s="275">
        <v>1</v>
      </c>
      <c r="AO229" s="276">
        <v>0.8</v>
      </c>
      <c r="AP229" s="206"/>
      <c r="AR229" s="204"/>
      <c r="AS229" s="281"/>
      <c r="AT229" s="282" t="str">
        <v xml:space="preserve">Shear Friction Ratio </v>
      </c>
      <c r="AU229" s="274">
        <f t="shared" si="13"/>
        <v>4.5299475717301299</v>
      </c>
      <c r="AV229" s="275">
        <v>1</v>
      </c>
      <c r="AW229" s="276">
        <v>0.8</v>
      </c>
      <c r="AX229" s="206"/>
    </row>
    <row r="230" spans="5:50" ht="15.75" thickBot="1" x14ac:dyDescent="0.3">
      <c r="E230" s="336"/>
      <c r="F230" s="91" t="s">
        <v>952</v>
      </c>
      <c r="G230" s="70">
        <v>0</v>
      </c>
      <c r="H230" t="str">
        <v>Dead Load Moment Tab</v>
      </c>
      <c r="AJ230" s="204"/>
      <c r="AK230" s="281"/>
      <c r="AL230" s="282" t="str">
        <v xml:space="preserve">Mid Corbel Bar Ratio </v>
      </c>
      <c r="AM230" s="274">
        <f t="shared" si="12"/>
        <v>3.0810623690826029</v>
      </c>
      <c r="AN230" s="275">
        <v>1</v>
      </c>
      <c r="AO230" s="276">
        <v>0.8</v>
      </c>
      <c r="AP230" s="206"/>
      <c r="AR230" s="204"/>
      <c r="AS230" s="281"/>
      <c r="AT230" s="282" t="str">
        <v xml:space="preserve">Mid Corbel Bar Ratio </v>
      </c>
      <c r="AU230" s="274">
        <f t="shared" si="13"/>
        <v>4.5299475717301299</v>
      </c>
      <c r="AV230" s="275">
        <v>1</v>
      </c>
      <c r="AW230" s="276">
        <v>0.8</v>
      </c>
      <c r="AX230" s="206"/>
    </row>
    <row r="231" spans="5:50" x14ac:dyDescent="0.25">
      <c r="E231" s="334" t="s">
        <v>953</v>
      </c>
      <c r="F231" s="178" t="str">
        <f>IF(NoSupports&gt;1, "Output CAP18 at what increment =", "NA")</f>
        <v>NA</v>
      </c>
      <c r="G231" s="70">
        <v>0.5</v>
      </c>
      <c r="H231" t="str" cm="1">
        <f t="array" ref="H231:H232">D231:D232&amp;E231</f>
        <v>CAP18 Inputs</v>
      </c>
      <c r="AJ231" s="204"/>
      <c r="AK231" s="281"/>
      <c r="AL231" s="282" t="str">
        <v xml:space="preserve">Hanger Strength Ratio </v>
      </c>
      <c r="AM231" s="274">
        <f t="shared" si="12"/>
        <v>3.0810623690826029</v>
      </c>
      <c r="AN231" s="275">
        <v>1</v>
      </c>
      <c r="AO231" s="276">
        <v>0.8</v>
      </c>
      <c r="AP231" s="206"/>
      <c r="AR231" s="204"/>
      <c r="AS231" s="281"/>
      <c r="AT231" s="282" t="str">
        <v xml:space="preserve">Hanger Strength Ratio </v>
      </c>
      <c r="AU231" s="274">
        <f t="shared" si="13"/>
        <v>4.5299475717301299</v>
      </c>
      <c r="AV231" s="275">
        <v>1</v>
      </c>
      <c r="AW231" s="276">
        <v>0.8</v>
      </c>
      <c r="AX231" s="206"/>
    </row>
    <row r="232" spans="5:50" ht="15.75" thickBot="1" x14ac:dyDescent="0.3">
      <c r="E232" s="336"/>
      <c r="F232" s="91" t="str">
        <f>IF(NoSupports&gt;1, "For negative moent bending use =", "NA")</f>
        <v>NA</v>
      </c>
      <c r="G232" s="70" t="str">
        <v>Force at Face of Column</v>
      </c>
      <c r="H232" t="str">
        <v>CAP18 Inputs</v>
      </c>
      <c r="AJ232" s="204"/>
      <c r="AK232" s="281"/>
      <c r="AL232" s="282" t="str">
        <v xml:space="preserve">Hanger Service Ratio </v>
      </c>
      <c r="AM232" s="277">
        <f t="shared" si="12"/>
        <v>3.0810623690826029</v>
      </c>
      <c r="AN232" s="278">
        <v>1</v>
      </c>
      <c r="AO232" s="279">
        <v>0.8</v>
      </c>
      <c r="AP232" s="206"/>
      <c r="AR232" s="204"/>
      <c r="AS232" s="281"/>
      <c r="AT232" s="282" t="str">
        <v xml:space="preserve">Hanger Service Ratio </v>
      </c>
      <c r="AU232" s="277">
        <f t="shared" si="13"/>
        <v>4.5299475717301299</v>
      </c>
      <c r="AV232" s="278">
        <v>1</v>
      </c>
      <c r="AW232" s="279">
        <v>0.8</v>
      </c>
      <c r="AX232" s="206"/>
    </row>
    <row r="233" spans="5:50" ht="15.75" thickBot="1" x14ac:dyDescent="0.3">
      <c r="E233" s="334" t="s">
        <v>956</v>
      </c>
      <c r="F233" s="178" t="str">
        <f>IF(AND(CapType= "Inverted-Tee",NoSupports=1), "Exterior Girder Considered =", "NA")</f>
        <v>Exterior Girder Considered =</v>
      </c>
      <c r="G233" s="66" t="str">
        <v>Left</v>
      </c>
      <c r="H233" t="str" cm="1">
        <f t="array" ref="H233:H234">D233:D234&amp;E233</f>
        <v>Inv Tee-SC Tab</v>
      </c>
      <c r="AJ233" s="208"/>
      <c r="AK233" s="209"/>
      <c r="AL233" s="209"/>
      <c r="AM233" s="209"/>
      <c r="AN233" s="209"/>
      <c r="AO233" s="209"/>
      <c r="AP233" s="210"/>
      <c r="AR233" s="208"/>
      <c r="AS233" s="209"/>
      <c r="AT233" s="209"/>
      <c r="AU233" s="209"/>
      <c r="AV233" s="209"/>
      <c r="AW233" s="209"/>
      <c r="AX233" s="210"/>
    </row>
    <row r="234" spans="5:50" ht="15.75" thickBot="1" x14ac:dyDescent="0.3">
      <c r="E234" s="336"/>
      <c r="F234" s="91" t="str">
        <f>IF(AND(CapType= "Inverted-Tee",NoSupports=1), "Use greater of Int and Ext LLDF for Ext beam =", "NA")</f>
        <v>Use greater of Int and Ext LLDF for Ext beam =</v>
      </c>
      <c r="G234" s="76" t="b">
        <v>1</v>
      </c>
      <c r="H234" t="str">
        <v>Inv Tee-SC Tab</v>
      </c>
    </row>
    <row r="235" spans="5:50" x14ac:dyDescent="0.25">
      <c r="E235" s="334" t="s">
        <v>957</v>
      </c>
      <c r="F235" s="178" t="str">
        <f>IF(AND(CapType= "Inverted-Tee",NoSupports&gt;1), "Exterior Girder Considered =", "NA")</f>
        <v>NA</v>
      </c>
      <c r="G235" s="66" t="str">
        <v>Left</v>
      </c>
      <c r="H235" t="str" cm="1">
        <f t="array" ref="H235:H236">D235:D236&amp;E235</f>
        <v>Inv Tee Tab</v>
      </c>
      <c r="AJ235" s="211" t="s">
        <v>918</v>
      </c>
      <c r="AK235" s="202"/>
      <c r="AL235" s="202"/>
      <c r="AM235" s="202"/>
      <c r="AN235" s="202"/>
      <c r="AO235" s="202"/>
      <c r="AP235" s="203"/>
    </row>
    <row r="236" spans="5:50" ht="15.75" thickBot="1" x14ac:dyDescent="0.3">
      <c r="E236" s="336"/>
      <c r="F236" s="91" t="str">
        <f>IF(AND(CapType= "Inverted-Tee",NoSupports&gt;1), "Use greater of Int and Ext LLDF for Ext beam =", "NA")</f>
        <v>NA</v>
      </c>
      <c r="G236" s="76" t="b">
        <v>1</v>
      </c>
      <c r="H236" t="str">
        <v>Inv Tee Tab</v>
      </c>
      <c r="AJ236" s="204"/>
      <c r="AK236" s="205"/>
      <c r="AL236" s="205"/>
      <c r="AM236" s="205"/>
      <c r="AN236" s="205"/>
      <c r="AO236" s="205"/>
      <c r="AP236" s="206"/>
    </row>
    <row r="237" spans="5:50" x14ac:dyDescent="0.25">
      <c r="E237" s="334" t="s">
        <v>958</v>
      </c>
      <c r="F237" s="178" t="s">
        <v>959</v>
      </c>
      <c r="G237" s="70">
        <v>0</v>
      </c>
      <c r="H237" t="str" cm="1">
        <f t="array" ref="H237:H239">D237:D239&amp;E237</f>
        <v>Live Load on Column Tab</v>
      </c>
      <c r="AJ237" s="204"/>
      <c r="AK237" s="205" t="str">
        <f xml:space="preserve"> "Under Capacity (&gt;" &amp; FIXED(AN241,1) &amp; ")"</f>
        <v>Under Capacity (&gt;1.0)</v>
      </c>
      <c r="AL237" s="205"/>
      <c r="AM237" s="205" t="str">
        <f>"OK (&gt;" &amp; FIXED(AO241,1) &amp; " &amp; &lt;=" &amp; FIXED(AN241,1) &amp; ")"</f>
        <v>OK (&gt;0.8 &amp; &lt;=1.0)</v>
      </c>
      <c r="AN237" s="205"/>
      <c r="AO237" s="205" t="str">
        <f>"Good (&lt;=" &amp; FIXED(AO241,1) &amp; ")"</f>
        <v>Good (&lt;=0.8)</v>
      </c>
      <c r="AP237" s="206"/>
    </row>
    <row r="238" spans="5:50" ht="15.75" thickBot="1" x14ac:dyDescent="0.3">
      <c r="E238" s="335"/>
      <c r="F238" s="90" t="s">
        <v>960</v>
      </c>
      <c r="G238" s="70">
        <v>0</v>
      </c>
      <c r="H238" t="str">
        <v>Live Load on Column Tab</v>
      </c>
      <c r="AJ238" s="204"/>
      <c r="AK238" s="205"/>
      <c r="AL238" s="205"/>
      <c r="AM238" s="205"/>
      <c r="AN238" s="205"/>
      <c r="AO238" s="205"/>
      <c r="AP238" s="206"/>
    </row>
    <row r="239" spans="5:50" ht="15.75" thickBot="1" x14ac:dyDescent="0.3">
      <c r="E239" s="336"/>
      <c r="F239" s="91" t="s">
        <v>961</v>
      </c>
      <c r="G239" s="70">
        <v>0</v>
      </c>
      <c r="H239" t="str">
        <v>Live Load on Column Tab</v>
      </c>
      <c r="AJ239" s="204"/>
      <c r="AK239" s="283"/>
      <c r="AL239" s="205"/>
      <c r="AM239" s="271" t="s">
        <v>828</v>
      </c>
      <c r="AN239" s="272" t="s">
        <v>829</v>
      </c>
      <c r="AO239" s="273" t="s">
        <v>830</v>
      </c>
      <c r="AP239" s="206"/>
    </row>
    <row r="240" spans="5:50" ht="15.75" thickBot="1" x14ac:dyDescent="0.3">
      <c r="E240" s="179" t="s">
        <v>962</v>
      </c>
      <c r="F240" s="180" t="s">
        <v>963</v>
      </c>
      <c r="G240" s="70" t="str">
        <v>Consider only the 5% of Truck + lane load in accordance with the TxDOT LRFD BDM</v>
      </c>
      <c r="H240" t="str">
        <f>D240&amp;E240</f>
        <v>CE &amp; BR Tab</v>
      </c>
      <c r="AJ240" s="204"/>
      <c r="AK240" s="284"/>
      <c r="AL240" s="282" t="str" cm="1">
        <f t="array" ref="AL240:AL245">SUBSTITUTE(_xlfn.VSTACK(F288,F292,F294:F295,F298,F301),"=","")</f>
        <v xml:space="preserve">Web Shear Strength Ratio </v>
      </c>
      <c r="AM240" s="274">
        <f>IF(MAX(W142:W147)&gt;=1, MAX(W142:W147)+MAX(0.8, (MAX(W141:W146)-MIN(W141:W146,0))*0.3), 1.1)</f>
        <v>3.385957525806452</v>
      </c>
      <c r="AN240" s="275">
        <v>1</v>
      </c>
      <c r="AO240" s="276">
        <v>0.8</v>
      </c>
      <c r="AP240" s="206"/>
    </row>
    <row r="241" spans="5:79" x14ac:dyDescent="0.25">
      <c r="E241" s="335" t="s">
        <v>965</v>
      </c>
      <c r="F241" s="90" t="s">
        <v>966</v>
      </c>
      <c r="G241" s="70">
        <v>115</v>
      </c>
      <c r="H241" t="str" cm="1">
        <f t="array" ref="H241:H243">D241:D243&amp;E241</f>
        <v>Wind Loads Tab</v>
      </c>
      <c r="AJ241" s="204"/>
      <c r="AK241" s="284"/>
      <c r="AL241" s="282" t="str">
        <v xml:space="preserve">Shear w Torsion Ratio </v>
      </c>
      <c r="AM241" s="274">
        <f>AM240</f>
        <v>3.385957525806452</v>
      </c>
      <c r="AN241" s="275">
        <v>1</v>
      </c>
      <c r="AO241" s="276">
        <v>0.8</v>
      </c>
      <c r="AP241" s="206"/>
    </row>
    <row r="242" spans="5:79" x14ac:dyDescent="0.25">
      <c r="E242" s="335"/>
      <c r="F242" s="90" t="s">
        <v>967</v>
      </c>
      <c r="G242" s="70">
        <v>0</v>
      </c>
      <c r="H242" t="str">
        <v>Wind Loads Tab</v>
      </c>
      <c r="AJ242" s="204"/>
      <c r="AK242" s="284"/>
      <c r="AL242" s="282" t="str">
        <v xml:space="preserve">Torsion w Shear Ratio </v>
      </c>
      <c r="AM242" s="274">
        <f>AM241</f>
        <v>3.385957525806452</v>
      </c>
      <c r="AN242" s="275">
        <v>1</v>
      </c>
      <c r="AO242" s="276">
        <v>0.8</v>
      </c>
      <c r="AP242" s="206"/>
    </row>
    <row r="243" spans="5:79" ht="15.75" thickBot="1" x14ac:dyDescent="0.3">
      <c r="E243" s="335"/>
      <c r="F243" s="90" t="s">
        <v>968</v>
      </c>
      <c r="G243" s="66" t="str">
        <v>C</v>
      </c>
      <c r="H243" t="str">
        <v>Wind Loads Tab</v>
      </c>
      <c r="AJ243" s="204"/>
      <c r="AK243" s="284"/>
      <c r="AL243" s="282" t="str">
        <v xml:space="preserve">Skin Reinforcement Ratio </v>
      </c>
      <c r="AM243" s="274">
        <f>AM242</f>
        <v>3.385957525806452</v>
      </c>
      <c r="AN243" s="275">
        <v>1</v>
      </c>
      <c r="AO243" s="276">
        <v>0.8</v>
      </c>
      <c r="AP243" s="206"/>
    </row>
    <row r="244" spans="5:79" ht="15" customHeight="1" x14ac:dyDescent="0.25">
      <c r="E244" s="334" t="s">
        <v>864</v>
      </c>
      <c r="F244" s="10" t="s">
        <v>23</v>
      </c>
      <c r="G244" s="66">
        <v>22</v>
      </c>
      <c r="H244" t="str" cm="1">
        <f t="array" ref="H244:H255">D244:D255&amp;E244</f>
        <v>Inv-Tee Geometry (Inv T Spreadsheet, Special)</v>
      </c>
      <c r="AJ244" s="204"/>
      <c r="AK244" s="284"/>
      <c r="AL244" s="282" t="str">
        <v xml:space="preserve">Moment Strength Ratio </v>
      </c>
      <c r="AM244" s="274">
        <f>AM243</f>
        <v>3.385957525806452</v>
      </c>
      <c r="AN244" s="275">
        <v>1</v>
      </c>
      <c r="AO244" s="276">
        <v>0.8</v>
      </c>
      <c r="AP244" s="206"/>
    </row>
    <row r="245" spans="5:79" ht="15.75" thickBot="1" x14ac:dyDescent="0.3">
      <c r="E245" s="335"/>
      <c r="F245" s="86" t="s">
        <v>733</v>
      </c>
      <c r="G245" s="66">
        <v>9</v>
      </c>
      <c r="H245" t="str">
        <v>Inv-Tee Geometry (Inv T Spreadsheet, Special)</v>
      </c>
      <c r="AJ245" s="204"/>
      <c r="AK245" s="205"/>
      <c r="AL245" s="282" t="str">
        <v xml:space="preserve">Moment Service Ratio </v>
      </c>
      <c r="AM245" s="277">
        <f>AM244</f>
        <v>3.385957525806452</v>
      </c>
      <c r="AN245" s="278">
        <v>1</v>
      </c>
      <c r="AO245" s="279">
        <v>0.8</v>
      </c>
      <c r="AP245" s="206"/>
    </row>
    <row r="246" spans="5:79" ht="15.75" thickBot="1" x14ac:dyDescent="0.3">
      <c r="E246" s="335"/>
      <c r="F246" s="86" t="s">
        <v>734</v>
      </c>
      <c r="G246" s="66">
        <v>2</v>
      </c>
      <c r="H246" t="str">
        <v>Inv-Tee Geometry (Inv T Spreadsheet, Special)</v>
      </c>
      <c r="AJ246" s="208"/>
      <c r="AK246" s="209"/>
      <c r="AL246" s="209"/>
      <c r="AM246" s="209"/>
      <c r="AN246" s="209"/>
      <c r="AO246" s="209"/>
      <c r="AP246" s="210"/>
    </row>
    <row r="247" spans="5:79" x14ac:dyDescent="0.25">
      <c r="E247" s="335"/>
      <c r="F247" s="86" t="s">
        <v>735</v>
      </c>
      <c r="G247" s="66">
        <v>6</v>
      </c>
      <c r="H247" t="str">
        <v>Inv-Tee Geometry (Inv T Spreadsheet, Special)</v>
      </c>
    </row>
    <row r="248" spans="5:79" x14ac:dyDescent="0.25">
      <c r="E248" s="335"/>
      <c r="F248" s="86" t="s">
        <v>736</v>
      </c>
      <c r="G248" s="66" t="str">
        <v>#9</v>
      </c>
      <c r="H248" t="str">
        <v>Inv-Tee Geometry (Inv T Spreadsheet, Special)</v>
      </c>
    </row>
    <row r="249" spans="5:79" x14ac:dyDescent="0.25">
      <c r="E249" s="335"/>
      <c r="F249" s="86" t="s">
        <v>738</v>
      </c>
      <c r="G249" s="66" t="str">
        <v>EVERY</v>
      </c>
      <c r="H249" t="str">
        <v>Inv-Tee Geometry (Inv T Spreadsheet, Special)</v>
      </c>
    </row>
    <row r="250" spans="5:79" x14ac:dyDescent="0.25">
      <c r="E250" s="335"/>
      <c r="F250" s="86" t="s">
        <v>737</v>
      </c>
      <c r="G250" s="66" t="str">
        <v>#5</v>
      </c>
      <c r="H250" t="str">
        <v>Inv-Tee Geometry (Inv T Spreadsheet, Special)</v>
      </c>
    </row>
    <row r="251" spans="5:79" ht="15.75" thickBot="1" x14ac:dyDescent="0.3">
      <c r="E251" s="335"/>
      <c r="F251" s="86" t="s">
        <v>739</v>
      </c>
      <c r="G251" s="66" t="str">
        <v>EVERY</v>
      </c>
      <c r="H251" t="str">
        <v>Inv-Tee Geometry (Inv T Spreadsheet, Special)</v>
      </c>
    </row>
    <row r="252" spans="5:79" x14ac:dyDescent="0.25">
      <c r="E252" s="335"/>
      <c r="F252" s="86" t="s">
        <v>741</v>
      </c>
      <c r="G252" s="66" t="str">
        <v>#5</v>
      </c>
      <c r="H252" t="str">
        <v>Inv-Tee Geometry (Inv T Spreadsheet, Special)</v>
      </c>
      <c r="AJ252" s="211" t="s">
        <v>283</v>
      </c>
      <c r="AK252" s="202"/>
      <c r="AL252" s="202"/>
      <c r="AM252" s="202"/>
      <c r="AN252" s="202"/>
      <c r="AO252" s="202"/>
      <c r="AP252" s="202"/>
      <c r="AQ252" s="202"/>
      <c r="AR252" s="202"/>
      <c r="AS252" s="202"/>
      <c r="AT252" s="202"/>
      <c r="AU252" s="202"/>
      <c r="AV252" s="202"/>
      <c r="AW252" s="203"/>
      <c r="AY252" s="211" t="s">
        <v>285</v>
      </c>
      <c r="AZ252" s="202" t="b">
        <f>OR(Arow2=0, Arow2 ="")</f>
        <v>0</v>
      </c>
      <c r="BA252" s="202"/>
      <c r="BB252" s="202"/>
      <c r="BC252" s="203"/>
      <c r="BE252" s="211" t="s">
        <v>287</v>
      </c>
      <c r="BF252" s="202" t="b">
        <f>OR(Arow3=0, Arow3 ="")</f>
        <v>1</v>
      </c>
      <c r="BG252" s="202"/>
      <c r="BH252" s="202"/>
      <c r="BI252" s="203"/>
      <c r="BS252" s="202"/>
      <c r="BT252" s="202"/>
      <c r="BU252" s="202"/>
      <c r="BV252" s="202"/>
      <c r="BW252" s="202"/>
      <c r="BX252" s="202"/>
      <c r="BY252" s="202"/>
      <c r="BZ252" s="202"/>
      <c r="CA252" s="203"/>
    </row>
    <row r="253" spans="5:79" x14ac:dyDescent="0.25">
      <c r="E253" s="335"/>
      <c r="F253" s="86" t="s">
        <v>740</v>
      </c>
      <c r="G253" s="66">
        <v>3</v>
      </c>
      <c r="H253" t="str">
        <v>Inv-Tee Geometry (Inv T Spreadsheet, Special)</v>
      </c>
      <c r="AJ253" s="204"/>
      <c r="AK253" s="228" t="s">
        <v>2010</v>
      </c>
      <c r="AL253" s="228" t="s">
        <v>2011</v>
      </c>
      <c r="AM253" s="205"/>
      <c r="AN253" s="285" t="str">
        <f>BarS</f>
        <v>#5</v>
      </c>
      <c r="AO253" s="228" t="s">
        <v>2012</v>
      </c>
      <c r="AP253" s="205"/>
      <c r="AQ253" s="285" t="str">
        <f>BarsA</f>
        <v>#11</v>
      </c>
      <c r="AR253" s="228" t="s">
        <v>2013</v>
      </c>
      <c r="AS253" s="205"/>
      <c r="AT253" s="205"/>
      <c r="AU253" s="205"/>
      <c r="AV253" s="205"/>
      <c r="AW253" s="206"/>
      <c r="AY253" s="204"/>
      <c r="AZ253" s="228"/>
      <c r="BA253" s="228"/>
      <c r="BB253" s="205"/>
      <c r="BC253" s="206"/>
      <c r="BE253" s="204"/>
      <c r="BF253" s="228"/>
      <c r="BG253" s="228"/>
      <c r="BH253" s="205"/>
      <c r="BI253" s="288"/>
      <c r="BS253" s="228"/>
      <c r="BT253" s="205"/>
      <c r="BU253" s="285"/>
      <c r="BV253" s="228"/>
      <c r="BW253" s="205"/>
      <c r="BX253" s="205"/>
      <c r="BY253" s="205"/>
      <c r="BZ253" s="205"/>
      <c r="CA253" s="206"/>
    </row>
    <row r="254" spans="5:79" x14ac:dyDescent="0.25">
      <c r="E254" s="335"/>
      <c r="F254" s="86" t="s">
        <v>742</v>
      </c>
      <c r="G254" s="66">
        <v>3</v>
      </c>
      <c r="H254" t="str">
        <v>Inv-Tee Geometry (Inv T Spreadsheet, Special)</v>
      </c>
      <c r="AJ254" s="204"/>
      <c r="AK254" s="205">
        <f>IF(CapType = "Inverted-Tee", $AK$149, 0)</f>
        <v>16.5</v>
      </c>
      <c r="AL254" s="205">
        <f>IF(CapType = "Inverted-Tee", $AK$147, $AK$145)</f>
        <v>46.5</v>
      </c>
      <c r="AM254" s="205"/>
      <c r="AN254" s="205"/>
      <c r="AO254" s="205">
        <f>VLOOKUP(BarS,BarTable,2,FALSE)</f>
        <v>0.625</v>
      </c>
      <c r="AP254" s="205" t="s">
        <v>759</v>
      </c>
      <c r="AQ254" s="205"/>
      <c r="AR254" s="205">
        <f>VLOOKUP(BarsA,BarTable,2,FALSE)</f>
        <v>1.41</v>
      </c>
      <c r="AS254" s="205" t="s">
        <v>759</v>
      </c>
      <c r="AT254" s="205"/>
      <c r="AU254" s="205"/>
      <c r="AV254" s="205"/>
      <c r="AW254" s="206"/>
      <c r="AY254" s="204"/>
      <c r="AZ254" s="205"/>
      <c r="BA254" s="205"/>
      <c r="BB254" s="205"/>
      <c r="BC254" s="206"/>
      <c r="BE254" s="204"/>
      <c r="BF254" s="205"/>
      <c r="BG254" s="205"/>
      <c r="BH254" s="205"/>
      <c r="BI254" s="206"/>
      <c r="BS254" s="205"/>
      <c r="BT254" s="205"/>
      <c r="BU254" s="205"/>
      <c r="BV254" s="205"/>
      <c r="BW254" s="205"/>
      <c r="BX254" s="205"/>
      <c r="BY254" s="205"/>
      <c r="BZ254" s="205"/>
      <c r="CA254" s="206"/>
    </row>
    <row r="255" spans="5:79" ht="15.75" thickBot="1" x14ac:dyDescent="0.3">
      <c r="E255" s="336"/>
      <c r="F255" s="86" t="s">
        <v>971</v>
      </c>
      <c r="G255" s="66">
        <v>2</v>
      </c>
      <c r="H255" t="str">
        <v>Inv-Tee Geometry (Inv T Spreadsheet, Special)</v>
      </c>
      <c r="AJ255" s="204"/>
      <c r="AK255" s="205"/>
      <c r="AL255" s="205"/>
      <c r="AM255" s="205"/>
      <c r="AN255" s="205"/>
      <c r="AO255" s="205"/>
      <c r="AP255" s="205"/>
      <c r="AQ255" s="205"/>
      <c r="AR255" s="205"/>
      <c r="AS255" s="205"/>
      <c r="AT255" s="205"/>
      <c r="AU255" s="205"/>
      <c r="AV255" s="205"/>
      <c r="AW255" s="206"/>
      <c r="AY255" s="204"/>
      <c r="AZ255" s="205"/>
      <c r="BA255" s="205"/>
      <c r="BB255" s="205"/>
      <c r="BC255" s="206"/>
      <c r="BE255" s="204"/>
      <c r="BF255" s="205"/>
      <c r="BG255" s="205"/>
      <c r="BH255" s="205"/>
      <c r="BI255" s="206"/>
      <c r="BS255" s="205"/>
      <c r="BT255" s="205"/>
      <c r="BU255" s="205"/>
      <c r="BV255" s="205"/>
      <c r="BW255" s="205"/>
      <c r="BX255" s="205"/>
      <c r="BY255" s="205"/>
      <c r="BZ255" s="205"/>
      <c r="CA255" s="206"/>
    </row>
    <row r="256" spans="5:79" ht="15" customHeight="1" x14ac:dyDescent="0.25">
      <c r="E256" s="334" t="s">
        <v>2033</v>
      </c>
      <c r="F256" s="108" t="s">
        <v>860</v>
      </c>
      <c r="G256" s="145">
        <v>275.21342716603323</v>
      </c>
      <c r="H256" t="str" cm="1">
        <f t="array" ref="H256:H260">D256:D260&amp;E256</f>
        <v>Outputs from Module-I Spreadsheet</v>
      </c>
      <c r="AJ256" s="204"/>
      <c r="AK256" s="205"/>
      <c r="AL256" s="205"/>
      <c r="AM256" s="205"/>
      <c r="AN256" s="205"/>
      <c r="AO256" s="205"/>
      <c r="AP256" s="205"/>
      <c r="AQ256" s="205"/>
      <c r="AR256" s="205"/>
      <c r="AS256" s="205"/>
      <c r="AT256" s="205"/>
      <c r="AU256" s="205"/>
      <c r="AV256" s="205"/>
      <c r="AW256" s="206"/>
      <c r="AY256" s="204"/>
      <c r="AZ256" s="205"/>
      <c r="BA256" s="205"/>
      <c r="BB256" s="205"/>
      <c r="BC256" s="206"/>
      <c r="BE256" s="204"/>
      <c r="BF256" s="205"/>
      <c r="BG256" s="205"/>
      <c r="BH256" s="205"/>
      <c r="BI256" s="206"/>
      <c r="BS256" s="205"/>
      <c r="BT256" s="205"/>
      <c r="BU256" s="205"/>
      <c r="BV256" s="205"/>
      <c r="BW256" s="205"/>
      <c r="BX256" s="205"/>
      <c r="BY256" s="205"/>
      <c r="BZ256" s="205"/>
      <c r="CA256" s="206"/>
    </row>
    <row r="257" spans="5:79" x14ac:dyDescent="0.25">
      <c r="E257" s="335"/>
      <c r="F257" s="2" t="s">
        <v>861</v>
      </c>
      <c r="G257" s="146">
        <v>305.51034062632141</v>
      </c>
      <c r="H257" t="str">
        <v>Outputs from Module-I Spreadsheet</v>
      </c>
      <c r="AJ257" s="204"/>
      <c r="AK257" s="205"/>
      <c r="AL257" s="228" t="s">
        <v>1055</v>
      </c>
      <c r="AM257" s="205"/>
      <c r="AN257" s="205"/>
      <c r="AO257" s="228" t="s">
        <v>2009</v>
      </c>
      <c r="AP257" s="205"/>
      <c r="AQ257" s="205"/>
      <c r="AR257" s="228" t="s">
        <v>2014</v>
      </c>
      <c r="AS257" s="205"/>
      <c r="AT257" s="205"/>
      <c r="AU257" s="228" t="s">
        <v>2014</v>
      </c>
      <c r="AV257" s="205"/>
      <c r="AW257" s="206"/>
      <c r="AY257" s="204"/>
      <c r="AZ257" s="205"/>
      <c r="BA257" s="228" t="s">
        <v>1055</v>
      </c>
      <c r="BB257" s="205"/>
      <c r="BC257" s="206"/>
      <c r="BE257" s="204"/>
      <c r="BF257" s="205"/>
      <c r="BG257" s="228" t="s">
        <v>1055</v>
      </c>
      <c r="BH257" s="205"/>
      <c r="BI257" s="206"/>
      <c r="BS257" s="228" t="s">
        <v>2009</v>
      </c>
      <c r="BT257" s="205"/>
      <c r="BU257" s="205"/>
      <c r="BV257" s="228" t="s">
        <v>2014</v>
      </c>
      <c r="BW257" s="205"/>
      <c r="BX257" s="205"/>
      <c r="BY257" s="228" t="s">
        <v>2014</v>
      </c>
      <c r="BZ257" s="205"/>
      <c r="CA257" s="206"/>
    </row>
    <row r="258" spans="5:79" ht="15.75" thickBot="1" x14ac:dyDescent="0.3">
      <c r="E258" s="335"/>
      <c r="F258" s="2" t="s">
        <v>862</v>
      </c>
      <c r="G258" s="146">
        <v>182.86159255469755</v>
      </c>
      <c r="H258" t="str">
        <v>Outputs from Module-I Spreadsheet</v>
      </c>
      <c r="AJ258" s="204"/>
      <c r="AK258" s="205"/>
      <c r="AL258" s="205"/>
      <c r="AM258" s="205"/>
      <c r="AN258" s="205"/>
      <c r="AO258" s="205"/>
      <c r="AP258" s="205"/>
      <c r="AQ258" s="205"/>
      <c r="AR258" s="205"/>
      <c r="AS258" s="205"/>
      <c r="AT258" s="205"/>
      <c r="AU258" s="205"/>
      <c r="AV258" s="205"/>
      <c r="AW258" s="206"/>
      <c r="AY258" s="204"/>
      <c r="AZ258" s="205"/>
      <c r="BA258" s="205"/>
      <c r="BB258" s="205"/>
      <c r="BC258" s="206"/>
      <c r="BE258" s="204"/>
      <c r="BF258" s="205"/>
      <c r="BG258" s="205"/>
      <c r="BH258" s="205"/>
      <c r="BI258" s="206"/>
      <c r="BS258" s="205"/>
      <c r="BT258" s="205"/>
      <c r="BU258" s="205"/>
      <c r="BV258" s="205"/>
      <c r="BW258" s="205"/>
      <c r="BX258" s="205"/>
      <c r="BY258" s="205"/>
      <c r="BZ258" s="205"/>
      <c r="CA258" s="206"/>
    </row>
    <row r="259" spans="5:79" ht="15.75" thickBot="1" x14ac:dyDescent="0.3">
      <c r="E259" s="335"/>
      <c r="F259" s="2" t="s">
        <v>863</v>
      </c>
      <c r="G259" s="146">
        <v>202.46925630879079</v>
      </c>
      <c r="H259" t="str">
        <v>Outputs from Module-I Spreadsheet</v>
      </c>
      <c r="AJ259" s="204"/>
      <c r="AK259" s="205"/>
      <c r="AL259" s="205"/>
      <c r="AM259" s="205"/>
      <c r="AN259" s="205"/>
      <c r="AO259" s="257" t="s">
        <v>2007</v>
      </c>
      <c r="AP259" s="258" t="s">
        <v>2008</v>
      </c>
      <c r="AQ259" s="205"/>
      <c r="AR259" s="257" t="s">
        <v>2007</v>
      </c>
      <c r="AS259" s="258" t="s">
        <v>2008</v>
      </c>
      <c r="AT259" s="205"/>
      <c r="AU259" s="257" t="s">
        <v>2007</v>
      </c>
      <c r="AV259" s="258" t="s">
        <v>2008</v>
      </c>
      <c r="AW259" s="206"/>
      <c r="AY259" s="204"/>
      <c r="AZ259" s="205"/>
      <c r="BA259" s="205"/>
      <c r="BB259" s="205"/>
      <c r="BC259" s="206"/>
      <c r="BE259" s="204"/>
      <c r="BF259" s="205"/>
      <c r="BG259" s="205"/>
      <c r="BH259" s="205"/>
      <c r="BI259" s="206"/>
      <c r="BS259" s="257" t="s">
        <v>2007</v>
      </c>
      <c r="BT259" s="258" t="s">
        <v>2008</v>
      </c>
      <c r="BU259" s="205"/>
      <c r="BV259" s="257" t="s">
        <v>2007</v>
      </c>
      <c r="BW259" s="258" t="s">
        <v>2008</v>
      </c>
      <c r="BX259" s="205"/>
      <c r="BY259" s="257" t="s">
        <v>2007</v>
      </c>
      <c r="BZ259" s="258" t="s">
        <v>2008</v>
      </c>
      <c r="CA259" s="206"/>
    </row>
    <row r="260" spans="5:79" ht="16.5" thickTop="1" thickBot="1" x14ac:dyDescent="0.3">
      <c r="E260" s="335"/>
      <c r="F260" s="2" t="s">
        <v>745</v>
      </c>
      <c r="G260" s="147">
        <v>1407.535779881196</v>
      </c>
      <c r="H260" t="str">
        <v>Outputs from Module-I Spreadsheet</v>
      </c>
      <c r="AJ260" s="204"/>
      <c r="AK260" s="205"/>
      <c r="AL260" s="205"/>
      <c r="AM260" s="205"/>
      <c r="AN260" s="205"/>
      <c r="AO260" s="222">
        <f>2+IF(IncreaseClearCover=TRUE,0.5,0)+$AO$254+$AR$254/2</f>
        <v>3.33</v>
      </c>
      <c r="AP260" s="224">
        <f>($AL$254-$AK$254-AO260*2)/(Arow1-1)</f>
        <v>2.5933333333333333</v>
      </c>
      <c r="AQ260" s="205"/>
      <c r="AR260" s="222">
        <f>2+IF(IncreaseClearCover=TRUE,0.5,0)+$AO$254+$AR$254</f>
        <v>4.0350000000000001</v>
      </c>
      <c r="AS260" s="224">
        <f>($AL$254-$AK$254-AR260*2)/(Arow1/2-1)</f>
        <v>5.4824999999999999</v>
      </c>
      <c r="AT260" s="205"/>
      <c r="AU260" s="222">
        <f>2+IF(IncreaseClearCover=TRUE,0.5,0)+$AO$254+$AR$254</f>
        <v>4.0350000000000001</v>
      </c>
      <c r="AV260" s="224">
        <f>($AL$254-$AK$254-AU260*2)/(Arow1/2-1)</f>
        <v>5.4824999999999999</v>
      </c>
      <c r="AW260" s="206"/>
      <c r="AY260" s="204"/>
      <c r="AZ260" s="205"/>
      <c r="BA260" s="205"/>
      <c r="BB260" s="205"/>
      <c r="BC260" s="206"/>
      <c r="BE260" s="204"/>
      <c r="BF260" s="205"/>
      <c r="BG260" s="205"/>
      <c r="BH260" s="205"/>
      <c r="BI260" s="206"/>
      <c r="BS260" s="222">
        <f>2+IF(IncreaseClearCover,0.5,0)+$AO$254+$AR$254/2</f>
        <v>3.33</v>
      </c>
      <c r="BT260" s="224" t="e">
        <f>($AL$254-$AK$254-BS260*2)/(Arow3-1)</f>
        <v>#VALUE!</v>
      </c>
      <c r="BU260" s="205"/>
      <c r="BV260" s="222">
        <f>2+IF(IncreaseClearCover,0.5,0)+$AO$254+$AR$254</f>
        <v>4.0350000000000001</v>
      </c>
      <c r="BW260" s="224" t="e">
        <f>($AL$254-$AK$254-BV260*2)/(Arow3/2-1)</f>
        <v>#VALUE!</v>
      </c>
      <c r="BX260" s="205"/>
      <c r="BY260" s="222">
        <f>2+IF(IncreaseClearCover,0.5,0)+$AO$254+$AR$254</f>
        <v>4.0350000000000001</v>
      </c>
      <c r="BZ260" s="224" t="e">
        <f>($AL$254-$AK$254-BY260*2)/(Arow3/2-1)</f>
        <v>#VALUE!</v>
      </c>
      <c r="CA260" s="206"/>
    </row>
    <row r="261" spans="5:79" ht="15" customHeight="1" thickBot="1" x14ac:dyDescent="0.3">
      <c r="E261" s="334" t="s">
        <v>879</v>
      </c>
      <c r="F261" s="159" t="s">
        <v>900</v>
      </c>
      <c r="G261" s="149">
        <v>1.3031085868108438</v>
      </c>
      <c r="H261" t="str" cm="1">
        <f t="array" ref="H261:H272">D261:D272&amp;E261</f>
        <v>Ledge Checks -Exterior Girder Location (outputs from Inv T Spreadsheet)</v>
      </c>
      <c r="AJ261" s="204"/>
      <c r="AK261" s="205"/>
      <c r="AL261" s="205"/>
      <c r="AM261" s="205"/>
      <c r="AN261" s="205"/>
      <c r="AO261" s="205"/>
      <c r="AP261" s="205"/>
      <c r="AQ261" s="205"/>
      <c r="AR261" s="205"/>
      <c r="AS261" s="205"/>
      <c r="AT261" s="205"/>
      <c r="AU261" s="205"/>
      <c r="AV261" s="205"/>
      <c r="AW261" s="206"/>
      <c r="AY261" s="204"/>
      <c r="AZ261" s="205"/>
      <c r="BA261" s="205"/>
      <c r="BB261" s="205"/>
      <c r="BC261" s="206"/>
      <c r="BE261" s="204"/>
      <c r="BF261" s="205"/>
      <c r="BG261" s="205"/>
      <c r="BH261" s="205"/>
      <c r="BI261" s="206"/>
      <c r="BS261" s="205"/>
      <c r="BT261" s="205"/>
      <c r="BU261" s="205"/>
      <c r="BV261" s="205"/>
      <c r="BW261" s="205"/>
      <c r="BX261" s="205"/>
      <c r="BY261" s="205"/>
      <c r="BZ261" s="205"/>
      <c r="CA261" s="206"/>
    </row>
    <row r="262" spans="5:79" ht="15.75" thickBot="1" x14ac:dyDescent="0.3">
      <c r="E262" s="335"/>
      <c r="F262" s="181" t="s">
        <v>901</v>
      </c>
      <c r="G262" s="150">
        <v>0.3865453537337965</v>
      </c>
      <c r="H262" t="str">
        <v>Ledge Checks -Exterior Girder Location (outputs from Inv T Spreadsheet)</v>
      </c>
      <c r="AJ262" s="204"/>
      <c r="AK262" s="205"/>
      <c r="AL262" s="257" t="s">
        <v>817</v>
      </c>
      <c r="AM262" s="258" t="s">
        <v>818</v>
      </c>
      <c r="AN262" s="205"/>
      <c r="AO262" s="257" t="s">
        <v>817</v>
      </c>
      <c r="AP262" s="258" t="s">
        <v>818</v>
      </c>
      <c r="AQ262" s="205"/>
      <c r="AR262" s="257" t="s">
        <v>817</v>
      </c>
      <c r="AS262" s="258" t="s">
        <v>818</v>
      </c>
      <c r="AT262" s="205"/>
      <c r="AU262" s="257" t="s">
        <v>817</v>
      </c>
      <c r="AV262" s="258" t="s">
        <v>818</v>
      </c>
      <c r="AW262" s="206"/>
      <c r="AY262" s="204"/>
      <c r="AZ262" s="205"/>
      <c r="BA262" s="257" t="s">
        <v>817</v>
      </c>
      <c r="BB262" s="258" t="s">
        <v>818</v>
      </c>
      <c r="BC262" s="206"/>
      <c r="BE262" s="204"/>
      <c r="BF262" s="205"/>
      <c r="BG262" s="257" t="s">
        <v>817</v>
      </c>
      <c r="BH262" s="258" t="s">
        <v>818</v>
      </c>
      <c r="BI262" s="206"/>
      <c r="BS262" s="257" t="s">
        <v>817</v>
      </c>
      <c r="BT262" s="258" t="s">
        <v>818</v>
      </c>
      <c r="BU262" s="205"/>
      <c r="BV262" s="257" t="s">
        <v>817</v>
      </c>
      <c r="BW262" s="258" t="s">
        <v>818</v>
      </c>
      <c r="BX262" s="205"/>
      <c r="BY262" s="257" t="s">
        <v>817</v>
      </c>
      <c r="BZ262" s="258" t="s">
        <v>818</v>
      </c>
      <c r="CA262" s="206"/>
    </row>
    <row r="263" spans="5:79" ht="15.75" thickTop="1" x14ac:dyDescent="0.25">
      <c r="E263" s="335"/>
      <c r="F263" s="181" t="s">
        <v>902</v>
      </c>
      <c r="G263" s="150">
        <v>1.701233047808568</v>
      </c>
      <c r="H263" t="str">
        <v>Ledge Checks -Exterior Girder Location (outputs from Inv T Spreadsheet)</v>
      </c>
      <c r="AJ263" s="204"/>
      <c r="AK263" s="229" cm="1">
        <f t="array" ref="AK263:AK302">_xlfn.SEQUENCE(40)</f>
        <v>1</v>
      </c>
      <c r="AL263" s="220" cm="1">
        <f t="array" ref="AL263:AL272">IF($W$138="Bundling Not Required - OK",_xlfn.ANCHORARRAY(AO263), _xlfn.VSTACK(_xlfn.ANCHORARRAY(AR263),_xlfn.ANCHORARRAY(AU263)))</f>
        <v>19.830000000000002</v>
      </c>
      <c r="AM263" s="221" cm="1">
        <f t="array" ref="AM263:AM272">IF($W$138="Bundling Not Required - OK",_xlfn.ANCHORARRAY(AP263), _xlfn.VSTACK(_xlfn.ANCHORARRAY(AS263),_xlfn.ANCHORARRAY(AV263)))</f>
        <v>73.67</v>
      </c>
      <c r="AN263" s="229" cm="1">
        <f t="array" ref="AN263:AN282">_xlfn.SEQUENCE(20)</f>
        <v>1</v>
      </c>
      <c r="AO263" s="220" cm="1">
        <f t="array" ref="AO263:AO272">_xlfn.SEQUENCE(Arow1,,$AK$254+AO260,AP260)</f>
        <v>19.829999999999998</v>
      </c>
      <c r="AP263" s="221" cm="1">
        <f t="array" ref="AP263:AP272">_xlfn.SEQUENCE(Arow1,,MAX($AL$144:$AL$152)-AO260,0)</f>
        <v>73.67</v>
      </c>
      <c r="AQ263" s="229" cm="1">
        <f t="array" ref="AQ263:AQ282">_xlfn.SEQUENCE(20)</f>
        <v>1</v>
      </c>
      <c r="AR263" s="220" cm="1">
        <f t="array" ref="AR263:AR267">_xlfn.SEQUENCE(Arow1/2,,$AK$254+AR260-$AR$254/2,AS260)</f>
        <v>19.830000000000002</v>
      </c>
      <c r="AS263" s="221" cm="1">
        <f t="array" ref="AS263:AS267">_xlfn.SEQUENCE(Arow1/2,,MAX($AL$144:$AL$152)-AO260,0)</f>
        <v>73.67</v>
      </c>
      <c r="AT263" s="229" cm="1">
        <f t="array" ref="AT263:AT282">_xlfn.SEQUENCE(20)</f>
        <v>1</v>
      </c>
      <c r="AU263" s="220" cm="1">
        <f t="array" ref="AU263:AU267">_xlfn.SEQUENCE(Arow1/2,,$AK$254+AU260+$AR$254/2,AV260)</f>
        <v>21.24</v>
      </c>
      <c r="AV263" s="221" cm="1">
        <f t="array" ref="AV263:AV267">_xlfn.SEQUENCE(Arow1/2,,MAX($AL$144:$AL$152)-AO260,0)</f>
        <v>73.67</v>
      </c>
      <c r="AW263" s="206"/>
      <c r="AY263" s="204"/>
      <c r="AZ263" s="229" cm="1">
        <f t="array" ref="AZ263:AZ282">_xlfn.SEQUENCE(20)</f>
        <v>1</v>
      </c>
      <c r="BA263" s="220" cm="1">
        <f t="array" ref="BA263:BA272">IF(AZ252, AL263,SMALL(_xlfn.ANCHORARRAY(AL263),_xlfn.SEQUENCE(Arow2,,(Arow1-Arow2)/2+1)))</f>
        <v>19.830000000000002</v>
      </c>
      <c r="BB263" s="221" cm="1">
        <f t="array" ref="BB263:BB272">IF(AZ252,AM263, _xlfn.SEQUENCE(Arow2,,0,0)+AM263-BarsAdist)</f>
        <v>69.92</v>
      </c>
      <c r="BC263" s="206"/>
      <c r="BE263" s="204"/>
      <c r="BF263" s="229" cm="1">
        <f t="array" ref="BF263:BF282">_xlfn.SEQUENCE(20)</f>
        <v>1</v>
      </c>
      <c r="BG263" s="220" cm="1">
        <f t="array" ref="BG263">IF(BF252,AL263, SMALL(_xlfn.ANCHORARRAY(AL263),_xlfn.SEQUENCE(Arow3,,(Arow1-Arow3)/2+1)))</f>
        <v>19.830000000000002</v>
      </c>
      <c r="BH263" s="221" cm="1">
        <f t="array" ref="BH263">IF(BF252,AM263, _xlfn.SEQUENCE(Arow3,,0,0)+AM263-BarsAdist*2)</f>
        <v>73.67</v>
      </c>
      <c r="BI263" s="289"/>
      <c r="BS263" s="220" t="e" cm="1">
        <f t="array" ref="BS263">_xlfn.SEQUENCE(Arow3,,$AK$254+BS260,BT260)</f>
        <v>#VALUE!</v>
      </c>
      <c r="BT263" s="221" t="e" cm="1">
        <f t="array" ref="BT263">_xlfn.SEQUENCE(Arow3,,MAX($AL$144:$AL$152)-BS260-BarsAdist*2,0)</f>
        <v>#VALUE!</v>
      </c>
      <c r="BU263" s="229" cm="1">
        <f t="array" ref="BU263:BU272">_xlfn.SEQUENCE(10)</f>
        <v>1</v>
      </c>
      <c r="BV263" s="220" t="e" cm="1">
        <f t="array" ref="BV263">_xlfn.SEQUENCE(Arow3/2,,$AK$254+BV260-$AR$254/2,BW260)</f>
        <v>#VALUE!</v>
      </c>
      <c r="BW263" s="221" t="e" cm="1">
        <f t="array" ref="BW263">_xlfn.SEQUENCE(Arow3/2,,MAX($AL$144:$AL$152)-BS260-BarsAdist*2,0)</f>
        <v>#VALUE!</v>
      </c>
      <c r="BX263" s="229" cm="1">
        <f t="array" ref="BX263:BX272">_xlfn.SEQUENCE(10)</f>
        <v>1</v>
      </c>
      <c r="BY263" s="220" t="e" cm="1">
        <f t="array" ref="BY263">_xlfn.SEQUENCE(Arow3/2,,$AK$254+BY260+$AR$254/2,BZ260)</f>
        <v>#VALUE!</v>
      </c>
      <c r="BZ263" s="221" t="e" cm="1">
        <f t="array" ref="BZ263">_xlfn.SEQUENCE(Arow3/2,,MAX($AL$144:$AL$152)-BS260-BarsAdist*2,0)</f>
        <v>#VALUE!</v>
      </c>
      <c r="CA263" s="206"/>
    </row>
    <row r="264" spans="5:79" x14ac:dyDescent="0.25">
      <c r="E264" s="335"/>
      <c r="F264" s="182" t="s">
        <v>868</v>
      </c>
      <c r="G264" s="150" t="str">
        <v>Yes-Steel has yielded at Mn</v>
      </c>
      <c r="H264" t="str">
        <v>Ledge Checks -Exterior Girder Location (outputs from Inv T Spreadsheet)</v>
      </c>
      <c r="AJ264" s="204"/>
      <c r="AK264" s="229">
        <v>2</v>
      </c>
      <c r="AL264" s="220">
        <v>25.3125</v>
      </c>
      <c r="AM264" s="221">
        <v>73.67</v>
      </c>
      <c r="AN264" s="229">
        <v>2</v>
      </c>
      <c r="AO264" s="220">
        <v>22.423333333333332</v>
      </c>
      <c r="AP264" s="221">
        <v>73.67</v>
      </c>
      <c r="AQ264" s="229">
        <v>2</v>
      </c>
      <c r="AR264" s="220">
        <v>25.3125</v>
      </c>
      <c r="AS264" s="221">
        <v>73.67</v>
      </c>
      <c r="AT264" s="229">
        <v>2</v>
      </c>
      <c r="AU264" s="220">
        <v>26.722499999999997</v>
      </c>
      <c r="AV264" s="221">
        <v>73.67</v>
      </c>
      <c r="AW264" s="206"/>
      <c r="AY264" s="204"/>
      <c r="AZ264" s="229">
        <v>2</v>
      </c>
      <c r="BA264" s="220">
        <v>21.24</v>
      </c>
      <c r="BB264" s="221">
        <v>69.92</v>
      </c>
      <c r="BC264" s="206"/>
      <c r="BE264" s="204"/>
      <c r="BF264" s="229">
        <v>2</v>
      </c>
      <c r="BG264" s="220"/>
      <c r="BH264" s="221"/>
      <c r="BI264" s="289"/>
      <c r="BS264" s="220"/>
      <c r="BT264" s="221"/>
      <c r="BU264" s="229">
        <v>2</v>
      </c>
      <c r="BV264" s="220"/>
      <c r="BW264" s="221"/>
      <c r="BX264" s="229">
        <v>2</v>
      </c>
      <c r="BY264" s="220"/>
      <c r="BZ264" s="221"/>
      <c r="CA264" s="206"/>
    </row>
    <row r="265" spans="5:79" x14ac:dyDescent="0.25">
      <c r="E265" s="335"/>
      <c r="F265" s="181" t="s">
        <v>865</v>
      </c>
      <c r="G265" s="150">
        <v>0.65171869567225216</v>
      </c>
      <c r="H265" t="str">
        <v>Ledge Checks -Exterior Girder Location (outputs from Inv T Spreadsheet)</v>
      </c>
      <c r="AJ265" s="204"/>
      <c r="AK265" s="229">
        <v>3</v>
      </c>
      <c r="AL265" s="220">
        <v>30.795000000000002</v>
      </c>
      <c r="AM265" s="221">
        <v>73.67</v>
      </c>
      <c r="AN265" s="229">
        <v>3</v>
      </c>
      <c r="AO265" s="220">
        <v>25.016666666666666</v>
      </c>
      <c r="AP265" s="221">
        <v>73.67</v>
      </c>
      <c r="AQ265" s="229">
        <v>3</v>
      </c>
      <c r="AR265" s="220">
        <v>30.795000000000002</v>
      </c>
      <c r="AS265" s="221">
        <v>73.67</v>
      </c>
      <c r="AT265" s="229">
        <v>3</v>
      </c>
      <c r="AU265" s="220">
        <v>32.204999999999998</v>
      </c>
      <c r="AV265" s="221">
        <v>73.67</v>
      </c>
      <c r="AW265" s="206"/>
      <c r="AY265" s="204"/>
      <c r="AZ265" s="229">
        <v>3</v>
      </c>
      <c r="BA265" s="220">
        <v>25.3125</v>
      </c>
      <c r="BB265" s="221">
        <v>69.92</v>
      </c>
      <c r="BC265" s="206"/>
      <c r="BE265" s="204"/>
      <c r="BF265" s="229">
        <v>3</v>
      </c>
      <c r="BG265" s="220"/>
      <c r="BH265" s="221"/>
      <c r="BI265" s="289"/>
      <c r="BS265" s="220"/>
      <c r="BT265" s="221"/>
      <c r="BU265" s="229">
        <v>3</v>
      </c>
      <c r="BV265" s="220"/>
      <c r="BW265" s="221"/>
      <c r="BX265" s="229">
        <v>3</v>
      </c>
      <c r="BY265" s="220"/>
      <c r="BZ265" s="221"/>
      <c r="CA265" s="206"/>
    </row>
    <row r="266" spans="5:79" x14ac:dyDescent="0.25">
      <c r="E266" s="335"/>
      <c r="F266" s="181" t="s">
        <v>866</v>
      </c>
      <c r="G266" s="150" t="str">
        <v>Minimum Reinforcement OK</v>
      </c>
      <c r="H266" t="str">
        <v>Ledge Checks -Exterior Girder Location (outputs from Inv T Spreadsheet)</v>
      </c>
      <c r="AJ266" s="204"/>
      <c r="AK266" s="229">
        <v>4</v>
      </c>
      <c r="AL266" s="220">
        <v>36.277500000000003</v>
      </c>
      <c r="AM266" s="221">
        <v>73.67</v>
      </c>
      <c r="AN266" s="229">
        <v>4</v>
      </c>
      <c r="AO266" s="220">
        <v>27.61</v>
      </c>
      <c r="AP266" s="221">
        <v>73.67</v>
      </c>
      <c r="AQ266" s="229">
        <v>4</v>
      </c>
      <c r="AR266" s="220">
        <v>36.277500000000003</v>
      </c>
      <c r="AS266" s="221">
        <v>73.67</v>
      </c>
      <c r="AT266" s="229">
        <v>4</v>
      </c>
      <c r="AU266" s="220">
        <v>37.6875</v>
      </c>
      <c r="AV266" s="221">
        <v>73.67</v>
      </c>
      <c r="AW266" s="206"/>
      <c r="AY266" s="204"/>
      <c r="AZ266" s="229">
        <v>4</v>
      </c>
      <c r="BA266" s="220">
        <v>26.722499999999997</v>
      </c>
      <c r="BB266" s="221">
        <v>69.92</v>
      </c>
      <c r="BC266" s="206"/>
      <c r="BE266" s="204"/>
      <c r="BF266" s="229">
        <v>4</v>
      </c>
      <c r="BG266" s="220"/>
      <c r="BH266" s="221"/>
      <c r="BI266" s="289"/>
      <c r="BS266" s="220"/>
      <c r="BT266" s="221"/>
      <c r="BU266" s="229">
        <v>4</v>
      </c>
      <c r="BV266" s="220"/>
      <c r="BW266" s="221"/>
      <c r="BX266" s="229">
        <v>4</v>
      </c>
      <c r="BY266" s="220"/>
      <c r="BZ266" s="221"/>
      <c r="CA266" s="206"/>
    </row>
    <row r="267" spans="5:79" x14ac:dyDescent="0.25">
      <c r="E267" s="335"/>
      <c r="F267" s="181" t="s">
        <v>867</v>
      </c>
      <c r="G267" s="150" t="str">
        <v>Minimum Reinforcement OK</v>
      </c>
      <c r="H267" t="str">
        <v>Ledge Checks -Exterior Girder Location (outputs from Inv T Spreadsheet)</v>
      </c>
      <c r="AJ267" s="204"/>
      <c r="AK267" s="229">
        <v>5</v>
      </c>
      <c r="AL267" s="220">
        <v>41.760000000000005</v>
      </c>
      <c r="AM267" s="221">
        <v>73.67</v>
      </c>
      <c r="AN267" s="229">
        <v>5</v>
      </c>
      <c r="AO267" s="220">
        <v>30.203333333333333</v>
      </c>
      <c r="AP267" s="221">
        <v>73.67</v>
      </c>
      <c r="AQ267" s="229">
        <v>5</v>
      </c>
      <c r="AR267" s="220">
        <v>41.760000000000005</v>
      </c>
      <c r="AS267" s="221">
        <v>73.67</v>
      </c>
      <c r="AT267" s="229">
        <v>5</v>
      </c>
      <c r="AU267" s="220">
        <v>43.17</v>
      </c>
      <c r="AV267" s="221">
        <v>73.67</v>
      </c>
      <c r="AW267" s="206"/>
      <c r="AY267" s="204"/>
      <c r="AZ267" s="229">
        <v>5</v>
      </c>
      <c r="BA267" s="220">
        <v>30.795000000000002</v>
      </c>
      <c r="BB267" s="221">
        <v>69.92</v>
      </c>
      <c r="BC267" s="206"/>
      <c r="BE267" s="204"/>
      <c r="BF267" s="229">
        <v>5</v>
      </c>
      <c r="BG267" s="220"/>
      <c r="BH267" s="221"/>
      <c r="BI267" s="289"/>
      <c r="BS267" s="220"/>
      <c r="BT267" s="221"/>
      <c r="BU267" s="229">
        <v>5</v>
      </c>
      <c r="BV267" s="220"/>
      <c r="BW267" s="221"/>
      <c r="BX267" s="229">
        <v>5</v>
      </c>
      <c r="BY267" s="220"/>
      <c r="BZ267" s="221"/>
      <c r="CA267" s="206"/>
    </row>
    <row r="268" spans="5:79" x14ac:dyDescent="0.25">
      <c r="E268" s="335"/>
      <c r="F268" s="181" t="s">
        <v>903</v>
      </c>
      <c r="G268" s="150">
        <v>0.98908689008457584</v>
      </c>
      <c r="H268" t="str">
        <v>Ledge Checks -Exterior Girder Location (outputs from Inv T Spreadsheet)</v>
      </c>
      <c r="AJ268" s="204"/>
      <c r="AK268" s="229">
        <v>6</v>
      </c>
      <c r="AL268" s="220">
        <v>21.24</v>
      </c>
      <c r="AM268" s="221">
        <v>73.67</v>
      </c>
      <c r="AN268" s="229">
        <v>6</v>
      </c>
      <c r="AO268" s="220">
        <v>32.796666666666667</v>
      </c>
      <c r="AP268" s="221">
        <v>73.67</v>
      </c>
      <c r="AQ268" s="229">
        <v>6</v>
      </c>
      <c r="AR268" s="220"/>
      <c r="AS268" s="221"/>
      <c r="AT268" s="229">
        <v>6</v>
      </c>
      <c r="AU268" s="220"/>
      <c r="AV268" s="221"/>
      <c r="AW268" s="206"/>
      <c r="AY268" s="204"/>
      <c r="AZ268" s="229">
        <v>6</v>
      </c>
      <c r="BA268" s="220">
        <v>32.204999999999998</v>
      </c>
      <c r="BB268" s="221">
        <v>69.92</v>
      </c>
      <c r="BC268" s="206"/>
      <c r="BE268" s="204"/>
      <c r="BF268" s="229">
        <v>6</v>
      </c>
      <c r="BG268" s="220"/>
      <c r="BH268" s="221"/>
      <c r="BI268" s="289"/>
      <c r="BS268" s="220"/>
      <c r="BT268" s="221"/>
      <c r="BU268" s="229">
        <v>6</v>
      </c>
      <c r="BV268" s="220"/>
      <c r="BW268" s="221"/>
      <c r="BX268" s="229">
        <v>6</v>
      </c>
      <c r="BY268" s="220"/>
      <c r="BZ268" s="221"/>
      <c r="CA268" s="206"/>
    </row>
    <row r="269" spans="5:79" x14ac:dyDescent="0.25">
      <c r="E269" s="335"/>
      <c r="F269" s="181" t="s">
        <v>869</v>
      </c>
      <c r="G269" s="150" t="str">
        <v>Minimum Reinforcement OK</v>
      </c>
      <c r="H269" t="str">
        <v>Ledge Checks -Exterior Girder Location (outputs from Inv T Spreadsheet)</v>
      </c>
      <c r="AJ269" s="204"/>
      <c r="AK269" s="229">
        <v>7</v>
      </c>
      <c r="AL269" s="220">
        <v>26.722499999999997</v>
      </c>
      <c r="AM269" s="221">
        <v>73.67</v>
      </c>
      <c r="AN269" s="229">
        <v>7</v>
      </c>
      <c r="AO269" s="220">
        <v>35.39</v>
      </c>
      <c r="AP269" s="221">
        <v>73.67</v>
      </c>
      <c r="AQ269" s="229">
        <v>7</v>
      </c>
      <c r="AR269" s="220"/>
      <c r="AS269" s="221"/>
      <c r="AT269" s="229">
        <v>7</v>
      </c>
      <c r="AU269" s="220"/>
      <c r="AV269" s="221"/>
      <c r="AW269" s="206"/>
      <c r="AY269" s="204"/>
      <c r="AZ269" s="229">
        <v>7</v>
      </c>
      <c r="BA269" s="220">
        <v>36.277500000000003</v>
      </c>
      <c r="BB269" s="221">
        <v>69.92</v>
      </c>
      <c r="BC269" s="206"/>
      <c r="BE269" s="204"/>
      <c r="BF269" s="229">
        <v>7</v>
      </c>
      <c r="BG269" s="220"/>
      <c r="BH269" s="221"/>
      <c r="BI269" s="289"/>
      <c r="BS269" s="220"/>
      <c r="BT269" s="221"/>
      <c r="BU269" s="229">
        <v>7</v>
      </c>
      <c r="BV269" s="220"/>
      <c r="BW269" s="221"/>
      <c r="BX269" s="229">
        <v>7</v>
      </c>
      <c r="BY269" s="220"/>
      <c r="BZ269" s="221"/>
      <c r="CA269" s="206"/>
    </row>
    <row r="270" spans="5:79" x14ac:dyDescent="0.25">
      <c r="E270" s="335"/>
      <c r="F270" s="181" t="s">
        <v>904</v>
      </c>
      <c r="G270" s="150">
        <v>2.2810623690826026</v>
      </c>
      <c r="H270" t="str">
        <v>Ledge Checks -Exterior Girder Location (outputs from Inv T Spreadsheet)</v>
      </c>
      <c r="AJ270" s="204"/>
      <c r="AK270" s="229">
        <v>8</v>
      </c>
      <c r="AL270" s="220">
        <v>32.204999999999998</v>
      </c>
      <c r="AM270" s="221">
        <v>73.67</v>
      </c>
      <c r="AN270" s="229">
        <v>8</v>
      </c>
      <c r="AO270" s="220">
        <v>37.983333333333334</v>
      </c>
      <c r="AP270" s="221">
        <v>73.67</v>
      </c>
      <c r="AQ270" s="229">
        <v>8</v>
      </c>
      <c r="AR270" s="220"/>
      <c r="AS270" s="221"/>
      <c r="AT270" s="229">
        <v>8</v>
      </c>
      <c r="AU270" s="220"/>
      <c r="AV270" s="221"/>
      <c r="AW270" s="206"/>
      <c r="AY270" s="204"/>
      <c r="AZ270" s="229">
        <v>8</v>
      </c>
      <c r="BA270" s="220">
        <v>37.6875</v>
      </c>
      <c r="BB270" s="221">
        <v>69.92</v>
      </c>
      <c r="BC270" s="206"/>
      <c r="BE270" s="204"/>
      <c r="BF270" s="229">
        <v>8</v>
      </c>
      <c r="BG270" s="220"/>
      <c r="BH270" s="221"/>
      <c r="BI270" s="289"/>
      <c r="BS270" s="220"/>
      <c r="BT270" s="221"/>
      <c r="BU270" s="229">
        <v>8</v>
      </c>
      <c r="BV270" s="220"/>
      <c r="BW270" s="221"/>
      <c r="BX270" s="229">
        <v>8</v>
      </c>
      <c r="BY270" s="220"/>
      <c r="BZ270" s="221"/>
      <c r="CA270" s="206"/>
    </row>
    <row r="271" spans="5:79" x14ac:dyDescent="0.25">
      <c r="E271" s="335"/>
      <c r="F271" s="181" t="s">
        <v>905</v>
      </c>
      <c r="G271" s="150">
        <v>1.5847706247444953</v>
      </c>
      <c r="H271" t="str">
        <v>Ledge Checks -Exterior Girder Location (outputs from Inv T Spreadsheet)</v>
      </c>
      <c r="AJ271" s="204"/>
      <c r="AK271" s="229">
        <v>9</v>
      </c>
      <c r="AL271" s="220">
        <v>37.6875</v>
      </c>
      <c r="AM271" s="221">
        <v>73.67</v>
      </c>
      <c r="AN271" s="229">
        <v>9</v>
      </c>
      <c r="AO271" s="220">
        <v>40.576666666666668</v>
      </c>
      <c r="AP271" s="221">
        <v>73.67</v>
      </c>
      <c r="AQ271" s="229">
        <v>9</v>
      </c>
      <c r="AR271" s="220"/>
      <c r="AS271" s="221"/>
      <c r="AT271" s="229">
        <v>9</v>
      </c>
      <c r="AU271" s="220"/>
      <c r="AV271" s="221"/>
      <c r="AW271" s="206"/>
      <c r="AY271" s="204"/>
      <c r="AZ271" s="229">
        <v>9</v>
      </c>
      <c r="BA271" s="220">
        <v>41.760000000000005</v>
      </c>
      <c r="BB271" s="221">
        <v>69.92</v>
      </c>
      <c r="BC271" s="206"/>
      <c r="BE271" s="204"/>
      <c r="BF271" s="229">
        <v>9</v>
      </c>
      <c r="BG271" s="220"/>
      <c r="BH271" s="221"/>
      <c r="BI271" s="289"/>
      <c r="BS271" s="220"/>
      <c r="BT271" s="221"/>
      <c r="BU271" s="229">
        <v>9</v>
      </c>
      <c r="BV271" s="220"/>
      <c r="BW271" s="221"/>
      <c r="BX271" s="229">
        <v>9</v>
      </c>
      <c r="BY271" s="220"/>
      <c r="BZ271" s="221"/>
      <c r="CA271" s="206"/>
    </row>
    <row r="272" spans="5:79" ht="15.75" thickBot="1" x14ac:dyDescent="0.3">
      <c r="E272" s="336"/>
      <c r="F272" s="183" t="s">
        <v>906</v>
      </c>
      <c r="G272" s="150">
        <v>1.4215202811845378</v>
      </c>
      <c r="H272" t="str">
        <v>Ledge Checks -Exterior Girder Location (outputs from Inv T Spreadsheet)</v>
      </c>
      <c r="AJ272" s="204"/>
      <c r="AK272" s="229">
        <v>10</v>
      </c>
      <c r="AL272" s="220">
        <v>43.17</v>
      </c>
      <c r="AM272" s="221">
        <v>73.67</v>
      </c>
      <c r="AN272" s="229">
        <v>10</v>
      </c>
      <c r="AO272" s="220">
        <v>43.17</v>
      </c>
      <c r="AP272" s="221">
        <v>73.67</v>
      </c>
      <c r="AQ272" s="229">
        <v>10</v>
      </c>
      <c r="AR272" s="220"/>
      <c r="AS272" s="221"/>
      <c r="AT272" s="229">
        <v>10</v>
      </c>
      <c r="AU272" s="220"/>
      <c r="AV272" s="221"/>
      <c r="AW272" s="206"/>
      <c r="AY272" s="204"/>
      <c r="AZ272" s="229">
        <v>10</v>
      </c>
      <c r="BA272" s="220">
        <v>43.17</v>
      </c>
      <c r="BB272" s="221">
        <v>69.92</v>
      </c>
      <c r="BC272" s="206"/>
      <c r="BE272" s="204"/>
      <c r="BF272" s="229">
        <v>10</v>
      </c>
      <c r="BG272" s="220"/>
      <c r="BH272" s="221"/>
      <c r="BI272" s="289"/>
      <c r="BS272" s="220"/>
      <c r="BT272" s="221"/>
      <c r="BU272" s="229">
        <v>10</v>
      </c>
      <c r="BV272" s="220"/>
      <c r="BW272" s="221"/>
      <c r="BX272" s="229">
        <v>10</v>
      </c>
      <c r="BY272" s="220"/>
      <c r="BZ272" s="221"/>
      <c r="CA272" s="206"/>
    </row>
    <row r="273" spans="5:79" ht="15" customHeight="1" x14ac:dyDescent="0.25">
      <c r="E273" s="334" t="s">
        <v>880</v>
      </c>
      <c r="F273" s="148" t="s">
        <v>900</v>
      </c>
      <c r="G273" s="149">
        <v>0.41299832278654547</v>
      </c>
      <c r="H273" t="str" cm="1">
        <f t="array" ref="H273:H284">D273:D284&amp;E273</f>
        <v>Ledge Checks -Interior Girder Location (outputs from Inv T Spreadsheet)</v>
      </c>
      <c r="AJ273" s="204"/>
      <c r="AK273" s="229">
        <v>11</v>
      </c>
      <c r="AL273" s="220"/>
      <c r="AM273" s="221"/>
      <c r="AN273" s="229">
        <v>11</v>
      </c>
      <c r="AO273" s="220"/>
      <c r="AP273" s="221"/>
      <c r="AQ273" s="229">
        <v>11</v>
      </c>
      <c r="AR273" s="220"/>
      <c r="AS273" s="221"/>
      <c r="AT273" s="229">
        <v>11</v>
      </c>
      <c r="AU273" s="220"/>
      <c r="AV273" s="221"/>
      <c r="AW273" s="206"/>
      <c r="AY273" s="204"/>
      <c r="AZ273" s="229">
        <v>11</v>
      </c>
      <c r="BA273" s="220"/>
      <c r="BB273" s="221"/>
      <c r="BC273" s="206"/>
      <c r="BE273" s="204"/>
      <c r="BF273" s="229">
        <v>11</v>
      </c>
      <c r="BG273" s="220"/>
      <c r="BH273" s="221"/>
      <c r="BI273" s="289"/>
      <c r="BS273" s="220"/>
      <c r="BT273" s="221"/>
      <c r="BU273" s="229"/>
      <c r="BV273" s="220"/>
      <c r="BW273" s="221"/>
      <c r="BX273" s="229"/>
      <c r="BY273" s="220"/>
      <c r="BZ273" s="221"/>
      <c r="CA273" s="206"/>
    </row>
    <row r="274" spans="5:79" x14ac:dyDescent="0.25">
      <c r="E274" s="335"/>
      <c r="F274" s="2" t="s">
        <v>901</v>
      </c>
      <c r="G274" s="150">
        <v>0.42909825985884587</v>
      </c>
      <c r="H274" t="str">
        <v>Ledge Checks -Interior Girder Location (outputs from Inv T Spreadsheet)</v>
      </c>
      <c r="AJ274" s="204"/>
      <c r="AK274" s="229">
        <v>12</v>
      </c>
      <c r="AL274" s="220"/>
      <c r="AM274" s="221"/>
      <c r="AN274" s="229">
        <v>12</v>
      </c>
      <c r="AO274" s="220"/>
      <c r="AP274" s="221"/>
      <c r="AQ274" s="229">
        <v>12</v>
      </c>
      <c r="AR274" s="220"/>
      <c r="AS274" s="221"/>
      <c r="AT274" s="229">
        <v>12</v>
      </c>
      <c r="AU274" s="220"/>
      <c r="AV274" s="221"/>
      <c r="AW274" s="206"/>
      <c r="AY274" s="204"/>
      <c r="AZ274" s="229">
        <v>12</v>
      </c>
      <c r="BA274" s="220"/>
      <c r="BB274" s="221"/>
      <c r="BC274" s="206"/>
      <c r="BE274" s="204"/>
      <c r="BF274" s="229">
        <v>12</v>
      </c>
      <c r="BG274" s="220"/>
      <c r="BH274" s="221"/>
      <c r="BI274" s="289"/>
      <c r="BS274" s="220"/>
      <c r="BT274" s="221"/>
      <c r="BU274" s="229"/>
      <c r="BV274" s="220"/>
      <c r="BW274" s="221"/>
      <c r="BX274" s="229"/>
      <c r="BY274" s="220"/>
      <c r="BZ274" s="221"/>
      <c r="CA274" s="206"/>
    </row>
    <row r="275" spans="5:79" x14ac:dyDescent="0.25">
      <c r="E275" s="335"/>
      <c r="F275" s="2" t="s">
        <v>902</v>
      </c>
      <c r="G275" s="150">
        <v>1.701233047808568</v>
      </c>
      <c r="H275" t="str">
        <v>Ledge Checks -Interior Girder Location (outputs from Inv T Spreadsheet)</v>
      </c>
      <c r="AJ275" s="204"/>
      <c r="AK275" s="229">
        <v>13</v>
      </c>
      <c r="AL275" s="220"/>
      <c r="AM275" s="221"/>
      <c r="AN275" s="229">
        <v>13</v>
      </c>
      <c r="AO275" s="220"/>
      <c r="AP275" s="221"/>
      <c r="AQ275" s="229">
        <v>13</v>
      </c>
      <c r="AR275" s="220"/>
      <c r="AS275" s="221"/>
      <c r="AT275" s="229">
        <v>13</v>
      </c>
      <c r="AU275" s="220"/>
      <c r="AV275" s="221"/>
      <c r="AW275" s="206"/>
      <c r="AY275" s="204"/>
      <c r="AZ275" s="229">
        <v>13</v>
      </c>
      <c r="BA275" s="220"/>
      <c r="BB275" s="221"/>
      <c r="BC275" s="206"/>
      <c r="BE275" s="204"/>
      <c r="BF275" s="229">
        <v>13</v>
      </c>
      <c r="BG275" s="220"/>
      <c r="BH275" s="221"/>
      <c r="BI275" s="289"/>
      <c r="BS275" s="220"/>
      <c r="BT275" s="221"/>
      <c r="BU275" s="229"/>
      <c r="BV275" s="220"/>
      <c r="BW275" s="221"/>
      <c r="BX275" s="229"/>
      <c r="BY275" s="220"/>
      <c r="BZ275" s="221"/>
      <c r="CA275" s="206"/>
    </row>
    <row r="276" spans="5:79" x14ac:dyDescent="0.25">
      <c r="E276" s="335"/>
      <c r="F276" s="151" t="s">
        <v>868</v>
      </c>
      <c r="G276" s="150" t="str">
        <v>Yes-Steel has yielded at Mn</v>
      </c>
      <c r="H276" t="str">
        <v>Ledge Checks -Interior Girder Location (outputs from Inv T Spreadsheet)</v>
      </c>
      <c r="AJ276" s="204"/>
      <c r="AK276" s="229">
        <v>14</v>
      </c>
      <c r="AL276" s="220"/>
      <c r="AM276" s="221"/>
      <c r="AN276" s="229">
        <v>14</v>
      </c>
      <c r="AO276" s="220"/>
      <c r="AP276" s="221"/>
      <c r="AQ276" s="229">
        <v>14</v>
      </c>
      <c r="AR276" s="220"/>
      <c r="AS276" s="221"/>
      <c r="AT276" s="229">
        <v>14</v>
      </c>
      <c r="AU276" s="220"/>
      <c r="AV276" s="221"/>
      <c r="AW276" s="206"/>
      <c r="AY276" s="204"/>
      <c r="AZ276" s="229">
        <v>14</v>
      </c>
      <c r="BA276" s="220"/>
      <c r="BB276" s="221"/>
      <c r="BC276" s="206"/>
      <c r="BE276" s="204"/>
      <c r="BF276" s="229">
        <v>14</v>
      </c>
      <c r="BG276" s="220"/>
      <c r="BH276" s="221"/>
      <c r="BI276" s="289"/>
      <c r="BS276" s="220"/>
      <c r="BT276" s="221"/>
      <c r="BU276" s="229"/>
      <c r="BV276" s="220"/>
      <c r="BW276" s="221"/>
      <c r="BX276" s="229"/>
      <c r="BY276" s="220"/>
      <c r="BZ276" s="221"/>
      <c r="CA276" s="206"/>
    </row>
    <row r="277" spans="5:79" x14ac:dyDescent="0.25">
      <c r="E277" s="335"/>
      <c r="F277" s="2" t="s">
        <v>865</v>
      </c>
      <c r="G277" s="150">
        <v>0.18246591154140526</v>
      </c>
      <c r="H277" t="str">
        <v>Ledge Checks -Interior Girder Location (outputs from Inv T Spreadsheet)</v>
      </c>
      <c r="AJ277" s="204"/>
      <c r="AK277" s="229">
        <v>15</v>
      </c>
      <c r="AL277" s="220"/>
      <c r="AM277" s="221"/>
      <c r="AN277" s="229">
        <v>15</v>
      </c>
      <c r="AO277" s="220"/>
      <c r="AP277" s="221"/>
      <c r="AQ277" s="229">
        <v>15</v>
      </c>
      <c r="AR277" s="220"/>
      <c r="AS277" s="221"/>
      <c r="AT277" s="229">
        <v>15</v>
      </c>
      <c r="AU277" s="220"/>
      <c r="AV277" s="221"/>
      <c r="AW277" s="206"/>
      <c r="AY277" s="204"/>
      <c r="AZ277" s="229">
        <v>15</v>
      </c>
      <c r="BA277" s="220"/>
      <c r="BB277" s="221"/>
      <c r="BC277" s="206"/>
      <c r="BE277" s="204"/>
      <c r="BF277" s="229">
        <v>15</v>
      </c>
      <c r="BG277" s="220"/>
      <c r="BH277" s="221"/>
      <c r="BI277" s="289"/>
      <c r="BS277" s="220"/>
      <c r="BT277" s="221"/>
      <c r="BU277" s="229"/>
      <c r="BV277" s="220"/>
      <c r="BW277" s="221"/>
      <c r="BX277" s="229"/>
      <c r="BY277" s="220"/>
      <c r="BZ277" s="221"/>
      <c r="CA277" s="206"/>
    </row>
    <row r="278" spans="5:79" x14ac:dyDescent="0.25">
      <c r="E278" s="335"/>
      <c r="F278" s="2" t="s">
        <v>866</v>
      </c>
      <c r="G278" s="150" t="str">
        <v>Minimum Reinforcement OK</v>
      </c>
      <c r="H278" t="str">
        <v>Ledge Checks -Interior Girder Location (outputs from Inv T Spreadsheet)</v>
      </c>
      <c r="AJ278" s="204"/>
      <c r="AK278" s="229">
        <v>16</v>
      </c>
      <c r="AL278" s="220"/>
      <c r="AM278" s="221"/>
      <c r="AN278" s="229">
        <v>16</v>
      </c>
      <c r="AO278" s="220"/>
      <c r="AP278" s="221"/>
      <c r="AQ278" s="229">
        <v>16</v>
      </c>
      <c r="AR278" s="220"/>
      <c r="AS278" s="221"/>
      <c r="AT278" s="229">
        <v>16</v>
      </c>
      <c r="AU278" s="220"/>
      <c r="AV278" s="221"/>
      <c r="AW278" s="206"/>
      <c r="AY278" s="204"/>
      <c r="AZ278" s="229">
        <v>16</v>
      </c>
      <c r="BA278" s="220"/>
      <c r="BB278" s="221"/>
      <c r="BC278" s="206"/>
      <c r="BE278" s="204"/>
      <c r="BF278" s="229">
        <v>16</v>
      </c>
      <c r="BG278" s="220"/>
      <c r="BH278" s="221"/>
      <c r="BI278" s="289"/>
      <c r="BS278" s="220"/>
      <c r="BT278" s="221"/>
      <c r="BU278" s="229"/>
      <c r="BV278" s="220"/>
      <c r="BW278" s="221"/>
      <c r="BX278" s="229"/>
      <c r="BY278" s="220"/>
      <c r="BZ278" s="221"/>
      <c r="CA278" s="206"/>
    </row>
    <row r="279" spans="5:79" x14ac:dyDescent="0.25">
      <c r="E279" s="335"/>
      <c r="F279" s="2" t="s">
        <v>867</v>
      </c>
      <c r="G279" s="150" t="str">
        <v>Minimum Reinforcement OK</v>
      </c>
      <c r="H279" t="str">
        <v>Ledge Checks -Interior Girder Location (outputs from Inv T Spreadsheet)</v>
      </c>
      <c r="AJ279" s="204"/>
      <c r="AK279" s="229">
        <v>17</v>
      </c>
      <c r="AL279" s="220"/>
      <c r="AM279" s="221"/>
      <c r="AN279" s="229">
        <v>17</v>
      </c>
      <c r="AO279" s="220"/>
      <c r="AP279" s="221"/>
      <c r="AQ279" s="229">
        <v>17</v>
      </c>
      <c r="AR279" s="220"/>
      <c r="AS279" s="221"/>
      <c r="AT279" s="229">
        <v>17</v>
      </c>
      <c r="AU279" s="220"/>
      <c r="AV279" s="221"/>
      <c r="AW279" s="206"/>
      <c r="AY279" s="204"/>
      <c r="AZ279" s="229">
        <v>17</v>
      </c>
      <c r="BA279" s="220"/>
      <c r="BB279" s="221"/>
      <c r="BC279" s="206"/>
      <c r="BE279" s="204"/>
      <c r="BF279" s="229">
        <v>17</v>
      </c>
      <c r="BG279" s="220"/>
      <c r="BH279" s="221"/>
      <c r="BI279" s="289"/>
      <c r="BS279" s="220"/>
      <c r="BT279" s="221"/>
      <c r="BU279" s="229"/>
      <c r="BV279" s="220"/>
      <c r="BW279" s="221"/>
      <c r="BX279" s="229"/>
      <c r="BY279" s="220"/>
      <c r="BZ279" s="221"/>
      <c r="CA279" s="206"/>
    </row>
    <row r="280" spans="5:79" x14ac:dyDescent="0.25">
      <c r="E280" s="335"/>
      <c r="F280" s="2" t="s">
        <v>903</v>
      </c>
      <c r="G280" s="150">
        <v>0.69942843549982014</v>
      </c>
      <c r="H280" t="str">
        <v>Ledge Checks -Interior Girder Location (outputs from Inv T Spreadsheet)</v>
      </c>
      <c r="AJ280" s="204"/>
      <c r="AK280" s="229">
        <v>18</v>
      </c>
      <c r="AL280" s="220"/>
      <c r="AM280" s="221"/>
      <c r="AN280" s="229">
        <v>18</v>
      </c>
      <c r="AO280" s="220"/>
      <c r="AP280" s="221"/>
      <c r="AQ280" s="229">
        <v>18</v>
      </c>
      <c r="AR280" s="220"/>
      <c r="AS280" s="221"/>
      <c r="AT280" s="229">
        <v>18</v>
      </c>
      <c r="AU280" s="220"/>
      <c r="AV280" s="221"/>
      <c r="AW280" s="206"/>
      <c r="AY280" s="204"/>
      <c r="AZ280" s="229">
        <v>18</v>
      </c>
      <c r="BA280" s="220"/>
      <c r="BB280" s="221"/>
      <c r="BC280" s="206"/>
      <c r="BE280" s="204"/>
      <c r="BF280" s="229">
        <v>18</v>
      </c>
      <c r="BG280" s="220"/>
      <c r="BH280" s="221"/>
      <c r="BI280" s="289"/>
      <c r="BS280" s="220"/>
      <c r="BT280" s="221"/>
      <c r="BU280" s="229"/>
      <c r="BV280" s="220"/>
      <c r="BW280" s="221"/>
      <c r="BX280" s="229"/>
      <c r="BY280" s="220"/>
      <c r="BZ280" s="221"/>
      <c r="CA280" s="206"/>
    </row>
    <row r="281" spans="5:79" x14ac:dyDescent="0.25">
      <c r="E281" s="335"/>
      <c r="F281" s="2" t="s">
        <v>869</v>
      </c>
      <c r="G281" s="150" t="str">
        <v>Minimum Reinforcement OK</v>
      </c>
      <c r="H281" t="str">
        <v>Ledge Checks -Interior Girder Location (outputs from Inv T Spreadsheet)</v>
      </c>
      <c r="AJ281" s="204"/>
      <c r="AK281" s="229">
        <v>19</v>
      </c>
      <c r="AL281" s="220"/>
      <c r="AM281" s="221"/>
      <c r="AN281" s="229">
        <v>19</v>
      </c>
      <c r="AO281" s="220"/>
      <c r="AP281" s="221"/>
      <c r="AQ281" s="229">
        <v>19</v>
      </c>
      <c r="AR281" s="220"/>
      <c r="AS281" s="221"/>
      <c r="AT281" s="229">
        <v>19</v>
      </c>
      <c r="AU281" s="220"/>
      <c r="AV281" s="221"/>
      <c r="AW281" s="206"/>
      <c r="AY281" s="204"/>
      <c r="AZ281" s="229">
        <v>19</v>
      </c>
      <c r="BA281" s="220"/>
      <c r="BB281" s="221"/>
      <c r="BC281" s="206"/>
      <c r="BE281" s="204"/>
      <c r="BF281" s="229">
        <v>19</v>
      </c>
      <c r="BG281" s="220"/>
      <c r="BH281" s="221"/>
      <c r="BI281" s="289"/>
      <c r="BS281" s="220"/>
      <c r="BT281" s="221"/>
      <c r="BU281" s="229"/>
      <c r="BV281" s="220"/>
      <c r="BW281" s="221"/>
      <c r="BX281" s="229"/>
      <c r="BY281" s="220"/>
      <c r="BZ281" s="221"/>
      <c r="CA281" s="206"/>
    </row>
    <row r="282" spans="5:79" ht="15.75" thickBot="1" x14ac:dyDescent="0.3">
      <c r="E282" s="335"/>
      <c r="F282" s="2" t="s">
        <v>904</v>
      </c>
      <c r="G282" s="150">
        <v>2.7026585531238831</v>
      </c>
      <c r="H282" t="str">
        <v>Ledge Checks -Interior Girder Location (outputs from Inv T Spreadsheet)</v>
      </c>
      <c r="AJ282" s="204"/>
      <c r="AK282" s="229">
        <v>20</v>
      </c>
      <c r="AL282" s="220"/>
      <c r="AM282" s="221"/>
      <c r="AN282" s="229">
        <v>20</v>
      </c>
      <c r="AO282" s="220"/>
      <c r="AP282" s="221"/>
      <c r="AQ282" s="229">
        <v>20</v>
      </c>
      <c r="AR282" s="222"/>
      <c r="AS282" s="224"/>
      <c r="AT282" s="229">
        <v>20</v>
      </c>
      <c r="AU282" s="222"/>
      <c r="AV282" s="224"/>
      <c r="AW282" s="206"/>
      <c r="AY282" s="204"/>
      <c r="AZ282" s="229">
        <v>20</v>
      </c>
      <c r="BA282" s="220"/>
      <c r="BB282" s="221"/>
      <c r="BC282" s="206"/>
      <c r="BE282" s="204"/>
      <c r="BF282" s="229">
        <v>20</v>
      </c>
      <c r="BG282" s="220"/>
      <c r="BH282" s="221"/>
      <c r="BI282" s="289"/>
      <c r="BS282" s="220"/>
      <c r="BT282" s="221"/>
      <c r="BU282" s="229"/>
      <c r="BV282" s="222"/>
      <c r="BW282" s="224"/>
      <c r="BX282" s="229"/>
      <c r="BY282" s="222"/>
      <c r="BZ282" s="224"/>
      <c r="CA282" s="206"/>
    </row>
    <row r="283" spans="5:79" x14ac:dyDescent="0.25">
      <c r="E283" s="335"/>
      <c r="F283" s="2" t="s">
        <v>905</v>
      </c>
      <c r="G283" s="150">
        <v>-3.3883048422302728</v>
      </c>
      <c r="H283" t="str">
        <v>Ledge Checks -Interior Girder Location (outputs from Inv T Spreadsheet)</v>
      </c>
      <c r="AJ283" s="204"/>
      <c r="AK283" s="229">
        <v>21</v>
      </c>
      <c r="AL283" s="220"/>
      <c r="AM283" s="221"/>
      <c r="AN283" s="205"/>
      <c r="AO283" s="220"/>
      <c r="AP283" s="221"/>
      <c r="AQ283" s="205"/>
      <c r="AR283" s="205"/>
      <c r="AS283" s="205"/>
      <c r="AT283" s="205"/>
      <c r="AU283" s="205"/>
      <c r="AV283" s="205"/>
      <c r="AW283" s="206"/>
      <c r="AY283" s="204"/>
      <c r="AZ283" s="229"/>
      <c r="BA283" s="220"/>
      <c r="BB283" s="221"/>
      <c r="BC283" s="206"/>
      <c r="BE283" s="204"/>
      <c r="BF283" s="229"/>
      <c r="BG283" s="220"/>
      <c r="BH283" s="221"/>
      <c r="BI283" s="206"/>
      <c r="BS283" s="220"/>
      <c r="BT283" s="221"/>
      <c r="BU283" s="205"/>
      <c r="BV283" s="205"/>
      <c r="BW283" s="205"/>
      <c r="BX283" s="205"/>
      <c r="BY283" s="205"/>
      <c r="BZ283" s="205"/>
      <c r="CA283" s="206"/>
    </row>
    <row r="284" spans="5:79" ht="15.75" thickBot="1" x14ac:dyDescent="0.3">
      <c r="E284" s="336"/>
      <c r="F284" s="2" t="s">
        <v>906</v>
      </c>
      <c r="G284" s="150">
        <v>-3.0314430804503179</v>
      </c>
      <c r="H284" t="str">
        <v>Ledge Checks -Interior Girder Location (outputs from Inv T Spreadsheet)</v>
      </c>
      <c r="AJ284" s="204"/>
      <c r="AK284" s="229">
        <v>22</v>
      </c>
      <c r="AL284" s="220"/>
      <c r="AM284" s="221"/>
      <c r="AN284" s="205"/>
      <c r="AO284" s="220"/>
      <c r="AP284" s="221"/>
      <c r="AQ284" s="205"/>
      <c r="AR284" s="205"/>
      <c r="AS284" s="205"/>
      <c r="AT284" s="205"/>
      <c r="AU284" s="205"/>
      <c r="AV284" s="205"/>
      <c r="AW284" s="206"/>
      <c r="AY284" s="204"/>
      <c r="AZ284" s="229"/>
      <c r="BA284" s="220"/>
      <c r="BB284" s="221"/>
      <c r="BC284" s="206"/>
      <c r="BE284" s="204"/>
      <c r="BF284" s="229"/>
      <c r="BG284" s="220"/>
      <c r="BH284" s="221"/>
      <c r="BI284" s="206"/>
      <c r="BS284" s="220"/>
      <c r="BT284" s="221"/>
      <c r="BU284" s="205"/>
      <c r="BV284" s="205"/>
      <c r="BW284" s="205"/>
      <c r="BX284" s="205"/>
      <c r="BY284" s="205"/>
      <c r="BZ284" s="205"/>
      <c r="CA284" s="206"/>
    </row>
    <row r="285" spans="5:79" ht="15" customHeight="1" x14ac:dyDescent="0.25">
      <c r="E285" s="334" t="s">
        <v>881</v>
      </c>
      <c r="F285" s="153" t="s">
        <v>889</v>
      </c>
      <c r="G285" s="150" t="str">
        <v>NG, 0.5bw + av &lt; 0.5L + df, pyramid failure surfaces overlap in longitudinal direction</v>
      </c>
      <c r="H285" t="str" cm="1">
        <f t="array" ref="H285:H295">D285:D295&amp;E285</f>
        <v>Whole Section Checks -Interior Girder Location (outputs from Inv T Spreadsheet)</v>
      </c>
      <c r="AJ285" s="204"/>
      <c r="AK285" s="229">
        <v>23</v>
      </c>
      <c r="AL285" s="220"/>
      <c r="AM285" s="221"/>
      <c r="AN285" s="205"/>
      <c r="AO285" s="220"/>
      <c r="AP285" s="221"/>
      <c r="AQ285" s="205"/>
      <c r="AR285" s="205"/>
      <c r="AS285" s="205"/>
      <c r="AT285" s="205"/>
      <c r="AU285" s="205"/>
      <c r="AV285" s="205"/>
      <c r="AW285" s="206"/>
      <c r="AY285" s="204"/>
      <c r="AZ285" s="229"/>
      <c r="BA285" s="220"/>
      <c r="BB285" s="221"/>
      <c r="BC285" s="206"/>
      <c r="BE285" s="204"/>
      <c r="BF285" s="229"/>
      <c r="BG285" s="220"/>
      <c r="BH285" s="221"/>
      <c r="BI285" s="206"/>
      <c r="BS285" s="220"/>
      <c r="BT285" s="221"/>
      <c r="BU285" s="205"/>
      <c r="BV285" s="205"/>
      <c r="BW285" s="205"/>
      <c r="BX285" s="205"/>
      <c r="BY285" s="205"/>
      <c r="BZ285" s="205"/>
      <c r="CA285" s="206"/>
    </row>
    <row r="286" spans="5:79" x14ac:dyDescent="0.25">
      <c r="E286" s="335"/>
      <c r="F286" s="151" t="s">
        <v>890</v>
      </c>
      <c r="G286" s="150" t="str">
        <v>NG, S &lt; 2df + W, pyramid failure surfaces overlap in transverse direction,</v>
      </c>
      <c r="H286" t="str">
        <v>Whole Section Checks -Interior Girder Location (outputs from Inv T Spreadsheet)</v>
      </c>
      <c r="AJ286" s="204"/>
      <c r="AK286" s="229">
        <v>24</v>
      </c>
      <c r="AL286" s="220"/>
      <c r="AM286" s="221"/>
      <c r="AN286" s="205"/>
      <c r="AO286" s="220"/>
      <c r="AP286" s="221"/>
      <c r="AQ286" s="205"/>
      <c r="AR286" s="205"/>
      <c r="AS286" s="205"/>
      <c r="AT286" s="205"/>
      <c r="AU286" s="205"/>
      <c r="AV286" s="205"/>
      <c r="AW286" s="206"/>
      <c r="AY286" s="204"/>
      <c r="AZ286" s="229"/>
      <c r="BA286" s="220"/>
      <c r="BB286" s="221"/>
      <c r="BC286" s="206"/>
      <c r="BE286" s="204"/>
      <c r="BF286" s="229"/>
      <c r="BG286" s="220"/>
      <c r="BH286" s="221"/>
      <c r="BI286" s="206"/>
      <c r="BS286" s="220"/>
      <c r="BT286" s="221"/>
      <c r="BU286" s="205"/>
      <c r="BV286" s="205"/>
      <c r="BW286" s="205"/>
      <c r="BX286" s="205"/>
      <c r="BY286" s="205"/>
      <c r="BZ286" s="205"/>
      <c r="CA286" s="206"/>
    </row>
    <row r="287" spans="5:79" x14ac:dyDescent="0.25">
      <c r="E287" s="335"/>
      <c r="F287" s="151" t="s">
        <v>870</v>
      </c>
      <c r="G287" s="150" t="str">
        <v>OK</v>
      </c>
      <c r="H287" t="str">
        <v>Whole Section Checks -Interior Girder Location (outputs from Inv T Spreadsheet)</v>
      </c>
      <c r="AJ287" s="204"/>
      <c r="AK287" s="229">
        <v>25</v>
      </c>
      <c r="AL287" s="220"/>
      <c r="AM287" s="221"/>
      <c r="AN287" s="205"/>
      <c r="AO287" s="220"/>
      <c r="AP287" s="221"/>
      <c r="AQ287" s="205"/>
      <c r="AR287" s="205"/>
      <c r="AS287" s="205"/>
      <c r="AT287" s="205"/>
      <c r="AU287" s="205"/>
      <c r="AV287" s="205"/>
      <c r="AW287" s="206"/>
      <c r="AY287" s="204"/>
      <c r="AZ287" s="229"/>
      <c r="BA287" s="220"/>
      <c r="BB287" s="221"/>
      <c r="BC287" s="206"/>
      <c r="BE287" s="204"/>
      <c r="BF287" s="229"/>
      <c r="BG287" s="220"/>
      <c r="BH287" s="221"/>
      <c r="BI287" s="206"/>
      <c r="BS287" s="220"/>
      <c r="BT287" s="221"/>
      <c r="BU287" s="205"/>
      <c r="BV287" s="205"/>
      <c r="BW287" s="205"/>
      <c r="BX287" s="205"/>
      <c r="BY287" s="205"/>
      <c r="BZ287" s="205"/>
      <c r="CA287" s="206"/>
    </row>
    <row r="288" spans="5:79" x14ac:dyDescent="0.25">
      <c r="E288" s="335"/>
      <c r="F288" s="148" t="s">
        <v>940</v>
      </c>
      <c r="G288" s="150">
        <v>0.93824597990937109</v>
      </c>
      <c r="H288" t="str">
        <v>Whole Section Checks -Interior Girder Location (outputs from Inv T Spreadsheet)</v>
      </c>
      <c r="AJ288" s="204"/>
      <c r="AK288" s="229">
        <v>26</v>
      </c>
      <c r="AL288" s="220"/>
      <c r="AM288" s="221"/>
      <c r="AN288" s="205"/>
      <c r="AO288" s="220"/>
      <c r="AP288" s="221"/>
      <c r="AQ288" s="205"/>
      <c r="AR288" s="205"/>
      <c r="AS288" s="205"/>
      <c r="AT288" s="205"/>
      <c r="AU288" s="205"/>
      <c r="AV288" s="205"/>
      <c r="AW288" s="206"/>
      <c r="AY288" s="204"/>
      <c r="AZ288" s="229"/>
      <c r="BA288" s="220"/>
      <c r="BB288" s="221"/>
      <c r="BC288" s="206"/>
      <c r="BE288" s="204"/>
      <c r="BF288" s="229"/>
      <c r="BG288" s="220"/>
      <c r="BH288" s="221"/>
      <c r="BI288" s="206"/>
      <c r="BS288" s="220"/>
      <c r="BT288" s="221"/>
      <c r="BU288" s="205"/>
      <c r="BV288" s="205"/>
      <c r="BW288" s="205"/>
      <c r="BX288" s="205"/>
      <c r="BY288" s="205"/>
      <c r="BZ288" s="205"/>
      <c r="CA288" s="206"/>
    </row>
    <row r="289" spans="5:79" x14ac:dyDescent="0.25">
      <c r="E289" s="335"/>
      <c r="F289" s="148" t="s">
        <v>872</v>
      </c>
      <c r="G289" s="150" t="str">
        <v>Max Spacing OK</v>
      </c>
      <c r="H289" t="str">
        <v>Whole Section Checks -Interior Girder Location (outputs from Inv T Spreadsheet)</v>
      </c>
      <c r="AJ289" s="204"/>
      <c r="AK289" s="229">
        <v>27</v>
      </c>
      <c r="AL289" s="220"/>
      <c r="AM289" s="221"/>
      <c r="AN289" s="205"/>
      <c r="AO289" s="220"/>
      <c r="AP289" s="221"/>
      <c r="AQ289" s="205"/>
      <c r="AR289" s="205"/>
      <c r="AS289" s="205"/>
      <c r="AT289" s="205"/>
      <c r="AU289" s="205"/>
      <c r="AV289" s="205"/>
      <c r="AW289" s="206"/>
      <c r="AY289" s="204"/>
      <c r="AZ289" s="229"/>
      <c r="BA289" s="220"/>
      <c r="BB289" s="221"/>
      <c r="BC289" s="206"/>
      <c r="BE289" s="204"/>
      <c r="BF289" s="229"/>
      <c r="BG289" s="220"/>
      <c r="BH289" s="221"/>
      <c r="BI289" s="206"/>
      <c r="BS289" s="220"/>
      <c r="BT289" s="221"/>
      <c r="BU289" s="205"/>
      <c r="BV289" s="205"/>
      <c r="BW289" s="205"/>
      <c r="BX289" s="205"/>
      <c r="BY289" s="205"/>
      <c r="BZ289" s="205"/>
      <c r="CA289" s="206"/>
    </row>
    <row r="290" spans="5:79" x14ac:dyDescent="0.25">
      <c r="E290" s="335"/>
      <c r="F290" s="148" t="s">
        <v>873</v>
      </c>
      <c r="G290" s="150" t="str">
        <v>Minimum Steel OK</v>
      </c>
      <c r="H290" t="str">
        <v>Whole Section Checks -Interior Girder Location (outputs from Inv T Spreadsheet)</v>
      </c>
      <c r="AJ290" s="204"/>
      <c r="AK290" s="229">
        <v>28</v>
      </c>
      <c r="AL290" s="220"/>
      <c r="AM290" s="221"/>
      <c r="AN290" s="205"/>
      <c r="AO290" s="220"/>
      <c r="AP290" s="221"/>
      <c r="AQ290" s="205"/>
      <c r="AR290" s="205"/>
      <c r="AS290" s="205"/>
      <c r="AT290" s="205"/>
      <c r="AU290" s="205"/>
      <c r="AV290" s="205"/>
      <c r="AW290" s="206"/>
      <c r="AY290" s="204"/>
      <c r="AZ290" s="229"/>
      <c r="BA290" s="220"/>
      <c r="BB290" s="221"/>
      <c r="BC290" s="206"/>
      <c r="BE290" s="204"/>
      <c r="BF290" s="229"/>
      <c r="BG290" s="220"/>
      <c r="BH290" s="221"/>
      <c r="BI290" s="206"/>
      <c r="BS290" s="220"/>
      <c r="BT290" s="221"/>
      <c r="BU290" s="205"/>
      <c r="BV290" s="205"/>
      <c r="BW290" s="205"/>
      <c r="BX290" s="205"/>
      <c r="BY290" s="205"/>
      <c r="BZ290" s="205"/>
      <c r="CA290" s="206"/>
    </row>
    <row r="291" spans="5:79" x14ac:dyDescent="0.25">
      <c r="E291" s="335"/>
      <c r="F291" s="152" t="s">
        <v>874</v>
      </c>
      <c r="G291" s="150" t="str">
        <v>OK</v>
      </c>
      <c r="H291" t="str">
        <v>Whole Section Checks -Interior Girder Location (outputs from Inv T Spreadsheet)</v>
      </c>
      <c r="AJ291" s="204"/>
      <c r="AK291" s="229">
        <v>29</v>
      </c>
      <c r="AL291" s="220"/>
      <c r="AM291" s="221"/>
      <c r="AN291" s="205"/>
      <c r="AO291" s="220"/>
      <c r="AP291" s="221"/>
      <c r="AQ291" s="205"/>
      <c r="AR291" s="205"/>
      <c r="AS291" s="205"/>
      <c r="AT291" s="205"/>
      <c r="AU291" s="205"/>
      <c r="AV291" s="205"/>
      <c r="AW291" s="206"/>
      <c r="AY291" s="204"/>
      <c r="AZ291" s="229"/>
      <c r="BA291" s="220"/>
      <c r="BB291" s="221"/>
      <c r="BC291" s="206"/>
      <c r="BE291" s="204"/>
      <c r="BF291" s="229"/>
      <c r="BG291" s="220"/>
      <c r="BH291" s="221"/>
      <c r="BI291" s="206"/>
      <c r="BS291" s="220"/>
      <c r="BT291" s="221"/>
      <c r="BU291" s="205"/>
      <c r="BV291" s="205"/>
      <c r="BW291" s="205"/>
      <c r="BX291" s="205"/>
      <c r="BY291" s="205"/>
      <c r="BZ291" s="205"/>
      <c r="CA291" s="206"/>
    </row>
    <row r="292" spans="5:79" x14ac:dyDescent="0.25">
      <c r="E292" s="335"/>
      <c r="F292" s="148" t="s">
        <v>875</v>
      </c>
      <c r="G292" s="150">
        <v>1.2620632241608261</v>
      </c>
      <c r="H292" t="str">
        <v>Whole Section Checks -Interior Girder Location (outputs from Inv T Spreadsheet)</v>
      </c>
      <c r="AJ292" s="204"/>
      <c r="AK292" s="229">
        <v>30</v>
      </c>
      <c r="AL292" s="220"/>
      <c r="AM292" s="221"/>
      <c r="AN292" s="205"/>
      <c r="AO292" s="220"/>
      <c r="AP292" s="221"/>
      <c r="AQ292" s="205"/>
      <c r="AR292" s="205"/>
      <c r="AS292" s="205"/>
      <c r="AT292" s="205"/>
      <c r="AU292" s="205"/>
      <c r="AV292" s="205"/>
      <c r="AW292" s="206"/>
      <c r="AY292" s="204"/>
      <c r="AZ292" s="229"/>
      <c r="BA292" s="220"/>
      <c r="BB292" s="221"/>
      <c r="BC292" s="206"/>
      <c r="BE292" s="204"/>
      <c r="BF292" s="229"/>
      <c r="BG292" s="220"/>
      <c r="BH292" s="221"/>
      <c r="BI292" s="206"/>
      <c r="BS292" s="220"/>
      <c r="BT292" s="221"/>
      <c r="BU292" s="205"/>
      <c r="BV292" s="205"/>
      <c r="BW292" s="205"/>
      <c r="BX292" s="205"/>
      <c r="BY292" s="205"/>
      <c r="BZ292" s="205"/>
      <c r="CA292" s="206"/>
    </row>
    <row r="293" spans="5:79" x14ac:dyDescent="0.25">
      <c r="E293" s="335"/>
      <c r="F293" s="152" t="s">
        <v>876</v>
      </c>
      <c r="G293" s="150" t="str">
        <v>OK</v>
      </c>
      <c r="H293" t="str">
        <v>Whole Section Checks -Interior Girder Location (outputs from Inv T Spreadsheet)</v>
      </c>
      <c r="AJ293" s="204"/>
      <c r="AK293" s="229">
        <v>31</v>
      </c>
      <c r="AL293" s="220"/>
      <c r="AM293" s="221"/>
      <c r="AN293" s="205"/>
      <c r="AO293" s="220"/>
      <c r="AP293" s="221"/>
      <c r="AQ293" s="205"/>
      <c r="AR293" s="205"/>
      <c r="AS293" s="205"/>
      <c r="AT293" s="205"/>
      <c r="AU293" s="205"/>
      <c r="AV293" s="205"/>
      <c r="AW293" s="206"/>
      <c r="AY293" s="204"/>
      <c r="AZ293" s="229"/>
      <c r="BA293" s="220"/>
      <c r="BB293" s="221"/>
      <c r="BC293" s="206"/>
      <c r="BE293" s="204"/>
      <c r="BF293" s="229"/>
      <c r="BG293" s="220"/>
      <c r="BH293" s="221"/>
      <c r="BI293" s="206"/>
      <c r="BS293" s="220"/>
      <c r="BT293" s="221"/>
      <c r="BU293" s="205"/>
      <c r="BV293" s="205"/>
      <c r="BW293" s="205"/>
      <c r="BX293" s="205"/>
      <c r="BY293" s="205"/>
      <c r="BZ293" s="205"/>
      <c r="CA293" s="206"/>
    </row>
    <row r="294" spans="5:79" ht="15" customHeight="1" x14ac:dyDescent="0.25">
      <c r="E294" s="335"/>
      <c r="F294" s="148" t="s">
        <v>877</v>
      </c>
      <c r="G294" s="150">
        <v>1.5146680878437018</v>
      </c>
      <c r="H294" t="str">
        <v>Whole Section Checks -Interior Girder Location (outputs from Inv T Spreadsheet)</v>
      </c>
      <c r="AJ294" s="204"/>
      <c r="AK294" s="229">
        <v>32</v>
      </c>
      <c r="AL294" s="220"/>
      <c r="AM294" s="221"/>
      <c r="AN294" s="205"/>
      <c r="AO294" s="220"/>
      <c r="AP294" s="221"/>
      <c r="AQ294" s="205"/>
      <c r="AR294" s="205"/>
      <c r="AS294" s="205"/>
      <c r="AT294" s="205"/>
      <c r="AU294" s="205"/>
      <c r="AV294" s="205"/>
      <c r="AW294" s="206"/>
      <c r="AY294" s="204"/>
      <c r="AZ294" s="229"/>
      <c r="BA294" s="220"/>
      <c r="BB294" s="221"/>
      <c r="BC294" s="206"/>
      <c r="BE294" s="204"/>
      <c r="BF294" s="229"/>
      <c r="BG294" s="220"/>
      <c r="BH294" s="221"/>
      <c r="BI294" s="206"/>
      <c r="BS294" s="220"/>
      <c r="BT294" s="221"/>
      <c r="BU294" s="205"/>
      <c r="BV294" s="205"/>
      <c r="BW294" s="205"/>
      <c r="BX294" s="205"/>
      <c r="BY294" s="205"/>
      <c r="BZ294" s="205"/>
      <c r="CA294" s="206"/>
    </row>
    <row r="295" spans="5:79" ht="15.75" thickBot="1" x14ac:dyDescent="0.3">
      <c r="E295" s="336"/>
      <c r="F295" s="105" t="s">
        <v>878</v>
      </c>
      <c r="G295" s="150">
        <v>2.5859575258064522</v>
      </c>
      <c r="H295" t="str">
        <v>Whole Section Checks -Interior Girder Location (outputs from Inv T Spreadsheet)</v>
      </c>
      <c r="AJ295" s="204"/>
      <c r="AK295" s="229">
        <v>33</v>
      </c>
      <c r="AL295" s="220"/>
      <c r="AM295" s="221"/>
      <c r="AN295" s="205"/>
      <c r="AO295" s="220"/>
      <c r="AP295" s="221"/>
      <c r="AQ295" s="205"/>
      <c r="AR295" s="205"/>
      <c r="AS295" s="205"/>
      <c r="AT295" s="205"/>
      <c r="AU295" s="205"/>
      <c r="AV295" s="205"/>
      <c r="AW295" s="206"/>
      <c r="AY295" s="204"/>
      <c r="AZ295" s="229"/>
      <c r="BA295" s="220"/>
      <c r="BB295" s="221"/>
      <c r="BC295" s="206"/>
      <c r="BE295" s="204"/>
      <c r="BF295" s="229"/>
      <c r="BG295" s="220"/>
      <c r="BH295" s="221"/>
      <c r="BI295" s="206"/>
      <c r="BS295" s="220"/>
      <c r="BT295" s="221"/>
      <c r="BU295" s="205"/>
      <c r="BV295" s="205"/>
      <c r="BW295" s="205"/>
      <c r="BX295" s="205"/>
      <c r="BY295" s="205"/>
      <c r="BZ295" s="205"/>
      <c r="CA295" s="206"/>
    </row>
    <row r="296" spans="5:79" ht="15" customHeight="1" x14ac:dyDescent="0.25">
      <c r="E296" s="334" t="s">
        <v>2034</v>
      </c>
      <c r="F296" s="187" t="s">
        <v>882</v>
      </c>
      <c r="G296" s="150" t="str">
        <v>c &lt; ledge depth - OK</v>
      </c>
      <c r="H296" t="str" cm="1">
        <f t="array" ref="H296:H302">D296:D302&amp;E296</f>
        <v>Whole Section Checks Bars A -Face of Column Location (outputs from Module I Spreadsheet)</v>
      </c>
      <c r="AJ296" s="204"/>
      <c r="AK296" s="229">
        <v>34</v>
      </c>
      <c r="AL296" s="220"/>
      <c r="AM296" s="221"/>
      <c r="AN296" s="205"/>
      <c r="AO296" s="220"/>
      <c r="AP296" s="221"/>
      <c r="AQ296" s="205"/>
      <c r="AR296" s="205"/>
      <c r="AS296" s="205"/>
      <c r="AT296" s="205"/>
      <c r="AU296" s="205"/>
      <c r="AV296" s="205"/>
      <c r="AW296" s="206"/>
      <c r="AY296" s="204"/>
      <c r="AZ296" s="229"/>
      <c r="BA296" s="220"/>
      <c r="BB296" s="221"/>
      <c r="BC296" s="206"/>
      <c r="BE296" s="204"/>
      <c r="BF296" s="229"/>
      <c r="BG296" s="220"/>
      <c r="BH296" s="221"/>
      <c r="BI296" s="206"/>
      <c r="BS296" s="220"/>
      <c r="BT296" s="221"/>
      <c r="BU296" s="205"/>
      <c r="BV296" s="205"/>
      <c r="BW296" s="205"/>
      <c r="BX296" s="205"/>
      <c r="BY296" s="205"/>
      <c r="BZ296" s="205"/>
      <c r="CA296" s="206"/>
    </row>
    <row r="297" spans="5:79" x14ac:dyDescent="0.25">
      <c r="E297" s="335"/>
      <c r="F297" s="188" t="s">
        <v>883</v>
      </c>
      <c r="G297" s="150" t="str">
        <v>Yes-Steel has yielded at Mn</v>
      </c>
      <c r="H297" t="str">
        <v>Whole Section Checks Bars A -Face of Column Location (outputs from Module I Spreadsheet)</v>
      </c>
      <c r="AJ297" s="204"/>
      <c r="AK297" s="229">
        <v>35</v>
      </c>
      <c r="AL297" s="220"/>
      <c r="AM297" s="221"/>
      <c r="AN297" s="205"/>
      <c r="AO297" s="220"/>
      <c r="AP297" s="221"/>
      <c r="AQ297" s="205"/>
      <c r="AR297" s="205"/>
      <c r="AS297" s="205"/>
      <c r="AT297" s="205"/>
      <c r="AU297" s="205"/>
      <c r="AV297" s="205"/>
      <c r="AW297" s="206"/>
      <c r="AY297" s="204"/>
      <c r="AZ297" s="229"/>
      <c r="BA297" s="220"/>
      <c r="BB297" s="221"/>
      <c r="BC297" s="206"/>
      <c r="BE297" s="204"/>
      <c r="BF297" s="229"/>
      <c r="BG297" s="220"/>
      <c r="BH297" s="221"/>
      <c r="BI297" s="206"/>
      <c r="BS297" s="220"/>
      <c r="BT297" s="221"/>
      <c r="BU297" s="205"/>
      <c r="BV297" s="205"/>
      <c r="BW297" s="205"/>
      <c r="BX297" s="205"/>
      <c r="BY297" s="205"/>
      <c r="BZ297" s="205"/>
      <c r="CA297" s="206"/>
    </row>
    <row r="298" spans="5:79" x14ac:dyDescent="0.25">
      <c r="E298" s="335"/>
      <c r="F298" s="186" t="s">
        <v>884</v>
      </c>
      <c r="G298" s="150">
        <v>1.0644135359017084</v>
      </c>
      <c r="H298" t="str">
        <v>Whole Section Checks Bars A -Face of Column Location (outputs from Module I Spreadsheet)</v>
      </c>
      <c r="AJ298" s="204"/>
      <c r="AK298" s="229">
        <v>36</v>
      </c>
      <c r="AL298" s="220"/>
      <c r="AM298" s="221"/>
      <c r="AN298" s="205"/>
      <c r="AO298" s="220"/>
      <c r="AP298" s="221"/>
      <c r="AQ298" s="205"/>
      <c r="AR298" s="205"/>
      <c r="AS298" s="205"/>
      <c r="AT298" s="205"/>
      <c r="AU298" s="205"/>
      <c r="AV298" s="205"/>
      <c r="AW298" s="206"/>
      <c r="AY298" s="204"/>
      <c r="AZ298" s="229"/>
      <c r="BA298" s="220"/>
      <c r="BB298" s="221"/>
      <c r="BC298" s="206"/>
      <c r="BE298" s="204"/>
      <c r="BF298" s="229"/>
      <c r="BG298" s="220"/>
      <c r="BH298" s="221"/>
      <c r="BI298" s="206"/>
      <c r="BS298" s="220"/>
      <c r="BT298" s="221"/>
      <c r="BU298" s="205"/>
      <c r="BV298" s="205"/>
      <c r="BW298" s="205"/>
      <c r="BX298" s="205"/>
      <c r="BY298" s="205"/>
      <c r="BZ298" s="205"/>
      <c r="CA298" s="206"/>
    </row>
    <row r="299" spans="5:79" x14ac:dyDescent="0.25">
      <c r="E299" s="335"/>
      <c r="F299" s="186" t="s">
        <v>885</v>
      </c>
      <c r="G299" s="150" t="str">
        <v>As &gt; Asmin - OK</v>
      </c>
      <c r="H299" t="str">
        <v>Whole Section Checks Bars A -Face of Column Location (outputs from Module I Spreadsheet)</v>
      </c>
      <c r="AJ299" s="204"/>
      <c r="AK299" s="229">
        <v>37</v>
      </c>
      <c r="AL299" s="220"/>
      <c r="AM299" s="221"/>
      <c r="AN299" s="205"/>
      <c r="AO299" s="220"/>
      <c r="AP299" s="221"/>
      <c r="AQ299" s="205"/>
      <c r="AR299" s="205"/>
      <c r="AS299" s="205"/>
      <c r="AT299" s="205"/>
      <c r="AU299" s="205"/>
      <c r="AV299" s="205"/>
      <c r="AW299" s="206"/>
      <c r="AY299" s="204"/>
      <c r="AZ299" s="229"/>
      <c r="BA299" s="220"/>
      <c r="BB299" s="221"/>
      <c r="BC299" s="206"/>
      <c r="BE299" s="204"/>
      <c r="BF299" s="229"/>
      <c r="BG299" s="220"/>
      <c r="BH299" s="221"/>
      <c r="BI299" s="206"/>
      <c r="BS299" s="220"/>
      <c r="BT299" s="221"/>
      <c r="BU299" s="205"/>
      <c r="BV299" s="205"/>
      <c r="BW299" s="205"/>
      <c r="BX299" s="205"/>
      <c r="BY299" s="205"/>
      <c r="BZ299" s="205"/>
      <c r="CA299" s="206"/>
    </row>
    <row r="300" spans="5:79" ht="15" customHeight="1" x14ac:dyDescent="0.25">
      <c r="E300" s="335"/>
      <c r="F300" s="186" t="s">
        <v>886</v>
      </c>
      <c r="G300" s="150" t="str">
        <v>Bundled Spacing - NG</v>
      </c>
      <c r="H300" t="str">
        <v>Whole Section Checks Bars A -Face of Column Location (outputs from Module I Spreadsheet)</v>
      </c>
      <c r="AJ300" s="204"/>
      <c r="AK300" s="229">
        <v>38</v>
      </c>
      <c r="AL300" s="220"/>
      <c r="AM300" s="221"/>
      <c r="AN300" s="205"/>
      <c r="AO300" s="220"/>
      <c r="AP300" s="221"/>
      <c r="AQ300" s="205"/>
      <c r="AR300" s="205"/>
      <c r="AS300" s="205"/>
      <c r="AT300" s="205"/>
      <c r="AU300" s="205"/>
      <c r="AV300" s="205"/>
      <c r="AW300" s="206"/>
      <c r="AY300" s="204"/>
      <c r="AZ300" s="229"/>
      <c r="BA300" s="220"/>
      <c r="BB300" s="221"/>
      <c r="BC300" s="206"/>
      <c r="BE300" s="204"/>
      <c r="BF300" s="229"/>
      <c r="BG300" s="220"/>
      <c r="BH300" s="221"/>
      <c r="BI300" s="206"/>
      <c r="BS300" s="220"/>
      <c r="BT300" s="221"/>
      <c r="BU300" s="205"/>
      <c r="BV300" s="205"/>
      <c r="BW300" s="205"/>
      <c r="BX300" s="205"/>
      <c r="BY300" s="205"/>
      <c r="BZ300" s="205"/>
      <c r="CA300" s="206"/>
    </row>
    <row r="301" spans="5:79" x14ac:dyDescent="0.25">
      <c r="E301" s="335"/>
      <c r="F301" s="186" t="s">
        <v>887</v>
      </c>
      <c r="G301" s="150">
        <v>1.192289651305916</v>
      </c>
      <c r="H301" t="str">
        <v>Whole Section Checks Bars A -Face of Column Location (outputs from Module I Spreadsheet)</v>
      </c>
      <c r="AJ301" s="204"/>
      <c r="AK301" s="229">
        <v>39</v>
      </c>
      <c r="AL301" s="220"/>
      <c r="AM301" s="221"/>
      <c r="AN301" s="205"/>
      <c r="AO301" s="220"/>
      <c r="AP301" s="221"/>
      <c r="AQ301" s="205"/>
      <c r="AR301" s="205"/>
      <c r="AS301" s="205"/>
      <c r="AT301" s="205"/>
      <c r="AU301" s="205"/>
      <c r="AV301" s="205"/>
      <c r="AW301" s="206"/>
      <c r="AY301" s="204"/>
      <c r="AZ301" s="229"/>
      <c r="BA301" s="220"/>
      <c r="BB301" s="221"/>
      <c r="BC301" s="206"/>
      <c r="BE301" s="204"/>
      <c r="BF301" s="229"/>
      <c r="BG301" s="220"/>
      <c r="BH301" s="221"/>
      <c r="BI301" s="206"/>
      <c r="BS301" s="220"/>
      <c r="BT301" s="221"/>
      <c r="BU301" s="205"/>
      <c r="BV301" s="205"/>
      <c r="BW301" s="205"/>
      <c r="BX301" s="205"/>
      <c r="BY301" s="205"/>
      <c r="BZ301" s="205"/>
      <c r="CA301" s="206"/>
    </row>
    <row r="302" spans="5:79" ht="15.75" thickBot="1" x14ac:dyDescent="0.3">
      <c r="E302" s="336"/>
      <c r="F302" s="160" t="s">
        <v>972</v>
      </c>
      <c r="G302" s="150" t="str">
        <v/>
      </c>
      <c r="H302" t="str">
        <v>Whole Section Checks Bars A -Face of Column Location (outputs from Module I Spreadsheet)</v>
      </c>
      <c r="AJ302" s="204"/>
      <c r="AK302" s="229">
        <v>40</v>
      </c>
      <c r="AL302" s="222"/>
      <c r="AM302" s="224"/>
      <c r="AN302" s="205"/>
      <c r="AO302" s="222"/>
      <c r="AP302" s="224"/>
      <c r="AQ302" s="205"/>
      <c r="AR302" s="205"/>
      <c r="AS302" s="205"/>
      <c r="AT302" s="205"/>
      <c r="AU302" s="205"/>
      <c r="AV302" s="205"/>
      <c r="AW302" s="206"/>
      <c r="AY302" s="204"/>
      <c r="AZ302" s="229"/>
      <c r="BA302" s="222"/>
      <c r="BB302" s="224"/>
      <c r="BC302" s="206"/>
      <c r="BE302" s="204"/>
      <c r="BF302" s="229"/>
      <c r="BG302" s="222"/>
      <c r="BH302" s="224"/>
      <c r="BI302" s="206"/>
      <c r="BS302" s="222"/>
      <c r="BT302" s="224"/>
      <c r="BU302" s="205"/>
      <c r="BV302" s="205"/>
      <c r="BW302" s="205"/>
      <c r="BX302" s="205"/>
      <c r="BY302" s="205"/>
      <c r="BZ302" s="205"/>
      <c r="CA302" s="206"/>
    </row>
    <row r="303" spans="5:79" ht="15.75" thickBot="1" x14ac:dyDescent="0.3">
      <c r="F303" s="7"/>
      <c r="G303" s="7"/>
      <c r="AJ303" s="208"/>
      <c r="AK303" s="209"/>
      <c r="AL303" s="209"/>
      <c r="AM303" s="209"/>
      <c r="AN303" s="209"/>
      <c r="AO303" s="209"/>
      <c r="AP303" s="209"/>
      <c r="AQ303" s="209"/>
      <c r="AR303" s="209"/>
      <c r="AS303" s="209"/>
      <c r="AT303" s="209"/>
      <c r="AU303" s="209"/>
      <c r="AV303" s="209"/>
      <c r="AW303" s="210"/>
      <c r="AY303" s="208"/>
      <c r="AZ303" s="209"/>
      <c r="BA303" s="209"/>
      <c r="BB303" s="209"/>
      <c r="BC303" s="210"/>
      <c r="BE303" s="208"/>
      <c r="BF303" s="209"/>
      <c r="BG303" s="209"/>
      <c r="BH303" s="209"/>
      <c r="BI303" s="210"/>
      <c r="BS303" s="209"/>
      <c r="BT303" s="209"/>
      <c r="BU303" s="209"/>
      <c r="BV303" s="209"/>
      <c r="BW303" s="209"/>
      <c r="BX303" s="209"/>
      <c r="BY303" s="209"/>
      <c r="BZ303" s="209"/>
      <c r="CA303" s="210"/>
    </row>
    <row r="304" spans="5:79" x14ac:dyDescent="0.25">
      <c r="F304" s="7"/>
      <c r="G304" s="7"/>
    </row>
    <row r="305" spans="6:79" ht="15.75" thickBot="1" x14ac:dyDescent="0.3">
      <c r="F305" s="7"/>
      <c r="G305" s="7"/>
    </row>
    <row r="306" spans="6:79" x14ac:dyDescent="0.25">
      <c r="F306" s="7"/>
      <c r="G306" s="7"/>
      <c r="AJ306" s="211" t="s">
        <v>365</v>
      </c>
      <c r="AK306" s="202"/>
      <c r="AL306" s="202"/>
      <c r="AM306" s="202"/>
      <c r="AN306" s="202"/>
      <c r="AO306" s="202"/>
      <c r="AP306" s="202"/>
      <c r="AQ306" s="202"/>
      <c r="AR306" s="202"/>
      <c r="AS306" s="202"/>
      <c r="AT306" s="202"/>
      <c r="AU306" s="202"/>
      <c r="AV306" s="202"/>
      <c r="AW306" s="203"/>
      <c r="AY306" s="211" t="s">
        <v>367</v>
      </c>
      <c r="AZ306" s="202" t="b">
        <f>OR(Brow2=0, Brow2 ="")</f>
        <v>1</v>
      </c>
      <c r="BA306" s="202"/>
      <c r="BB306" s="202"/>
      <c r="BC306" s="203"/>
      <c r="BE306" s="211" t="s">
        <v>369</v>
      </c>
      <c r="BF306" s="202" t="b">
        <f>OR(Brow3=0, Brow3 ="")</f>
        <v>1</v>
      </c>
      <c r="BG306" s="202"/>
      <c r="BH306" s="202"/>
      <c r="BI306" s="203"/>
      <c r="BS306" s="202"/>
      <c r="BT306" s="202"/>
      <c r="BU306" s="202"/>
      <c r="BV306" s="202"/>
      <c r="BW306" s="202"/>
      <c r="BX306" s="202"/>
      <c r="BY306" s="202"/>
      <c r="BZ306" s="202"/>
      <c r="CA306" s="203"/>
    </row>
    <row r="307" spans="6:79" x14ac:dyDescent="0.25">
      <c r="F307" s="7"/>
      <c r="G307" s="7"/>
      <c r="AJ307" s="204"/>
      <c r="AK307" s="228" t="s">
        <v>2010</v>
      </c>
      <c r="AL307" s="228" t="s">
        <v>2011</v>
      </c>
      <c r="AM307" s="205"/>
      <c r="AN307" s="285" t="str">
        <f>BarsM</f>
        <v>#9</v>
      </c>
      <c r="AO307" s="228" t="s">
        <v>2027</v>
      </c>
      <c r="AP307" s="205"/>
      <c r="AQ307" s="285" t="str">
        <f>BarsB</f>
        <v>#9</v>
      </c>
      <c r="AR307" s="228" t="s">
        <v>2015</v>
      </c>
      <c r="AS307" s="205"/>
      <c r="AT307" s="205"/>
      <c r="AU307" s="205"/>
      <c r="AV307" s="205"/>
      <c r="AW307" s="206"/>
      <c r="AY307" s="204"/>
      <c r="AZ307" s="228"/>
      <c r="BA307" s="228"/>
      <c r="BB307" s="205"/>
      <c r="BC307" s="288"/>
      <c r="BE307" s="204"/>
      <c r="BF307" s="228"/>
      <c r="BG307" s="228"/>
      <c r="BH307" s="205"/>
      <c r="BI307" s="288"/>
      <c r="BS307" s="228"/>
      <c r="BT307" s="205"/>
      <c r="BU307" s="285"/>
      <c r="BV307" s="228"/>
      <c r="BW307" s="205"/>
      <c r="BX307" s="205"/>
      <c r="BY307" s="205"/>
      <c r="BZ307" s="205"/>
      <c r="CA307" s="206"/>
    </row>
    <row r="308" spans="6:79" x14ac:dyDescent="0.25">
      <c r="F308" s="7"/>
      <c r="G308" s="7"/>
      <c r="AJ308" s="204"/>
      <c r="AK308" s="205">
        <f>IF(CapType="Tee",AK149,0)</f>
        <v>0</v>
      </c>
      <c r="AL308" s="205">
        <f>IF(CapType = "Tee",AK147,$AK$145)</f>
        <v>63</v>
      </c>
      <c r="AM308" s="205"/>
      <c r="AN308" s="205"/>
      <c r="AO308" s="205">
        <f>VLOOKUP(BarsM,BarTable,2,FALSE)</f>
        <v>1.1279999999999999</v>
      </c>
      <c r="AP308" s="205" t="s">
        <v>759</v>
      </c>
      <c r="AQ308" s="205"/>
      <c r="AR308" s="205">
        <f>VLOOKUP(BarsB,BarTable,2,FALSE)</f>
        <v>1.1279999999999999</v>
      </c>
      <c r="AS308" s="205" t="s">
        <v>759</v>
      </c>
      <c r="AT308" s="205"/>
      <c r="AU308" s="205"/>
      <c r="AV308" s="205"/>
      <c r="AW308" s="206"/>
      <c r="AY308" s="204"/>
      <c r="AZ308" s="205"/>
      <c r="BA308" s="205"/>
      <c r="BB308" s="205"/>
      <c r="BC308" s="206"/>
      <c r="BE308" s="204"/>
      <c r="BF308" s="205"/>
      <c r="BG308" s="205"/>
      <c r="BH308" s="205"/>
      <c r="BI308" s="206"/>
      <c r="BS308" s="205"/>
      <c r="BT308" s="205"/>
      <c r="BU308" s="205"/>
      <c r="BV308" s="205"/>
      <c r="BW308" s="205"/>
      <c r="BX308" s="205"/>
      <c r="BY308" s="205"/>
      <c r="BZ308" s="205"/>
      <c r="CA308" s="206"/>
    </row>
    <row r="309" spans="6:79" x14ac:dyDescent="0.25">
      <c r="F309" s="7"/>
      <c r="G309" s="7"/>
      <c r="AJ309" s="204"/>
      <c r="AK309" s="205"/>
      <c r="AL309" s="205"/>
      <c r="AM309" s="205"/>
      <c r="AN309" s="205"/>
      <c r="AO309" s="205"/>
      <c r="AP309" s="205"/>
      <c r="AQ309" s="205"/>
      <c r="AR309" s="205"/>
      <c r="AS309" s="205"/>
      <c r="AT309" s="205"/>
      <c r="AU309" s="205"/>
      <c r="AV309" s="205"/>
      <c r="AW309" s="206"/>
      <c r="AY309" s="204"/>
      <c r="AZ309" s="205"/>
      <c r="BA309" s="205"/>
      <c r="BB309" s="205"/>
      <c r="BC309" s="206"/>
      <c r="BE309" s="204"/>
      <c r="BF309" s="205"/>
      <c r="BG309" s="205"/>
      <c r="BH309" s="205"/>
      <c r="BI309" s="206"/>
      <c r="BS309" s="205"/>
      <c r="BT309" s="205"/>
      <c r="BU309" s="205"/>
      <c r="BV309" s="205"/>
      <c r="BW309" s="205"/>
      <c r="BX309" s="205"/>
      <c r="BY309" s="205"/>
      <c r="BZ309" s="205"/>
      <c r="CA309" s="206"/>
    </row>
    <row r="310" spans="6:79" ht="15" customHeight="1" x14ac:dyDescent="0.25">
      <c r="AJ310" s="204"/>
      <c r="AK310" s="205"/>
      <c r="AL310" s="205"/>
      <c r="AM310" s="205"/>
      <c r="AN310" s="205"/>
      <c r="AO310" s="205"/>
      <c r="AP310" s="205"/>
      <c r="AQ310" s="205"/>
      <c r="AR310" s="205"/>
      <c r="AS310" s="205"/>
      <c r="AT310" s="205"/>
      <c r="AU310" s="205"/>
      <c r="AV310" s="205"/>
      <c r="AW310" s="206"/>
      <c r="AY310" s="204"/>
      <c r="AZ310" s="205"/>
      <c r="BA310" s="205"/>
      <c r="BB310" s="205"/>
      <c r="BC310" s="206"/>
      <c r="BE310" s="204"/>
      <c r="BF310" s="205"/>
      <c r="BG310" s="205"/>
      <c r="BH310" s="205"/>
      <c r="BI310" s="206"/>
      <c r="BS310" s="205"/>
      <c r="BT310" s="205"/>
      <c r="BU310" s="205"/>
      <c r="BV310" s="205"/>
      <c r="BW310" s="205"/>
      <c r="BX310" s="205"/>
      <c r="BY310" s="205"/>
      <c r="BZ310" s="205"/>
      <c r="CA310" s="206"/>
    </row>
    <row r="311" spans="6:79" x14ac:dyDescent="0.25">
      <c r="AJ311" s="204"/>
      <c r="AK311" s="205"/>
      <c r="AL311" s="228" t="s">
        <v>2016</v>
      </c>
      <c r="AM311" s="205"/>
      <c r="AN311" s="205"/>
      <c r="AO311" s="228" t="s">
        <v>2017</v>
      </c>
      <c r="AP311" s="205"/>
      <c r="AQ311" s="205"/>
      <c r="AR311" s="228" t="s">
        <v>2018</v>
      </c>
      <c r="AS311" s="205"/>
      <c r="AT311" s="205"/>
      <c r="AU311" s="228" t="s">
        <v>2018</v>
      </c>
      <c r="AV311" s="205"/>
      <c r="AW311" s="206"/>
      <c r="AY311" s="204"/>
      <c r="AZ311" s="205"/>
      <c r="BA311" s="228" t="s">
        <v>2016</v>
      </c>
      <c r="BB311" s="205"/>
      <c r="BC311" s="206"/>
      <c r="BE311" s="204"/>
      <c r="BF311" s="205"/>
      <c r="BG311" s="228" t="s">
        <v>2016</v>
      </c>
      <c r="BH311" s="205"/>
      <c r="BI311" s="206"/>
      <c r="BS311" s="228" t="s">
        <v>2017</v>
      </c>
      <c r="BT311" s="205"/>
      <c r="BU311" s="205"/>
      <c r="BV311" s="228" t="s">
        <v>2018</v>
      </c>
      <c r="BW311" s="205"/>
      <c r="BX311" s="205"/>
      <c r="BY311" s="228" t="s">
        <v>2018</v>
      </c>
      <c r="BZ311" s="205"/>
      <c r="CA311" s="206"/>
    </row>
    <row r="312" spans="6:79" ht="15.75" thickBot="1" x14ac:dyDescent="0.3">
      <c r="AJ312" s="204"/>
      <c r="AK312" s="205"/>
      <c r="AL312" s="205"/>
      <c r="AM312" s="205"/>
      <c r="AN312" s="205"/>
      <c r="AO312" s="205"/>
      <c r="AP312" s="205"/>
      <c r="AQ312" s="205"/>
      <c r="AR312" s="205"/>
      <c r="AS312" s="205"/>
      <c r="AT312" s="205"/>
      <c r="AU312" s="205"/>
      <c r="AV312" s="205"/>
      <c r="AW312" s="206"/>
      <c r="AY312" s="204"/>
      <c r="AZ312" s="205"/>
      <c r="BA312" s="205"/>
      <c r="BB312" s="205"/>
      <c r="BC312" s="206"/>
      <c r="BE312" s="204"/>
      <c r="BF312" s="205"/>
      <c r="BG312" s="205"/>
      <c r="BH312" s="205"/>
      <c r="BI312" s="206"/>
      <c r="BS312" s="205"/>
      <c r="BT312" s="205"/>
      <c r="BU312" s="205"/>
      <c r="BV312" s="205"/>
      <c r="BW312" s="205"/>
      <c r="BX312" s="205"/>
      <c r="BY312" s="205"/>
      <c r="BZ312" s="205"/>
      <c r="CA312" s="206"/>
    </row>
    <row r="313" spans="6:79" ht="15.75" thickBot="1" x14ac:dyDescent="0.3">
      <c r="AJ313" s="204"/>
      <c r="AK313" s="205"/>
      <c r="AL313" s="205"/>
      <c r="AM313" s="205"/>
      <c r="AN313" s="205"/>
      <c r="AO313" s="257" t="s">
        <v>2007</v>
      </c>
      <c r="AP313" s="258" t="s">
        <v>2008</v>
      </c>
      <c r="AQ313" s="205"/>
      <c r="AR313" s="257" t="s">
        <v>2007</v>
      </c>
      <c r="AS313" s="258" t="s">
        <v>2008</v>
      </c>
      <c r="AT313" s="205"/>
      <c r="AU313" s="257" t="s">
        <v>2007</v>
      </c>
      <c r="AV313" s="258" t="s">
        <v>2008</v>
      </c>
      <c r="AW313" s="206"/>
      <c r="AY313" s="204"/>
      <c r="AZ313" s="205"/>
      <c r="BA313" s="205"/>
      <c r="BB313" s="205"/>
      <c r="BC313" s="206"/>
      <c r="BE313" s="204"/>
      <c r="BF313" s="205"/>
      <c r="BG313" s="205"/>
      <c r="BH313" s="205"/>
      <c r="BI313" s="206"/>
      <c r="BS313" s="257" t="s">
        <v>2007</v>
      </c>
      <c r="BT313" s="258" t="s">
        <v>2008</v>
      </c>
      <c r="BU313" s="205"/>
      <c r="BV313" s="257" t="s">
        <v>2007</v>
      </c>
      <c r="BW313" s="258" t="s">
        <v>2008</v>
      </c>
      <c r="BX313" s="205"/>
      <c r="BY313" s="257" t="s">
        <v>2007</v>
      </c>
      <c r="BZ313" s="258" t="s">
        <v>2008</v>
      </c>
      <c r="CA313" s="206"/>
    </row>
    <row r="314" spans="6:79" ht="16.5" thickTop="1" thickBot="1" x14ac:dyDescent="0.3">
      <c r="AJ314" s="204"/>
      <c r="AK314" s="205"/>
      <c r="AL314" s="205"/>
      <c r="AM314" s="205"/>
      <c r="AN314" s="205"/>
      <c r="AO314" s="222">
        <f>2+IF(IncreaseClearCover=TRUE,0.5,0)+$AO$308+$AR$308/2</f>
        <v>3.6920000000000002</v>
      </c>
      <c r="AP314" s="224">
        <f>($AL$308-$AK$308-AO314*2)/(Brow1-1)</f>
        <v>11.123200000000001</v>
      </c>
      <c r="AQ314" s="205"/>
      <c r="AR314" s="222">
        <f>2+IF(IncreaseClearCover=TRUE,0.5,0)+$AO$308+$AR$308</f>
        <v>4.2560000000000002</v>
      </c>
      <c r="AS314" s="224">
        <f>($AL$308-$AK$308-AR314*2)/(Brow1/2-1)</f>
        <v>27.244</v>
      </c>
      <c r="AT314" s="205"/>
      <c r="AU314" s="222">
        <f>2+IF(IncreaseClearCover=TRUE,0.5,0)+$AO$308+$AR$308</f>
        <v>4.2560000000000002</v>
      </c>
      <c r="AV314" s="224">
        <f>($AL$308-$AK$308-AU314*2)/(Brow1/2-1)</f>
        <v>27.244</v>
      </c>
      <c r="AW314" s="206"/>
      <c r="AY314" s="204"/>
      <c r="AZ314" s="205"/>
      <c r="BA314" s="205"/>
      <c r="BB314" s="205"/>
      <c r="BC314" s="206"/>
      <c r="BE314" s="204"/>
      <c r="BF314" s="205"/>
      <c r="BG314" s="205"/>
      <c r="BH314" s="205"/>
      <c r="BI314" s="206"/>
      <c r="BS314" s="222">
        <f>2+IF(IncreaseClearCover,0.5,0)+$AO$308+$AR$308/2</f>
        <v>3.6920000000000002</v>
      </c>
      <c r="BT314" s="224" t="e">
        <f>($AL$308-$AK$308-BS314*2)/(Brow3-1)</f>
        <v>#VALUE!</v>
      </c>
      <c r="BU314" s="205"/>
      <c r="BV314" s="222">
        <f>2+IF(IncreaseClearCover,0.5,0)+$AO$308+$AR$308</f>
        <v>4.2560000000000002</v>
      </c>
      <c r="BW314" s="224" t="e">
        <f>($AL$308-$AK$308-BV314*2)/(Brow3/2-1)</f>
        <v>#VALUE!</v>
      </c>
      <c r="BX314" s="205"/>
      <c r="BY314" s="222">
        <f>2+IF(IncreaseClearCover,0.5,0)+$AO$308+$AR$308</f>
        <v>4.2560000000000002</v>
      </c>
      <c r="BZ314" s="224" t="e">
        <f>($AL$308-$AK$308-BY314*2)/(Brow3/2-1)</f>
        <v>#VALUE!</v>
      </c>
      <c r="CA314" s="206"/>
    </row>
    <row r="315" spans="6:79" ht="15.75" thickBot="1" x14ac:dyDescent="0.3">
      <c r="AJ315" s="204"/>
      <c r="AK315" s="205"/>
      <c r="AL315" s="205"/>
      <c r="AM315" s="205"/>
      <c r="AN315" s="205"/>
      <c r="AO315" s="205"/>
      <c r="AP315" s="205"/>
      <c r="AQ315" s="205"/>
      <c r="AR315" s="205"/>
      <c r="AS315" s="205"/>
      <c r="AT315" s="205"/>
      <c r="AU315" s="205"/>
      <c r="AV315" s="205"/>
      <c r="AW315" s="206"/>
      <c r="AY315" s="204"/>
      <c r="AZ315" s="205"/>
      <c r="BA315" s="205"/>
      <c r="BB315" s="205"/>
      <c r="BC315" s="206"/>
      <c r="BE315" s="204"/>
      <c r="BF315" s="205"/>
      <c r="BG315" s="205"/>
      <c r="BH315" s="205"/>
      <c r="BI315" s="206"/>
      <c r="BS315" s="205"/>
      <c r="BT315" s="205"/>
      <c r="BU315" s="205"/>
      <c r="BV315" s="205"/>
      <c r="BW315" s="205"/>
      <c r="BX315" s="205"/>
      <c r="BY315" s="205"/>
      <c r="BZ315" s="205"/>
      <c r="CA315" s="206"/>
    </row>
    <row r="316" spans="6:79" ht="15.75" thickBot="1" x14ac:dyDescent="0.3">
      <c r="AJ316" s="204"/>
      <c r="AK316" s="205"/>
      <c r="AL316" s="257" t="s">
        <v>817</v>
      </c>
      <c r="AM316" s="258" t="s">
        <v>818</v>
      </c>
      <c r="AN316" s="205"/>
      <c r="AO316" s="257" t="s">
        <v>817</v>
      </c>
      <c r="AP316" s="258" t="s">
        <v>818</v>
      </c>
      <c r="AQ316" s="205"/>
      <c r="AR316" s="257" t="s">
        <v>817</v>
      </c>
      <c r="AS316" s="258" t="s">
        <v>818</v>
      </c>
      <c r="AT316" s="205"/>
      <c r="AU316" s="257" t="s">
        <v>817</v>
      </c>
      <c r="AV316" s="258" t="s">
        <v>818</v>
      </c>
      <c r="AW316" s="206"/>
      <c r="AY316" s="204"/>
      <c r="AZ316" s="205"/>
      <c r="BA316" s="257" t="s">
        <v>817</v>
      </c>
      <c r="BB316" s="258" t="s">
        <v>818</v>
      </c>
      <c r="BC316" s="206"/>
      <c r="BE316" s="204"/>
      <c r="BF316" s="205"/>
      <c r="BG316" s="257" t="s">
        <v>817</v>
      </c>
      <c r="BH316" s="258" t="s">
        <v>818</v>
      </c>
      <c r="BI316" s="206"/>
      <c r="BS316" s="257" t="s">
        <v>817</v>
      </c>
      <c r="BT316" s="258" t="s">
        <v>818</v>
      </c>
      <c r="BU316" s="205"/>
      <c r="BV316" s="257" t="s">
        <v>817</v>
      </c>
      <c r="BW316" s="258" t="s">
        <v>818</v>
      </c>
      <c r="BX316" s="205"/>
      <c r="BY316" s="257" t="s">
        <v>817</v>
      </c>
      <c r="BZ316" s="258" t="s">
        <v>818</v>
      </c>
      <c r="CA316" s="206"/>
    </row>
    <row r="317" spans="6:79" ht="15.75" thickTop="1" x14ac:dyDescent="0.25">
      <c r="AJ317" s="204"/>
      <c r="AK317" s="229" cm="1">
        <f t="array" ref="AK317:AK356">_xlfn.SEQUENCE(40)</f>
        <v>1</v>
      </c>
      <c r="AL317" s="286" cm="1">
        <f t="array" ref="AL317:AL322">IF($W$138="Bundling Not Required - OK",_xlfn.ANCHORARRAY(AO317), _xlfn.VSTACK(_xlfn.ANCHORARRAY(AR317),_xlfn.ANCHORARRAY(AU317)))</f>
        <v>3.6920000000000002</v>
      </c>
      <c r="AM317" s="264" cm="1">
        <f t="array" ref="AM317:AM322">IF($W$138="Bundling Not Required - OK",_xlfn.ANCHORARRAY(AP317), _xlfn.VSTACK(_xlfn.ANCHORARRAY(AS317),_xlfn.ANCHORARRAY(AV317)))</f>
        <v>3.6920000000000002</v>
      </c>
      <c r="AN317" s="229" cm="1">
        <f t="array" ref="AN317:AN336">_xlfn.SEQUENCE(20)</f>
        <v>1</v>
      </c>
      <c r="AO317" s="220" cm="1">
        <f t="array" ref="AO317:AO322">_xlfn.SEQUENCE(Brow1,,$AK$308+AO314,AP314)</f>
        <v>3.6920000000000002</v>
      </c>
      <c r="AP317" s="221" cm="1">
        <f t="array" ref="AP317:AP322">_xlfn.SEQUENCE(Brow1,,AO314,0)</f>
        <v>3.6920000000000002</v>
      </c>
      <c r="AQ317" s="229" cm="1">
        <f t="array" ref="AQ317:AQ336">_xlfn.SEQUENCE(20)</f>
        <v>1</v>
      </c>
      <c r="AR317" s="220" cm="1">
        <f t="array" ref="AR317:AR319">_xlfn.SEQUENCE(Brow1/2,,$AK$308+AR314-$AR$308/2,AS314)</f>
        <v>3.6920000000000002</v>
      </c>
      <c r="AS317" s="221" cm="1">
        <f t="array" ref="AS317:AS319">_xlfn.SEQUENCE(Brow1/2,,AO314,0)</f>
        <v>3.6920000000000002</v>
      </c>
      <c r="AT317" s="229" cm="1">
        <f t="array" ref="AT317:AT336">_xlfn.SEQUENCE(20)</f>
        <v>1</v>
      </c>
      <c r="AU317" s="220" cm="1">
        <f t="array" ref="AU317:AU319">_xlfn.SEQUENCE(Brow1/2,,$AK$308+AU314+$AR$308/2,AV314)</f>
        <v>4.82</v>
      </c>
      <c r="AV317" s="221" cm="1">
        <f t="array" ref="AV317:AV319">_xlfn.SEQUENCE(Brow1/2,,AO314,0)</f>
        <v>3.6920000000000002</v>
      </c>
      <c r="AW317" s="206"/>
      <c r="AY317" s="204"/>
      <c r="AZ317" s="229" cm="1">
        <f t="array" ref="AZ317:AZ356">_xlfn.SEQUENCE(40)</f>
        <v>1</v>
      </c>
      <c r="BA317" s="286" cm="1">
        <f t="array" ref="BA317">IF(AZ306, AL317,SMALL(_xlfn.ANCHORARRAY(AL317),_xlfn.SEQUENCE(Brow2,,(Brow1-Brow2)/2+1)))</f>
        <v>3.6920000000000002</v>
      </c>
      <c r="BB317" s="264" cm="1">
        <f t="array" ref="BB317">IF(AZ306, AM317,_xlfn.SEQUENCE(Brow2,,0,0)+AM317+BarsBdist)</f>
        <v>3.6920000000000002</v>
      </c>
      <c r="BC317" s="289"/>
      <c r="BE317" s="204"/>
      <c r="BF317" s="229" cm="1">
        <f t="array" ref="BF317:BF356">_xlfn.SEQUENCE(40)</f>
        <v>1</v>
      </c>
      <c r="BG317" s="286" cm="1">
        <f t="array" ref="BG317">IF(BF306, AL317, SMALL(_xlfn.ANCHORARRAY(AL317),_xlfn.SEQUENCE(Brow3,,(Brow1-Brow3)/2+1)))</f>
        <v>3.6920000000000002</v>
      </c>
      <c r="BH317" s="264" cm="1">
        <f t="array" ref="BH317">IF(BF306,AM317,_xlfn.SEQUENCE(Brow3,,0,0)+AM317+BarsBdist*2)</f>
        <v>3.6920000000000002</v>
      </c>
      <c r="BI317" s="289"/>
      <c r="BS317" s="220" t="e" cm="1">
        <f t="array" ref="BS317">_xlfn.SEQUENCE(Brow3,,$AK$308+BS314,BT314)</f>
        <v>#VALUE!</v>
      </c>
      <c r="BT317" s="221" t="e" cm="1">
        <f t="array" ref="BT317">_xlfn.SEQUENCE(Brow3,,BS314+BarsBdist*2,0)</f>
        <v>#VALUE!</v>
      </c>
      <c r="BU317" s="229" cm="1">
        <f t="array" ref="BU317:BU336">_xlfn.SEQUENCE(20)</f>
        <v>1</v>
      </c>
      <c r="BV317" s="220" t="e" cm="1">
        <f t="array" ref="BV317">_xlfn.SEQUENCE(Brow3/2,,$AK$308+BV314-$AR$308/2,BW314)</f>
        <v>#VALUE!</v>
      </c>
      <c r="BW317" s="221" t="e" cm="1">
        <f t="array" ref="BW317">_xlfn.SEQUENCE(Brow3/2,,BS314+BarsBdist*2,0)</f>
        <v>#VALUE!</v>
      </c>
      <c r="BX317" s="229" cm="1">
        <f t="array" ref="BX317:BX336">_xlfn.SEQUENCE(20)</f>
        <v>1</v>
      </c>
      <c r="BY317" s="220" t="e" cm="1">
        <f t="array" ref="BY317">_xlfn.SEQUENCE(Brow3/2,,$AK$308+BY314+$AR$308/2,BZ314)</f>
        <v>#VALUE!</v>
      </c>
      <c r="BZ317" s="221" t="e" cm="1">
        <f t="array" ref="BZ317">_xlfn.SEQUENCE(Brow3/2,,BS314+BarsBdist*2,0)</f>
        <v>#VALUE!</v>
      </c>
      <c r="CA317" s="206"/>
    </row>
    <row r="318" spans="6:79" x14ac:dyDescent="0.25">
      <c r="AJ318" s="204"/>
      <c r="AK318" s="229">
        <v>2</v>
      </c>
      <c r="AL318" s="286">
        <v>30.936</v>
      </c>
      <c r="AM318" s="264">
        <v>3.6920000000000002</v>
      </c>
      <c r="AN318" s="229">
        <v>2</v>
      </c>
      <c r="AO318" s="220">
        <v>14.815200000000001</v>
      </c>
      <c r="AP318" s="221">
        <v>3.6920000000000002</v>
      </c>
      <c r="AQ318" s="229">
        <v>2</v>
      </c>
      <c r="AR318" s="220">
        <v>30.936</v>
      </c>
      <c r="AS318" s="221">
        <v>3.6920000000000002</v>
      </c>
      <c r="AT318" s="229">
        <v>2</v>
      </c>
      <c r="AU318" s="220">
        <v>32.064</v>
      </c>
      <c r="AV318" s="221">
        <v>3.6920000000000002</v>
      </c>
      <c r="AW318" s="206"/>
      <c r="AY318" s="204"/>
      <c r="AZ318" s="229">
        <v>2</v>
      </c>
      <c r="BA318" s="286"/>
      <c r="BB318" s="264"/>
      <c r="BC318" s="289"/>
      <c r="BE318" s="204"/>
      <c r="BF318" s="229">
        <v>2</v>
      </c>
      <c r="BG318" s="286"/>
      <c r="BH318" s="264"/>
      <c r="BI318" s="289"/>
      <c r="BS318" s="220"/>
      <c r="BT318" s="221"/>
      <c r="BU318" s="229">
        <v>2</v>
      </c>
      <c r="BV318" s="220"/>
      <c r="BW318" s="221"/>
      <c r="BX318" s="229">
        <v>2</v>
      </c>
      <c r="BY318" s="220"/>
      <c r="BZ318" s="221"/>
      <c r="CA318" s="206"/>
    </row>
    <row r="319" spans="6:79" x14ac:dyDescent="0.25">
      <c r="AJ319" s="204"/>
      <c r="AK319" s="229">
        <v>3</v>
      </c>
      <c r="AL319" s="286">
        <v>58.18</v>
      </c>
      <c r="AM319" s="264">
        <v>3.6920000000000002</v>
      </c>
      <c r="AN319" s="229">
        <v>3</v>
      </c>
      <c r="AO319" s="220">
        <v>25.938400000000001</v>
      </c>
      <c r="AP319" s="221">
        <v>3.6920000000000002</v>
      </c>
      <c r="AQ319" s="229">
        <v>3</v>
      </c>
      <c r="AR319" s="220">
        <v>58.18</v>
      </c>
      <c r="AS319" s="221">
        <v>3.6920000000000002</v>
      </c>
      <c r="AT319" s="229">
        <v>3</v>
      </c>
      <c r="AU319" s="220">
        <v>59.308</v>
      </c>
      <c r="AV319" s="221">
        <v>3.6920000000000002</v>
      </c>
      <c r="AW319" s="206"/>
      <c r="AY319" s="204"/>
      <c r="AZ319" s="229">
        <v>3</v>
      </c>
      <c r="BA319" s="286"/>
      <c r="BB319" s="264"/>
      <c r="BC319" s="289"/>
      <c r="BE319" s="204"/>
      <c r="BF319" s="229">
        <v>3</v>
      </c>
      <c r="BG319" s="286"/>
      <c r="BH319" s="264"/>
      <c r="BI319" s="289"/>
      <c r="BS319" s="220"/>
      <c r="BT319" s="221"/>
      <c r="BU319" s="229">
        <v>3</v>
      </c>
      <c r="BV319" s="220"/>
      <c r="BW319" s="221"/>
      <c r="BX319" s="229">
        <v>3</v>
      </c>
      <c r="BY319" s="220"/>
      <c r="BZ319" s="221"/>
      <c r="CA319" s="206"/>
    </row>
    <row r="320" spans="6:79" x14ac:dyDescent="0.25">
      <c r="AJ320" s="204"/>
      <c r="AK320" s="229">
        <v>4</v>
      </c>
      <c r="AL320" s="286">
        <v>4.82</v>
      </c>
      <c r="AM320" s="264">
        <v>3.6920000000000002</v>
      </c>
      <c r="AN320" s="229">
        <v>4</v>
      </c>
      <c r="AO320" s="220">
        <v>37.061599999999999</v>
      </c>
      <c r="AP320" s="221">
        <v>3.6920000000000002</v>
      </c>
      <c r="AQ320" s="229">
        <v>4</v>
      </c>
      <c r="AR320" s="220"/>
      <c r="AS320" s="221"/>
      <c r="AT320" s="229">
        <v>4</v>
      </c>
      <c r="AU320" s="220"/>
      <c r="AV320" s="221"/>
      <c r="AW320" s="206"/>
      <c r="AY320" s="204"/>
      <c r="AZ320" s="229">
        <v>4</v>
      </c>
      <c r="BA320" s="286"/>
      <c r="BB320" s="264"/>
      <c r="BC320" s="289"/>
      <c r="BE320" s="204"/>
      <c r="BF320" s="229">
        <v>4</v>
      </c>
      <c r="BG320" s="286"/>
      <c r="BH320" s="264"/>
      <c r="BI320" s="289"/>
      <c r="BS320" s="220"/>
      <c r="BT320" s="221"/>
      <c r="BU320" s="229">
        <v>4</v>
      </c>
      <c r="BV320" s="220"/>
      <c r="BW320" s="221"/>
      <c r="BX320" s="229">
        <v>4</v>
      </c>
      <c r="BY320" s="220"/>
      <c r="BZ320" s="221"/>
      <c r="CA320" s="206"/>
    </row>
    <row r="321" spans="36:79" ht="15" customHeight="1" x14ac:dyDescent="0.25">
      <c r="AJ321" s="204"/>
      <c r="AK321" s="229">
        <v>5</v>
      </c>
      <c r="AL321" s="286">
        <v>32.064</v>
      </c>
      <c r="AM321" s="264">
        <v>3.6920000000000002</v>
      </c>
      <c r="AN321" s="229">
        <v>5</v>
      </c>
      <c r="AO321" s="220">
        <v>48.184799999999996</v>
      </c>
      <c r="AP321" s="221">
        <v>3.6920000000000002</v>
      </c>
      <c r="AQ321" s="229">
        <v>5</v>
      </c>
      <c r="AR321" s="220"/>
      <c r="AS321" s="221"/>
      <c r="AT321" s="229">
        <v>5</v>
      </c>
      <c r="AU321" s="220"/>
      <c r="AV321" s="221"/>
      <c r="AW321" s="206"/>
      <c r="AY321" s="204"/>
      <c r="AZ321" s="229">
        <v>5</v>
      </c>
      <c r="BA321" s="286"/>
      <c r="BB321" s="264"/>
      <c r="BC321" s="289"/>
      <c r="BE321" s="204"/>
      <c r="BF321" s="229">
        <v>5</v>
      </c>
      <c r="BG321" s="286"/>
      <c r="BH321" s="264"/>
      <c r="BI321" s="289"/>
      <c r="BS321" s="220"/>
      <c r="BT321" s="221"/>
      <c r="BU321" s="229">
        <v>5</v>
      </c>
      <c r="BV321" s="220"/>
      <c r="BW321" s="221"/>
      <c r="BX321" s="229">
        <v>5</v>
      </c>
      <c r="BY321" s="220"/>
      <c r="BZ321" s="221"/>
      <c r="CA321" s="206"/>
    </row>
    <row r="322" spans="36:79" x14ac:dyDescent="0.25">
      <c r="AJ322" s="204"/>
      <c r="AK322" s="229">
        <v>6</v>
      </c>
      <c r="AL322" s="286">
        <v>59.308</v>
      </c>
      <c r="AM322" s="264">
        <v>3.6920000000000002</v>
      </c>
      <c r="AN322" s="229">
        <v>6</v>
      </c>
      <c r="AO322" s="220">
        <v>59.307999999999993</v>
      </c>
      <c r="AP322" s="221">
        <v>3.6920000000000002</v>
      </c>
      <c r="AQ322" s="229">
        <v>6</v>
      </c>
      <c r="AR322" s="220"/>
      <c r="AS322" s="221"/>
      <c r="AT322" s="229">
        <v>6</v>
      </c>
      <c r="AU322" s="220"/>
      <c r="AV322" s="221"/>
      <c r="AW322" s="206"/>
      <c r="AY322" s="204"/>
      <c r="AZ322" s="229">
        <v>6</v>
      </c>
      <c r="BA322" s="286"/>
      <c r="BB322" s="264"/>
      <c r="BC322" s="289"/>
      <c r="BE322" s="204"/>
      <c r="BF322" s="229">
        <v>6</v>
      </c>
      <c r="BG322" s="286"/>
      <c r="BH322" s="264"/>
      <c r="BI322" s="289"/>
      <c r="BS322" s="220"/>
      <c r="BT322" s="221"/>
      <c r="BU322" s="229">
        <v>6</v>
      </c>
      <c r="BV322" s="220"/>
      <c r="BW322" s="221"/>
      <c r="BX322" s="229">
        <v>6</v>
      </c>
      <c r="BY322" s="220"/>
      <c r="BZ322" s="221"/>
      <c r="CA322" s="206"/>
    </row>
    <row r="323" spans="36:79" x14ac:dyDescent="0.25">
      <c r="AJ323" s="204"/>
      <c r="AK323" s="229">
        <v>7</v>
      </c>
      <c r="AL323" s="286"/>
      <c r="AM323" s="264"/>
      <c r="AN323" s="229">
        <v>7</v>
      </c>
      <c r="AO323" s="220"/>
      <c r="AP323" s="221"/>
      <c r="AQ323" s="229">
        <v>7</v>
      </c>
      <c r="AR323" s="220"/>
      <c r="AS323" s="221"/>
      <c r="AT323" s="229">
        <v>7</v>
      </c>
      <c r="AU323" s="220"/>
      <c r="AV323" s="221"/>
      <c r="AW323" s="206"/>
      <c r="AY323" s="204"/>
      <c r="AZ323" s="229">
        <v>7</v>
      </c>
      <c r="BA323" s="286"/>
      <c r="BB323" s="264"/>
      <c r="BC323" s="289"/>
      <c r="BE323" s="204"/>
      <c r="BF323" s="229">
        <v>7</v>
      </c>
      <c r="BG323" s="286"/>
      <c r="BH323" s="264"/>
      <c r="BI323" s="289"/>
      <c r="BS323" s="220"/>
      <c r="BT323" s="221"/>
      <c r="BU323" s="229">
        <v>7</v>
      </c>
      <c r="BV323" s="220"/>
      <c r="BW323" s="221"/>
      <c r="BX323" s="229">
        <v>7</v>
      </c>
      <c r="BY323" s="220"/>
      <c r="BZ323" s="221"/>
      <c r="CA323" s="206"/>
    </row>
    <row r="324" spans="36:79" x14ac:dyDescent="0.25">
      <c r="AJ324" s="204"/>
      <c r="AK324" s="229">
        <v>8</v>
      </c>
      <c r="AL324" s="286"/>
      <c r="AM324" s="264"/>
      <c r="AN324" s="229">
        <v>8</v>
      </c>
      <c r="AO324" s="220"/>
      <c r="AP324" s="221"/>
      <c r="AQ324" s="229">
        <v>8</v>
      </c>
      <c r="AR324" s="220"/>
      <c r="AS324" s="221"/>
      <c r="AT324" s="229">
        <v>8</v>
      </c>
      <c r="AU324" s="220"/>
      <c r="AV324" s="221"/>
      <c r="AW324" s="206"/>
      <c r="AY324" s="204"/>
      <c r="AZ324" s="229">
        <v>8</v>
      </c>
      <c r="BA324" s="286"/>
      <c r="BB324" s="264"/>
      <c r="BC324" s="289"/>
      <c r="BE324" s="204"/>
      <c r="BF324" s="229">
        <v>8</v>
      </c>
      <c r="BG324" s="286"/>
      <c r="BH324" s="264"/>
      <c r="BI324" s="289"/>
      <c r="BS324" s="220"/>
      <c r="BT324" s="221"/>
      <c r="BU324" s="229">
        <v>8</v>
      </c>
      <c r="BV324" s="220"/>
      <c r="BW324" s="221"/>
      <c r="BX324" s="229">
        <v>8</v>
      </c>
      <c r="BY324" s="220"/>
      <c r="BZ324" s="221"/>
      <c r="CA324" s="206"/>
    </row>
    <row r="325" spans="36:79" x14ac:dyDescent="0.25">
      <c r="AJ325" s="204"/>
      <c r="AK325" s="229">
        <v>9</v>
      </c>
      <c r="AL325" s="286"/>
      <c r="AM325" s="264"/>
      <c r="AN325" s="229">
        <v>9</v>
      </c>
      <c r="AO325" s="220"/>
      <c r="AP325" s="221"/>
      <c r="AQ325" s="229">
        <v>9</v>
      </c>
      <c r="AR325" s="220"/>
      <c r="AS325" s="221"/>
      <c r="AT325" s="229">
        <v>9</v>
      </c>
      <c r="AU325" s="220"/>
      <c r="AV325" s="221"/>
      <c r="AW325" s="206"/>
      <c r="AY325" s="204"/>
      <c r="AZ325" s="229">
        <v>9</v>
      </c>
      <c r="BA325" s="286"/>
      <c r="BB325" s="264"/>
      <c r="BC325" s="289"/>
      <c r="BE325" s="204"/>
      <c r="BF325" s="229">
        <v>9</v>
      </c>
      <c r="BG325" s="286"/>
      <c r="BH325" s="264"/>
      <c r="BI325" s="289"/>
      <c r="BS325" s="220"/>
      <c r="BT325" s="221"/>
      <c r="BU325" s="229">
        <v>9</v>
      </c>
      <c r="BV325" s="220"/>
      <c r="BW325" s="221"/>
      <c r="BX325" s="229">
        <v>9</v>
      </c>
      <c r="BY325" s="220"/>
      <c r="BZ325" s="221"/>
      <c r="CA325" s="206"/>
    </row>
    <row r="326" spans="36:79" x14ac:dyDescent="0.25">
      <c r="AJ326" s="204"/>
      <c r="AK326" s="229">
        <v>10</v>
      </c>
      <c r="AL326" s="286"/>
      <c r="AM326" s="264"/>
      <c r="AN326" s="229">
        <v>10</v>
      </c>
      <c r="AO326" s="220"/>
      <c r="AP326" s="221"/>
      <c r="AQ326" s="229">
        <v>10</v>
      </c>
      <c r="AR326" s="220"/>
      <c r="AS326" s="221"/>
      <c r="AT326" s="229">
        <v>10</v>
      </c>
      <c r="AU326" s="220"/>
      <c r="AV326" s="221"/>
      <c r="AW326" s="206"/>
      <c r="AY326" s="204"/>
      <c r="AZ326" s="229">
        <v>10</v>
      </c>
      <c r="BA326" s="286"/>
      <c r="BB326" s="264"/>
      <c r="BC326" s="289"/>
      <c r="BE326" s="204"/>
      <c r="BF326" s="229">
        <v>10</v>
      </c>
      <c r="BG326" s="286"/>
      <c r="BH326" s="264"/>
      <c r="BI326" s="289"/>
      <c r="BS326" s="220"/>
      <c r="BT326" s="221"/>
      <c r="BU326" s="229">
        <v>10</v>
      </c>
      <c r="BV326" s="220"/>
      <c r="BW326" s="221"/>
      <c r="BX326" s="229">
        <v>10</v>
      </c>
      <c r="BY326" s="220"/>
      <c r="BZ326" s="221"/>
      <c r="CA326" s="206"/>
    </row>
    <row r="327" spans="36:79" x14ac:dyDescent="0.25">
      <c r="AJ327" s="204"/>
      <c r="AK327" s="229">
        <v>11</v>
      </c>
      <c r="AL327" s="286"/>
      <c r="AM327" s="264"/>
      <c r="AN327" s="229">
        <v>11</v>
      </c>
      <c r="AO327" s="220"/>
      <c r="AP327" s="221"/>
      <c r="AQ327" s="229">
        <v>11</v>
      </c>
      <c r="AR327" s="220"/>
      <c r="AS327" s="221"/>
      <c r="AT327" s="229">
        <v>11</v>
      </c>
      <c r="AU327" s="220"/>
      <c r="AV327" s="221"/>
      <c r="AW327" s="206"/>
      <c r="AY327" s="204"/>
      <c r="AZ327" s="229">
        <v>11</v>
      </c>
      <c r="BA327" s="286"/>
      <c r="BB327" s="264"/>
      <c r="BC327" s="289"/>
      <c r="BE327" s="204"/>
      <c r="BF327" s="229">
        <v>11</v>
      </c>
      <c r="BG327" s="286"/>
      <c r="BH327" s="264"/>
      <c r="BI327" s="289"/>
      <c r="BS327" s="220"/>
      <c r="BT327" s="221"/>
      <c r="BU327" s="229">
        <v>11</v>
      </c>
      <c r="BV327" s="220"/>
      <c r="BW327" s="221"/>
      <c r="BX327" s="229">
        <v>11</v>
      </c>
      <c r="BY327" s="220"/>
      <c r="BZ327" s="221"/>
      <c r="CA327" s="206"/>
    </row>
    <row r="328" spans="36:79" x14ac:dyDescent="0.25">
      <c r="AJ328" s="204"/>
      <c r="AK328" s="229">
        <v>12</v>
      </c>
      <c r="AL328" s="286"/>
      <c r="AM328" s="264"/>
      <c r="AN328" s="229">
        <v>12</v>
      </c>
      <c r="AO328" s="220"/>
      <c r="AP328" s="221"/>
      <c r="AQ328" s="229">
        <v>12</v>
      </c>
      <c r="AR328" s="220"/>
      <c r="AS328" s="221"/>
      <c r="AT328" s="229">
        <v>12</v>
      </c>
      <c r="AU328" s="220"/>
      <c r="AV328" s="221"/>
      <c r="AW328" s="206"/>
      <c r="AY328" s="204"/>
      <c r="AZ328" s="229">
        <v>12</v>
      </c>
      <c r="BA328" s="286"/>
      <c r="BB328" s="264"/>
      <c r="BC328" s="289"/>
      <c r="BE328" s="204"/>
      <c r="BF328" s="229">
        <v>12</v>
      </c>
      <c r="BG328" s="286"/>
      <c r="BH328" s="264"/>
      <c r="BI328" s="289"/>
      <c r="BS328" s="220"/>
      <c r="BT328" s="221"/>
      <c r="BU328" s="229">
        <v>12</v>
      </c>
      <c r="BV328" s="220"/>
      <c r="BW328" s="221"/>
      <c r="BX328" s="229">
        <v>12</v>
      </c>
      <c r="BY328" s="220"/>
      <c r="BZ328" s="221"/>
      <c r="CA328" s="206"/>
    </row>
    <row r="329" spans="36:79" x14ac:dyDescent="0.25">
      <c r="AJ329" s="204"/>
      <c r="AK329" s="229">
        <v>13</v>
      </c>
      <c r="AL329" s="286"/>
      <c r="AM329" s="264"/>
      <c r="AN329" s="229">
        <v>13</v>
      </c>
      <c r="AO329" s="220"/>
      <c r="AP329" s="221"/>
      <c r="AQ329" s="229">
        <v>13</v>
      </c>
      <c r="AR329" s="220"/>
      <c r="AS329" s="221"/>
      <c r="AT329" s="229">
        <v>13</v>
      </c>
      <c r="AU329" s="220"/>
      <c r="AV329" s="221"/>
      <c r="AW329" s="206"/>
      <c r="AY329" s="204"/>
      <c r="AZ329" s="229">
        <v>13</v>
      </c>
      <c r="BA329" s="286"/>
      <c r="BB329" s="264"/>
      <c r="BC329" s="289"/>
      <c r="BE329" s="204"/>
      <c r="BF329" s="229">
        <v>13</v>
      </c>
      <c r="BG329" s="286"/>
      <c r="BH329" s="264"/>
      <c r="BI329" s="289"/>
      <c r="BS329" s="220"/>
      <c r="BT329" s="221"/>
      <c r="BU329" s="229">
        <v>13</v>
      </c>
      <c r="BV329" s="220"/>
      <c r="BW329" s="221"/>
      <c r="BX329" s="229">
        <v>13</v>
      </c>
      <c r="BY329" s="220"/>
      <c r="BZ329" s="221"/>
      <c r="CA329" s="206"/>
    </row>
    <row r="330" spans="36:79" x14ac:dyDescent="0.25">
      <c r="AJ330" s="204"/>
      <c r="AK330" s="229">
        <v>14</v>
      </c>
      <c r="AL330" s="286"/>
      <c r="AM330" s="264"/>
      <c r="AN330" s="229">
        <v>14</v>
      </c>
      <c r="AO330" s="220"/>
      <c r="AP330" s="221"/>
      <c r="AQ330" s="229">
        <v>14</v>
      </c>
      <c r="AR330" s="220"/>
      <c r="AS330" s="221"/>
      <c r="AT330" s="229">
        <v>14</v>
      </c>
      <c r="AU330" s="220"/>
      <c r="AV330" s="221"/>
      <c r="AW330" s="206"/>
      <c r="AY330" s="204"/>
      <c r="AZ330" s="229">
        <v>14</v>
      </c>
      <c r="BA330" s="286"/>
      <c r="BB330" s="264"/>
      <c r="BC330" s="289"/>
      <c r="BE330" s="204"/>
      <c r="BF330" s="229">
        <v>14</v>
      </c>
      <c r="BG330" s="286"/>
      <c r="BH330" s="264"/>
      <c r="BI330" s="289"/>
      <c r="BS330" s="220"/>
      <c r="BT330" s="221"/>
      <c r="BU330" s="229">
        <v>14</v>
      </c>
      <c r="BV330" s="220"/>
      <c r="BW330" s="221"/>
      <c r="BX330" s="229">
        <v>14</v>
      </c>
      <c r="BY330" s="220"/>
      <c r="BZ330" s="221"/>
      <c r="CA330" s="206"/>
    </row>
    <row r="331" spans="36:79" x14ac:dyDescent="0.25">
      <c r="AJ331" s="204"/>
      <c r="AK331" s="229">
        <v>15</v>
      </c>
      <c r="AL331" s="286"/>
      <c r="AM331" s="264"/>
      <c r="AN331" s="229">
        <v>15</v>
      </c>
      <c r="AO331" s="220"/>
      <c r="AP331" s="221"/>
      <c r="AQ331" s="229">
        <v>15</v>
      </c>
      <c r="AR331" s="220"/>
      <c r="AS331" s="221"/>
      <c r="AT331" s="229">
        <v>15</v>
      </c>
      <c r="AU331" s="220"/>
      <c r="AV331" s="221"/>
      <c r="AW331" s="206"/>
      <c r="AY331" s="204"/>
      <c r="AZ331" s="229">
        <v>15</v>
      </c>
      <c r="BA331" s="286"/>
      <c r="BB331" s="264"/>
      <c r="BC331" s="289"/>
      <c r="BE331" s="204"/>
      <c r="BF331" s="229">
        <v>15</v>
      </c>
      <c r="BG331" s="286"/>
      <c r="BH331" s="264"/>
      <c r="BI331" s="289"/>
      <c r="BS331" s="220"/>
      <c r="BT331" s="221"/>
      <c r="BU331" s="229">
        <v>15</v>
      </c>
      <c r="BV331" s="220"/>
      <c r="BW331" s="221"/>
      <c r="BX331" s="229">
        <v>15</v>
      </c>
      <c r="BY331" s="220"/>
      <c r="BZ331" s="221"/>
      <c r="CA331" s="206"/>
    </row>
    <row r="332" spans="36:79" x14ac:dyDescent="0.25">
      <c r="AJ332" s="204"/>
      <c r="AK332" s="229">
        <v>16</v>
      </c>
      <c r="AL332" s="286"/>
      <c r="AM332" s="264"/>
      <c r="AN332" s="229">
        <v>16</v>
      </c>
      <c r="AO332" s="220"/>
      <c r="AP332" s="221"/>
      <c r="AQ332" s="229">
        <v>16</v>
      </c>
      <c r="AR332" s="220"/>
      <c r="AS332" s="221"/>
      <c r="AT332" s="229">
        <v>16</v>
      </c>
      <c r="AU332" s="220"/>
      <c r="AV332" s="221"/>
      <c r="AW332" s="206"/>
      <c r="AY332" s="204"/>
      <c r="AZ332" s="229">
        <v>16</v>
      </c>
      <c r="BA332" s="286"/>
      <c r="BB332" s="264"/>
      <c r="BC332" s="289"/>
      <c r="BE332" s="204"/>
      <c r="BF332" s="229">
        <v>16</v>
      </c>
      <c r="BG332" s="286"/>
      <c r="BH332" s="264"/>
      <c r="BI332" s="289"/>
      <c r="BS332" s="220"/>
      <c r="BT332" s="221"/>
      <c r="BU332" s="229">
        <v>16</v>
      </c>
      <c r="BV332" s="220"/>
      <c r="BW332" s="221"/>
      <c r="BX332" s="229">
        <v>16</v>
      </c>
      <c r="BY332" s="220"/>
      <c r="BZ332" s="221"/>
      <c r="CA332" s="206"/>
    </row>
    <row r="333" spans="36:79" x14ac:dyDescent="0.25">
      <c r="AJ333" s="204"/>
      <c r="AK333" s="229">
        <v>17</v>
      </c>
      <c r="AL333" s="286"/>
      <c r="AM333" s="264"/>
      <c r="AN333" s="229">
        <v>17</v>
      </c>
      <c r="AO333" s="220"/>
      <c r="AP333" s="221"/>
      <c r="AQ333" s="229">
        <v>17</v>
      </c>
      <c r="AR333" s="220"/>
      <c r="AS333" s="221"/>
      <c r="AT333" s="229">
        <v>17</v>
      </c>
      <c r="AU333" s="220"/>
      <c r="AV333" s="221"/>
      <c r="AW333" s="206"/>
      <c r="AY333" s="204"/>
      <c r="AZ333" s="229">
        <v>17</v>
      </c>
      <c r="BA333" s="286"/>
      <c r="BB333" s="264"/>
      <c r="BC333" s="289"/>
      <c r="BE333" s="204"/>
      <c r="BF333" s="229">
        <v>17</v>
      </c>
      <c r="BG333" s="286"/>
      <c r="BH333" s="264"/>
      <c r="BI333" s="289"/>
      <c r="BS333" s="220"/>
      <c r="BT333" s="221"/>
      <c r="BU333" s="229">
        <v>17</v>
      </c>
      <c r="BV333" s="220"/>
      <c r="BW333" s="221"/>
      <c r="BX333" s="229">
        <v>17</v>
      </c>
      <c r="BY333" s="220"/>
      <c r="BZ333" s="221"/>
      <c r="CA333" s="206"/>
    </row>
    <row r="334" spans="36:79" x14ac:dyDescent="0.25">
      <c r="AJ334" s="204"/>
      <c r="AK334" s="229">
        <v>18</v>
      </c>
      <c r="AL334" s="286"/>
      <c r="AM334" s="264"/>
      <c r="AN334" s="229">
        <v>18</v>
      </c>
      <c r="AO334" s="220"/>
      <c r="AP334" s="221"/>
      <c r="AQ334" s="229">
        <v>18</v>
      </c>
      <c r="AR334" s="220"/>
      <c r="AS334" s="221"/>
      <c r="AT334" s="229">
        <v>18</v>
      </c>
      <c r="AU334" s="220"/>
      <c r="AV334" s="221"/>
      <c r="AW334" s="206"/>
      <c r="AY334" s="204"/>
      <c r="AZ334" s="229">
        <v>18</v>
      </c>
      <c r="BA334" s="286"/>
      <c r="BB334" s="264"/>
      <c r="BC334" s="289"/>
      <c r="BE334" s="204"/>
      <c r="BF334" s="229">
        <v>18</v>
      </c>
      <c r="BG334" s="286"/>
      <c r="BH334" s="264"/>
      <c r="BI334" s="289"/>
      <c r="BS334" s="220"/>
      <c r="BT334" s="221"/>
      <c r="BU334" s="229">
        <v>18</v>
      </c>
      <c r="BV334" s="220"/>
      <c r="BW334" s="221"/>
      <c r="BX334" s="229">
        <v>18</v>
      </c>
      <c r="BY334" s="220"/>
      <c r="BZ334" s="221"/>
      <c r="CA334" s="206"/>
    </row>
    <row r="335" spans="36:79" x14ac:dyDescent="0.25">
      <c r="AJ335" s="204"/>
      <c r="AK335" s="229">
        <v>19</v>
      </c>
      <c r="AL335" s="286"/>
      <c r="AM335" s="264"/>
      <c r="AN335" s="229">
        <v>19</v>
      </c>
      <c r="AO335" s="220"/>
      <c r="AP335" s="221"/>
      <c r="AQ335" s="229">
        <v>19</v>
      </c>
      <c r="AR335" s="220"/>
      <c r="AS335" s="221"/>
      <c r="AT335" s="229">
        <v>19</v>
      </c>
      <c r="AU335" s="220"/>
      <c r="AV335" s="221"/>
      <c r="AW335" s="206"/>
      <c r="AY335" s="204"/>
      <c r="AZ335" s="229">
        <v>19</v>
      </c>
      <c r="BA335" s="286"/>
      <c r="BB335" s="264"/>
      <c r="BC335" s="289"/>
      <c r="BE335" s="204"/>
      <c r="BF335" s="229">
        <v>19</v>
      </c>
      <c r="BG335" s="286"/>
      <c r="BH335" s="264"/>
      <c r="BI335" s="289"/>
      <c r="BS335" s="220"/>
      <c r="BT335" s="221"/>
      <c r="BU335" s="229">
        <v>19</v>
      </c>
      <c r="BV335" s="220"/>
      <c r="BW335" s="221"/>
      <c r="BX335" s="229">
        <v>19</v>
      </c>
      <c r="BY335" s="220"/>
      <c r="BZ335" s="221"/>
      <c r="CA335" s="206"/>
    </row>
    <row r="336" spans="36:79" ht="15.75" thickBot="1" x14ac:dyDescent="0.3">
      <c r="AJ336" s="204"/>
      <c r="AK336" s="229">
        <v>20</v>
      </c>
      <c r="AL336" s="286"/>
      <c r="AM336" s="264"/>
      <c r="AN336" s="229">
        <v>20</v>
      </c>
      <c r="AO336" s="220"/>
      <c r="AP336" s="221"/>
      <c r="AQ336" s="229">
        <v>20</v>
      </c>
      <c r="AR336" s="222"/>
      <c r="AS336" s="224"/>
      <c r="AT336" s="229">
        <v>20</v>
      </c>
      <c r="AU336" s="222"/>
      <c r="AV336" s="224"/>
      <c r="AW336" s="206"/>
      <c r="AY336" s="204"/>
      <c r="AZ336" s="229">
        <v>20</v>
      </c>
      <c r="BA336" s="286"/>
      <c r="BB336" s="264"/>
      <c r="BC336" s="289"/>
      <c r="BE336" s="204"/>
      <c r="BF336" s="229">
        <v>20</v>
      </c>
      <c r="BG336" s="286"/>
      <c r="BH336" s="264"/>
      <c r="BI336" s="289"/>
      <c r="BS336" s="220"/>
      <c r="BT336" s="221"/>
      <c r="BU336" s="229">
        <v>20</v>
      </c>
      <c r="BV336" s="222"/>
      <c r="BW336" s="224"/>
      <c r="BX336" s="229">
        <v>20</v>
      </c>
      <c r="BY336" s="222"/>
      <c r="BZ336" s="224"/>
      <c r="CA336" s="206"/>
    </row>
    <row r="337" spans="36:79" x14ac:dyDescent="0.25">
      <c r="AJ337" s="204"/>
      <c r="AK337" s="229">
        <v>21</v>
      </c>
      <c r="AL337" s="286"/>
      <c r="AM337" s="264"/>
      <c r="AN337" s="205"/>
      <c r="AO337" s="220"/>
      <c r="AP337" s="221"/>
      <c r="AQ337" s="205"/>
      <c r="AR337" s="205"/>
      <c r="AS337" s="205"/>
      <c r="AT337" s="205"/>
      <c r="AU337" s="205"/>
      <c r="AV337" s="205"/>
      <c r="AW337" s="206"/>
      <c r="AY337" s="204"/>
      <c r="AZ337" s="229">
        <v>21</v>
      </c>
      <c r="BA337" s="286"/>
      <c r="BB337" s="264"/>
      <c r="BC337" s="206"/>
      <c r="BE337" s="204"/>
      <c r="BF337" s="229">
        <v>21</v>
      </c>
      <c r="BG337" s="286"/>
      <c r="BH337" s="264"/>
      <c r="BI337" s="206"/>
      <c r="BS337" s="220"/>
      <c r="BT337" s="221"/>
      <c r="BU337" s="205"/>
      <c r="BV337" s="205"/>
      <c r="BW337" s="205"/>
      <c r="BX337" s="205"/>
      <c r="BY337" s="205"/>
      <c r="BZ337" s="205"/>
      <c r="CA337" s="206"/>
    </row>
    <row r="338" spans="36:79" x14ac:dyDescent="0.25">
      <c r="AJ338" s="204"/>
      <c r="AK338" s="229">
        <v>22</v>
      </c>
      <c r="AL338" s="286"/>
      <c r="AM338" s="264"/>
      <c r="AN338" s="205"/>
      <c r="AO338" s="220"/>
      <c r="AP338" s="221"/>
      <c r="AQ338" s="205"/>
      <c r="AR338" s="205"/>
      <c r="AS338" s="205"/>
      <c r="AT338" s="205"/>
      <c r="AU338" s="205"/>
      <c r="AV338" s="205"/>
      <c r="AW338" s="206"/>
      <c r="AY338" s="204"/>
      <c r="AZ338" s="229">
        <v>22</v>
      </c>
      <c r="BA338" s="286"/>
      <c r="BB338" s="264"/>
      <c r="BC338" s="206"/>
      <c r="BE338" s="204"/>
      <c r="BF338" s="229">
        <v>22</v>
      </c>
      <c r="BG338" s="286"/>
      <c r="BH338" s="264"/>
      <c r="BI338" s="206"/>
      <c r="BS338" s="220"/>
      <c r="BT338" s="221"/>
      <c r="BU338" s="205"/>
      <c r="BV338" s="205"/>
      <c r="BW338" s="205"/>
      <c r="BX338" s="205"/>
      <c r="BY338" s="205"/>
      <c r="BZ338" s="205"/>
      <c r="CA338" s="206"/>
    </row>
    <row r="339" spans="36:79" x14ac:dyDescent="0.25">
      <c r="AJ339" s="204"/>
      <c r="AK339" s="229">
        <v>23</v>
      </c>
      <c r="AL339" s="286"/>
      <c r="AM339" s="264"/>
      <c r="AN339" s="205"/>
      <c r="AO339" s="220"/>
      <c r="AP339" s="221"/>
      <c r="AQ339" s="205"/>
      <c r="AR339" s="205"/>
      <c r="AS339" s="205"/>
      <c r="AT339" s="205"/>
      <c r="AU339" s="205"/>
      <c r="AV339" s="205"/>
      <c r="AW339" s="206"/>
      <c r="AY339" s="204"/>
      <c r="AZ339" s="229">
        <v>23</v>
      </c>
      <c r="BA339" s="286"/>
      <c r="BB339" s="264"/>
      <c r="BC339" s="206"/>
      <c r="BE339" s="204"/>
      <c r="BF339" s="229">
        <v>23</v>
      </c>
      <c r="BG339" s="286"/>
      <c r="BH339" s="264"/>
      <c r="BI339" s="206"/>
      <c r="BS339" s="220"/>
      <c r="BT339" s="221"/>
      <c r="BU339" s="205"/>
      <c r="BV339" s="205"/>
      <c r="BW339" s="205"/>
      <c r="BX339" s="205"/>
      <c r="BY339" s="205"/>
      <c r="BZ339" s="205"/>
      <c r="CA339" s="206"/>
    </row>
    <row r="340" spans="36:79" x14ac:dyDescent="0.25">
      <c r="AJ340" s="204"/>
      <c r="AK340" s="229">
        <v>24</v>
      </c>
      <c r="AL340" s="286"/>
      <c r="AM340" s="264"/>
      <c r="AN340" s="205"/>
      <c r="AO340" s="220"/>
      <c r="AP340" s="221"/>
      <c r="AQ340" s="205"/>
      <c r="AR340" s="205"/>
      <c r="AS340" s="205"/>
      <c r="AT340" s="205"/>
      <c r="AU340" s="205"/>
      <c r="AV340" s="205"/>
      <c r="AW340" s="206"/>
      <c r="AY340" s="204"/>
      <c r="AZ340" s="229">
        <v>24</v>
      </c>
      <c r="BA340" s="286"/>
      <c r="BB340" s="264"/>
      <c r="BC340" s="206"/>
      <c r="BE340" s="204"/>
      <c r="BF340" s="229">
        <v>24</v>
      </c>
      <c r="BG340" s="286"/>
      <c r="BH340" s="264"/>
      <c r="BI340" s="206"/>
      <c r="BS340" s="220"/>
      <c r="BT340" s="221"/>
      <c r="BU340" s="205"/>
      <c r="BV340" s="205"/>
      <c r="BW340" s="205"/>
      <c r="BX340" s="205"/>
      <c r="BY340" s="205"/>
      <c r="BZ340" s="205"/>
      <c r="CA340" s="206"/>
    </row>
    <row r="341" spans="36:79" x14ac:dyDescent="0.25">
      <c r="AJ341" s="204"/>
      <c r="AK341" s="229">
        <v>25</v>
      </c>
      <c r="AL341" s="286"/>
      <c r="AM341" s="264"/>
      <c r="AN341" s="205"/>
      <c r="AO341" s="220"/>
      <c r="AP341" s="221"/>
      <c r="AQ341" s="205"/>
      <c r="AR341" s="205"/>
      <c r="AS341" s="205"/>
      <c r="AT341" s="205"/>
      <c r="AU341" s="205"/>
      <c r="AV341" s="205"/>
      <c r="AW341" s="206"/>
      <c r="AY341" s="204"/>
      <c r="AZ341" s="229">
        <v>25</v>
      </c>
      <c r="BA341" s="286"/>
      <c r="BB341" s="264"/>
      <c r="BC341" s="206"/>
      <c r="BE341" s="204"/>
      <c r="BF341" s="229">
        <v>25</v>
      </c>
      <c r="BG341" s="286"/>
      <c r="BH341" s="264"/>
      <c r="BI341" s="206"/>
      <c r="BS341" s="220"/>
      <c r="BT341" s="221"/>
      <c r="BU341" s="205"/>
      <c r="BV341" s="205"/>
      <c r="BW341" s="205"/>
      <c r="BX341" s="205"/>
      <c r="BY341" s="205"/>
      <c r="BZ341" s="205"/>
      <c r="CA341" s="206"/>
    </row>
    <row r="342" spans="36:79" x14ac:dyDescent="0.25">
      <c r="AJ342" s="204"/>
      <c r="AK342" s="229">
        <v>26</v>
      </c>
      <c r="AL342" s="286"/>
      <c r="AM342" s="264"/>
      <c r="AN342" s="205"/>
      <c r="AO342" s="220"/>
      <c r="AP342" s="221"/>
      <c r="AQ342" s="205"/>
      <c r="AR342" s="205"/>
      <c r="AS342" s="205"/>
      <c r="AT342" s="205"/>
      <c r="AU342" s="205"/>
      <c r="AV342" s="205"/>
      <c r="AW342" s="206"/>
      <c r="AY342" s="204"/>
      <c r="AZ342" s="229">
        <v>26</v>
      </c>
      <c r="BA342" s="286"/>
      <c r="BB342" s="264"/>
      <c r="BC342" s="206"/>
      <c r="BE342" s="204"/>
      <c r="BF342" s="229">
        <v>26</v>
      </c>
      <c r="BG342" s="286"/>
      <c r="BH342" s="264"/>
      <c r="BI342" s="206"/>
      <c r="BS342" s="220"/>
      <c r="BT342" s="221"/>
      <c r="BU342" s="205"/>
      <c r="BV342" s="205"/>
      <c r="BW342" s="205"/>
      <c r="BX342" s="205"/>
      <c r="BY342" s="205"/>
      <c r="BZ342" s="205"/>
      <c r="CA342" s="206"/>
    </row>
    <row r="343" spans="36:79" x14ac:dyDescent="0.25">
      <c r="AJ343" s="204"/>
      <c r="AK343" s="229">
        <v>27</v>
      </c>
      <c r="AL343" s="286"/>
      <c r="AM343" s="264"/>
      <c r="AN343" s="205"/>
      <c r="AO343" s="220"/>
      <c r="AP343" s="221"/>
      <c r="AQ343" s="205"/>
      <c r="AR343" s="205"/>
      <c r="AS343" s="205"/>
      <c r="AT343" s="205"/>
      <c r="AU343" s="205"/>
      <c r="AV343" s="205"/>
      <c r="AW343" s="206"/>
      <c r="AY343" s="204"/>
      <c r="AZ343" s="229">
        <v>27</v>
      </c>
      <c r="BA343" s="286"/>
      <c r="BB343" s="264"/>
      <c r="BC343" s="206"/>
      <c r="BE343" s="204"/>
      <c r="BF343" s="229">
        <v>27</v>
      </c>
      <c r="BG343" s="286"/>
      <c r="BH343" s="264"/>
      <c r="BI343" s="206"/>
      <c r="BS343" s="220"/>
      <c r="BT343" s="221"/>
      <c r="BU343" s="205"/>
      <c r="BV343" s="205"/>
      <c r="BW343" s="205"/>
      <c r="BX343" s="205"/>
      <c r="BY343" s="205"/>
      <c r="BZ343" s="205"/>
      <c r="CA343" s="206"/>
    </row>
    <row r="344" spans="36:79" x14ac:dyDescent="0.25">
      <c r="AJ344" s="204"/>
      <c r="AK344" s="229">
        <v>28</v>
      </c>
      <c r="AL344" s="286"/>
      <c r="AM344" s="264"/>
      <c r="AN344" s="205"/>
      <c r="AO344" s="220"/>
      <c r="AP344" s="221"/>
      <c r="AQ344" s="205"/>
      <c r="AR344" s="205"/>
      <c r="AS344" s="205"/>
      <c r="AT344" s="205"/>
      <c r="AU344" s="205"/>
      <c r="AV344" s="205"/>
      <c r="AW344" s="206"/>
      <c r="AY344" s="204"/>
      <c r="AZ344" s="229">
        <v>28</v>
      </c>
      <c r="BA344" s="286"/>
      <c r="BB344" s="264"/>
      <c r="BC344" s="206"/>
      <c r="BE344" s="204"/>
      <c r="BF344" s="229">
        <v>28</v>
      </c>
      <c r="BG344" s="286"/>
      <c r="BH344" s="264"/>
      <c r="BI344" s="206"/>
      <c r="BS344" s="220"/>
      <c r="BT344" s="221"/>
      <c r="BU344" s="205"/>
      <c r="BV344" s="205"/>
      <c r="BW344" s="205"/>
      <c r="BX344" s="205"/>
      <c r="BY344" s="205"/>
      <c r="BZ344" s="205"/>
      <c r="CA344" s="206"/>
    </row>
    <row r="345" spans="36:79" ht="15" customHeight="1" x14ac:dyDescent="0.25">
      <c r="AJ345" s="204"/>
      <c r="AK345" s="229">
        <v>29</v>
      </c>
      <c r="AL345" s="286"/>
      <c r="AM345" s="264"/>
      <c r="AN345" s="205"/>
      <c r="AO345" s="220"/>
      <c r="AP345" s="221"/>
      <c r="AQ345" s="205"/>
      <c r="AR345" s="205"/>
      <c r="AS345" s="205"/>
      <c r="AT345" s="205"/>
      <c r="AU345" s="205"/>
      <c r="AV345" s="205"/>
      <c r="AW345" s="206"/>
      <c r="AY345" s="204"/>
      <c r="AZ345" s="229">
        <v>29</v>
      </c>
      <c r="BA345" s="286"/>
      <c r="BB345" s="264"/>
      <c r="BC345" s="206"/>
      <c r="BE345" s="204"/>
      <c r="BF345" s="229">
        <v>29</v>
      </c>
      <c r="BG345" s="286"/>
      <c r="BH345" s="264"/>
      <c r="BI345" s="206"/>
      <c r="BS345" s="220"/>
      <c r="BT345" s="221"/>
      <c r="BU345" s="205"/>
      <c r="BV345" s="205"/>
      <c r="BW345" s="205"/>
      <c r="BX345" s="205"/>
      <c r="BY345" s="205"/>
      <c r="BZ345" s="205"/>
      <c r="CA345" s="206"/>
    </row>
    <row r="346" spans="36:79" x14ac:dyDescent="0.25">
      <c r="AJ346" s="204"/>
      <c r="AK346" s="229">
        <v>30</v>
      </c>
      <c r="AL346" s="286"/>
      <c r="AM346" s="264"/>
      <c r="AN346" s="205"/>
      <c r="AO346" s="220"/>
      <c r="AP346" s="221"/>
      <c r="AQ346" s="205"/>
      <c r="AR346" s="205"/>
      <c r="AS346" s="205"/>
      <c r="AT346" s="205"/>
      <c r="AU346" s="205"/>
      <c r="AV346" s="205"/>
      <c r="AW346" s="206"/>
      <c r="AY346" s="204"/>
      <c r="AZ346" s="229">
        <v>30</v>
      </c>
      <c r="BA346" s="286"/>
      <c r="BB346" s="264"/>
      <c r="BC346" s="206"/>
      <c r="BE346" s="204"/>
      <c r="BF346" s="229">
        <v>30</v>
      </c>
      <c r="BG346" s="286"/>
      <c r="BH346" s="264"/>
      <c r="BI346" s="206"/>
      <c r="BS346" s="220"/>
      <c r="BT346" s="221"/>
      <c r="BU346" s="205"/>
      <c r="BV346" s="205"/>
      <c r="BW346" s="205"/>
      <c r="BX346" s="205"/>
      <c r="BY346" s="205"/>
      <c r="BZ346" s="205"/>
      <c r="CA346" s="206"/>
    </row>
    <row r="347" spans="36:79" x14ac:dyDescent="0.25">
      <c r="AJ347" s="204"/>
      <c r="AK347" s="229">
        <v>31</v>
      </c>
      <c r="AL347" s="286"/>
      <c r="AM347" s="264"/>
      <c r="AN347" s="205"/>
      <c r="AO347" s="220"/>
      <c r="AP347" s="221"/>
      <c r="AQ347" s="205"/>
      <c r="AR347" s="205"/>
      <c r="AS347" s="205"/>
      <c r="AT347" s="205"/>
      <c r="AU347" s="205"/>
      <c r="AV347" s="205"/>
      <c r="AW347" s="206"/>
      <c r="AY347" s="204"/>
      <c r="AZ347" s="229">
        <v>31</v>
      </c>
      <c r="BA347" s="286"/>
      <c r="BB347" s="264"/>
      <c r="BC347" s="206"/>
      <c r="BE347" s="204"/>
      <c r="BF347" s="229">
        <v>31</v>
      </c>
      <c r="BG347" s="286"/>
      <c r="BH347" s="264"/>
      <c r="BI347" s="206"/>
      <c r="BS347" s="220"/>
      <c r="BT347" s="221"/>
      <c r="BU347" s="205"/>
      <c r="BV347" s="205"/>
      <c r="BW347" s="205"/>
      <c r="BX347" s="205"/>
      <c r="BY347" s="205"/>
      <c r="BZ347" s="205"/>
      <c r="CA347" s="206"/>
    </row>
    <row r="348" spans="36:79" x14ac:dyDescent="0.25">
      <c r="AJ348" s="204"/>
      <c r="AK348" s="229">
        <v>32</v>
      </c>
      <c r="AL348" s="286"/>
      <c r="AM348" s="264"/>
      <c r="AN348" s="205"/>
      <c r="AO348" s="220"/>
      <c r="AP348" s="221"/>
      <c r="AQ348" s="205"/>
      <c r="AR348" s="205"/>
      <c r="AS348" s="205"/>
      <c r="AT348" s="205"/>
      <c r="AU348" s="205"/>
      <c r="AV348" s="205"/>
      <c r="AW348" s="206"/>
      <c r="AY348" s="204"/>
      <c r="AZ348" s="229">
        <v>32</v>
      </c>
      <c r="BA348" s="286"/>
      <c r="BB348" s="264"/>
      <c r="BC348" s="206"/>
      <c r="BE348" s="204"/>
      <c r="BF348" s="229">
        <v>32</v>
      </c>
      <c r="BG348" s="286"/>
      <c r="BH348" s="264"/>
      <c r="BI348" s="206"/>
      <c r="BS348" s="220"/>
      <c r="BT348" s="221"/>
      <c r="BU348" s="205"/>
      <c r="BV348" s="205"/>
      <c r="BW348" s="205"/>
      <c r="BX348" s="205"/>
      <c r="BY348" s="205"/>
      <c r="BZ348" s="205"/>
      <c r="CA348" s="206"/>
    </row>
    <row r="349" spans="36:79" x14ac:dyDescent="0.25">
      <c r="AJ349" s="204"/>
      <c r="AK349" s="229">
        <v>33</v>
      </c>
      <c r="AL349" s="286"/>
      <c r="AM349" s="264"/>
      <c r="AN349" s="205"/>
      <c r="AO349" s="220"/>
      <c r="AP349" s="221"/>
      <c r="AQ349" s="205"/>
      <c r="AR349" s="205"/>
      <c r="AS349" s="205"/>
      <c r="AT349" s="205"/>
      <c r="AU349" s="205"/>
      <c r="AV349" s="205"/>
      <c r="AW349" s="206"/>
      <c r="AY349" s="204"/>
      <c r="AZ349" s="229">
        <v>33</v>
      </c>
      <c r="BA349" s="286"/>
      <c r="BB349" s="264"/>
      <c r="BC349" s="206"/>
      <c r="BE349" s="204"/>
      <c r="BF349" s="229">
        <v>33</v>
      </c>
      <c r="BG349" s="286"/>
      <c r="BH349" s="264"/>
      <c r="BI349" s="206"/>
      <c r="BS349" s="220"/>
      <c r="BT349" s="221"/>
      <c r="BU349" s="205"/>
      <c r="BV349" s="205"/>
      <c r="BW349" s="205"/>
      <c r="BX349" s="205"/>
      <c r="BY349" s="205"/>
      <c r="BZ349" s="205"/>
      <c r="CA349" s="206"/>
    </row>
    <row r="350" spans="36:79" ht="15.75" customHeight="1" x14ac:dyDescent="0.25">
      <c r="AJ350" s="204"/>
      <c r="AK350" s="229">
        <v>34</v>
      </c>
      <c r="AL350" s="286"/>
      <c r="AM350" s="264"/>
      <c r="AN350" s="205"/>
      <c r="AO350" s="220"/>
      <c r="AP350" s="221"/>
      <c r="AQ350" s="205"/>
      <c r="AR350" s="205"/>
      <c r="AS350" s="205"/>
      <c r="AT350" s="205"/>
      <c r="AU350" s="205"/>
      <c r="AV350" s="205"/>
      <c r="AW350" s="206"/>
      <c r="AY350" s="204"/>
      <c r="AZ350" s="229">
        <v>34</v>
      </c>
      <c r="BA350" s="286"/>
      <c r="BB350" s="264"/>
      <c r="BC350" s="206"/>
      <c r="BE350" s="204"/>
      <c r="BF350" s="229">
        <v>34</v>
      </c>
      <c r="BG350" s="286"/>
      <c r="BH350" s="264"/>
      <c r="BI350" s="206"/>
      <c r="BS350" s="220"/>
      <c r="BT350" s="221"/>
      <c r="BU350" s="205"/>
      <c r="BV350" s="205"/>
      <c r="BW350" s="205"/>
      <c r="BX350" s="205"/>
      <c r="BY350" s="205"/>
      <c r="BZ350" s="205"/>
      <c r="CA350" s="206"/>
    </row>
    <row r="351" spans="36:79" x14ac:dyDescent="0.25">
      <c r="AJ351" s="204"/>
      <c r="AK351" s="229">
        <v>35</v>
      </c>
      <c r="AL351" s="286"/>
      <c r="AM351" s="264"/>
      <c r="AN351" s="205"/>
      <c r="AO351" s="220"/>
      <c r="AP351" s="221"/>
      <c r="AQ351" s="205"/>
      <c r="AR351" s="205"/>
      <c r="AS351" s="205"/>
      <c r="AT351" s="205"/>
      <c r="AU351" s="205"/>
      <c r="AV351" s="205"/>
      <c r="AW351" s="206"/>
      <c r="AY351" s="204"/>
      <c r="AZ351" s="229">
        <v>35</v>
      </c>
      <c r="BA351" s="286"/>
      <c r="BB351" s="264"/>
      <c r="BC351" s="206"/>
      <c r="BE351" s="204"/>
      <c r="BF351" s="229">
        <v>35</v>
      </c>
      <c r="BG351" s="286"/>
      <c r="BH351" s="264"/>
      <c r="BI351" s="206"/>
      <c r="BS351" s="220"/>
      <c r="BT351" s="221"/>
      <c r="BU351" s="205"/>
      <c r="BV351" s="205"/>
      <c r="BW351" s="205"/>
      <c r="BX351" s="205"/>
      <c r="BY351" s="205"/>
      <c r="BZ351" s="205"/>
      <c r="CA351" s="206"/>
    </row>
    <row r="352" spans="36:79" x14ac:dyDescent="0.25">
      <c r="AJ352" s="204"/>
      <c r="AK352" s="229">
        <v>36</v>
      </c>
      <c r="AL352" s="286"/>
      <c r="AM352" s="264"/>
      <c r="AN352" s="205"/>
      <c r="AO352" s="220"/>
      <c r="AP352" s="221"/>
      <c r="AQ352" s="205"/>
      <c r="AR352" s="205"/>
      <c r="AS352" s="205"/>
      <c r="AT352" s="205"/>
      <c r="AU352" s="205"/>
      <c r="AV352" s="205"/>
      <c r="AW352" s="206"/>
      <c r="AY352" s="204"/>
      <c r="AZ352" s="229">
        <v>36</v>
      </c>
      <c r="BA352" s="286"/>
      <c r="BB352" s="264"/>
      <c r="BC352" s="206"/>
      <c r="BE352" s="204"/>
      <c r="BF352" s="229">
        <v>36</v>
      </c>
      <c r="BG352" s="286"/>
      <c r="BH352" s="264"/>
      <c r="BI352" s="206"/>
      <c r="BS352" s="220"/>
      <c r="BT352" s="221"/>
      <c r="BU352" s="205"/>
      <c r="BV352" s="205"/>
      <c r="BW352" s="205"/>
      <c r="BX352" s="205"/>
      <c r="BY352" s="205"/>
      <c r="BZ352" s="205"/>
      <c r="CA352" s="206"/>
    </row>
    <row r="353" spans="36:79" x14ac:dyDescent="0.25">
      <c r="AJ353" s="204"/>
      <c r="AK353" s="229">
        <v>37</v>
      </c>
      <c r="AL353" s="286"/>
      <c r="AM353" s="264"/>
      <c r="AN353" s="205"/>
      <c r="AO353" s="220"/>
      <c r="AP353" s="221"/>
      <c r="AQ353" s="205"/>
      <c r="AR353" s="205"/>
      <c r="AS353" s="205"/>
      <c r="AT353" s="205"/>
      <c r="AU353" s="205"/>
      <c r="AV353" s="205"/>
      <c r="AW353" s="206"/>
      <c r="AY353" s="204"/>
      <c r="AZ353" s="229">
        <v>37</v>
      </c>
      <c r="BA353" s="286"/>
      <c r="BB353" s="264"/>
      <c r="BC353" s="206"/>
      <c r="BE353" s="204"/>
      <c r="BF353" s="229">
        <v>37</v>
      </c>
      <c r="BG353" s="286"/>
      <c r="BH353" s="264"/>
      <c r="BI353" s="206"/>
      <c r="BS353" s="220"/>
      <c r="BT353" s="221"/>
      <c r="BU353" s="205"/>
      <c r="BV353" s="205"/>
      <c r="BW353" s="205"/>
      <c r="BX353" s="205"/>
      <c r="BY353" s="205"/>
      <c r="BZ353" s="205"/>
      <c r="CA353" s="206"/>
    </row>
    <row r="354" spans="36:79" x14ac:dyDescent="0.25">
      <c r="AJ354" s="204"/>
      <c r="AK354" s="229">
        <v>38</v>
      </c>
      <c r="AL354" s="286"/>
      <c r="AM354" s="264"/>
      <c r="AN354" s="205"/>
      <c r="AO354" s="220"/>
      <c r="AP354" s="221"/>
      <c r="AQ354" s="205"/>
      <c r="AR354" s="205"/>
      <c r="AS354" s="205"/>
      <c r="AT354" s="205"/>
      <c r="AU354" s="205"/>
      <c r="AV354" s="205"/>
      <c r="AW354" s="206"/>
      <c r="AY354" s="204"/>
      <c r="AZ354" s="229">
        <v>38</v>
      </c>
      <c r="BA354" s="286"/>
      <c r="BB354" s="264"/>
      <c r="BC354" s="206"/>
      <c r="BE354" s="204"/>
      <c r="BF354" s="229">
        <v>38</v>
      </c>
      <c r="BG354" s="286"/>
      <c r="BH354" s="264"/>
      <c r="BI354" s="206"/>
      <c r="BS354" s="220"/>
      <c r="BT354" s="221"/>
      <c r="BU354" s="205"/>
      <c r="BV354" s="205"/>
      <c r="BW354" s="205"/>
      <c r="BX354" s="205"/>
      <c r="BY354" s="205"/>
      <c r="BZ354" s="205"/>
      <c r="CA354" s="206"/>
    </row>
    <row r="355" spans="36:79" x14ac:dyDescent="0.25">
      <c r="AJ355" s="204"/>
      <c r="AK355" s="229">
        <v>39</v>
      </c>
      <c r="AL355" s="286"/>
      <c r="AM355" s="264"/>
      <c r="AN355" s="205"/>
      <c r="AO355" s="220"/>
      <c r="AP355" s="221"/>
      <c r="AQ355" s="205"/>
      <c r="AR355" s="205"/>
      <c r="AS355" s="205"/>
      <c r="AT355" s="205"/>
      <c r="AU355" s="205"/>
      <c r="AV355" s="205"/>
      <c r="AW355" s="206"/>
      <c r="AY355" s="204"/>
      <c r="AZ355" s="229">
        <v>39</v>
      </c>
      <c r="BA355" s="286"/>
      <c r="BB355" s="264"/>
      <c r="BC355" s="206"/>
      <c r="BE355" s="204"/>
      <c r="BF355" s="229">
        <v>39</v>
      </c>
      <c r="BG355" s="286"/>
      <c r="BH355" s="264"/>
      <c r="BI355" s="206"/>
      <c r="BS355" s="220"/>
      <c r="BT355" s="221"/>
      <c r="BU355" s="205"/>
      <c r="BV355" s="205"/>
      <c r="BW355" s="205"/>
      <c r="BX355" s="205"/>
      <c r="BY355" s="205"/>
      <c r="BZ355" s="205"/>
      <c r="CA355" s="206"/>
    </row>
    <row r="356" spans="36:79" ht="15.75" thickBot="1" x14ac:dyDescent="0.3">
      <c r="AJ356" s="204"/>
      <c r="AK356" s="229">
        <v>40</v>
      </c>
      <c r="AL356" s="287"/>
      <c r="AM356" s="268"/>
      <c r="AN356" s="205"/>
      <c r="AO356" s="222"/>
      <c r="AP356" s="224"/>
      <c r="AQ356" s="205"/>
      <c r="AR356" s="205"/>
      <c r="AS356" s="205"/>
      <c r="AT356" s="205"/>
      <c r="AU356" s="205"/>
      <c r="AV356" s="205"/>
      <c r="AW356" s="206"/>
      <c r="AY356" s="204"/>
      <c r="AZ356" s="229">
        <v>40</v>
      </c>
      <c r="BA356" s="287"/>
      <c r="BB356" s="268"/>
      <c r="BC356" s="206"/>
      <c r="BE356" s="204"/>
      <c r="BF356" s="229">
        <v>40</v>
      </c>
      <c r="BG356" s="287"/>
      <c r="BH356" s="268"/>
      <c r="BI356" s="206"/>
      <c r="BS356" s="222"/>
      <c r="BT356" s="224"/>
      <c r="BU356" s="205"/>
      <c r="BV356" s="205"/>
      <c r="BW356" s="205"/>
      <c r="BX356" s="205"/>
      <c r="BY356" s="205"/>
      <c r="BZ356" s="205"/>
      <c r="CA356" s="206"/>
    </row>
    <row r="357" spans="36:79" ht="15.75" thickBot="1" x14ac:dyDescent="0.3">
      <c r="AJ357" s="208"/>
      <c r="AK357" s="209"/>
      <c r="AL357" s="209"/>
      <c r="AM357" s="209"/>
      <c r="AN357" s="209"/>
      <c r="AO357" s="209"/>
      <c r="AP357" s="209"/>
      <c r="AQ357" s="209"/>
      <c r="AR357" s="209"/>
      <c r="AS357" s="209"/>
      <c r="AT357" s="209"/>
      <c r="AU357" s="209"/>
      <c r="AV357" s="209"/>
      <c r="AW357" s="210"/>
      <c r="AY357" s="208"/>
      <c r="AZ357" s="209"/>
      <c r="BA357" s="209"/>
      <c r="BB357" s="209"/>
      <c r="BC357" s="210"/>
      <c r="BE357" s="208"/>
      <c r="BF357" s="209"/>
      <c r="BG357" s="209"/>
      <c r="BH357" s="209"/>
      <c r="BI357" s="210"/>
      <c r="BS357" s="209"/>
      <c r="BT357" s="209"/>
      <c r="BU357" s="209"/>
      <c r="BV357" s="209"/>
      <c r="BW357" s="209"/>
      <c r="BX357" s="209"/>
      <c r="BY357" s="209"/>
      <c r="BZ357" s="209"/>
      <c r="CA357" s="210"/>
    </row>
    <row r="358" spans="36:79" ht="15.75" thickBot="1" x14ac:dyDescent="0.3"/>
    <row r="359" spans="36:79" x14ac:dyDescent="0.25">
      <c r="AJ359" s="211" t="s">
        <v>2019</v>
      </c>
      <c r="AK359" s="202"/>
      <c r="AL359" s="202"/>
      <c r="AM359" s="202"/>
      <c r="AN359" s="202"/>
      <c r="AO359" s="202"/>
      <c r="AP359" s="202"/>
      <c r="AQ359" s="202"/>
      <c r="AR359" s="202"/>
      <c r="AS359" s="202"/>
      <c r="AT359" s="203"/>
    </row>
    <row r="360" spans="36:79" x14ac:dyDescent="0.25">
      <c r="AJ360" s="204"/>
      <c r="AK360" s="205"/>
      <c r="AL360" s="205"/>
      <c r="AM360" s="205"/>
      <c r="AN360" s="205"/>
      <c r="AO360" s="205"/>
      <c r="AP360" s="205"/>
      <c r="AQ360" s="205"/>
      <c r="AR360" s="205"/>
      <c r="AS360" s="205"/>
      <c r="AT360" s="206"/>
    </row>
    <row r="361" spans="36:79" x14ac:dyDescent="0.25">
      <c r="AJ361" s="204"/>
      <c r="AK361" s="228" t="s">
        <v>2010</v>
      </c>
      <c r="AL361" s="228" t="s">
        <v>2011</v>
      </c>
      <c r="AM361" s="205"/>
      <c r="AN361" s="228" t="s">
        <v>2020</v>
      </c>
      <c r="AO361" s="205"/>
      <c r="AP361" s="205"/>
      <c r="AQ361" s="205"/>
      <c r="AR361" s="205"/>
      <c r="AS361" s="205"/>
      <c r="AT361" s="206"/>
    </row>
    <row r="362" spans="36:79" x14ac:dyDescent="0.25">
      <c r="AJ362" s="204"/>
      <c r="AK362" s="205">
        <f>IF(CapType &lt;&gt; "Rectangular", SMALL(_xlfn.UNIQUE(AK144:AK152),2), 0)</f>
        <v>16.5</v>
      </c>
      <c r="AL362" s="205">
        <f>IF(CapType &lt;&gt; "Rectangular", $AK$147, $AK$145)</f>
        <v>46.5</v>
      </c>
      <c r="AM362" s="205"/>
      <c r="AN362" s="205">
        <f>IF(BarSArrange="Single",2,IF(BarSArrange="Double",4,6))</f>
        <v>4</v>
      </c>
      <c r="AO362" s="205"/>
      <c r="AP362" s="205"/>
      <c r="AQ362" s="205"/>
      <c r="AR362" s="205"/>
      <c r="AS362" s="205"/>
      <c r="AT362" s="206"/>
    </row>
    <row r="363" spans="36:79" ht="15.75" thickBot="1" x14ac:dyDescent="0.3">
      <c r="AJ363" s="204"/>
      <c r="AK363" s="205"/>
      <c r="AL363" s="205"/>
      <c r="AM363" s="205"/>
      <c r="AN363" s="205"/>
      <c r="AO363" s="205"/>
      <c r="AP363" s="205"/>
      <c r="AQ363" s="205"/>
      <c r="AR363" s="205"/>
      <c r="AS363" s="205"/>
      <c r="AT363" s="206"/>
    </row>
    <row r="364" spans="36:79" ht="15.75" thickBot="1" x14ac:dyDescent="0.3">
      <c r="AJ364" s="204"/>
      <c r="AK364" s="285" t="str">
        <f>BarS</f>
        <v>#5</v>
      </c>
      <c r="AL364" s="228" t="s">
        <v>2012</v>
      </c>
      <c r="AM364" s="205"/>
      <c r="AN364" s="257" t="s">
        <v>2007</v>
      </c>
      <c r="AO364" s="258" t="s">
        <v>2008</v>
      </c>
      <c r="AP364" s="205"/>
      <c r="AQ364" s="205"/>
      <c r="AR364" s="205"/>
      <c r="AS364" s="205"/>
      <c r="AT364" s="206"/>
    </row>
    <row r="365" spans="36:79" ht="16.5" thickTop="1" thickBot="1" x14ac:dyDescent="0.3">
      <c r="AJ365" s="204"/>
      <c r="AK365" s="205"/>
      <c r="AL365" s="205">
        <f>VLOOKUP(BarS,BarTable,2,FALSE)</f>
        <v>0.625</v>
      </c>
      <c r="AM365" s="205" t="s">
        <v>759</v>
      </c>
      <c r="AN365" s="222">
        <f>2+IF(IncreaseClearCover=TRUE,0.5,0)+$AL$365</f>
        <v>2.625</v>
      </c>
      <c r="AO365" s="224">
        <f>(AL362-AK362-2*AN365)/(AN362-1)</f>
        <v>8.25</v>
      </c>
      <c r="AP365" s="205"/>
      <c r="AQ365" s="205"/>
      <c r="AR365" s="205"/>
      <c r="AS365" s="205"/>
      <c r="AT365" s="206"/>
    </row>
    <row r="366" spans="36:79" x14ac:dyDescent="0.25">
      <c r="AJ366" s="204"/>
      <c r="AK366" s="205"/>
      <c r="AL366" s="205"/>
      <c r="AM366" s="205"/>
      <c r="AN366" s="205"/>
      <c r="AO366" s="205"/>
      <c r="AP366" s="205"/>
      <c r="AQ366" s="205"/>
      <c r="AR366" s="205"/>
      <c r="AS366" s="205"/>
      <c r="AT366" s="206"/>
    </row>
    <row r="367" spans="36:79" x14ac:dyDescent="0.25">
      <c r="AJ367" s="204"/>
      <c r="AK367" s="205"/>
      <c r="AL367" s="205"/>
      <c r="AM367" s="205"/>
      <c r="AN367" s="205"/>
      <c r="AO367" s="205"/>
      <c r="AP367" s="205"/>
      <c r="AQ367" s="205"/>
      <c r="AR367" s="205"/>
      <c r="AS367" s="205"/>
      <c r="AT367" s="206"/>
    </row>
    <row r="368" spans="36:79" x14ac:dyDescent="0.25">
      <c r="AJ368" s="204"/>
      <c r="AK368" s="205"/>
      <c r="AL368" s="205"/>
      <c r="AM368" s="205"/>
      <c r="AN368" s="205"/>
      <c r="AO368" s="205"/>
      <c r="AP368" s="205"/>
      <c r="AQ368" s="205"/>
      <c r="AR368" s="205"/>
      <c r="AS368" s="205"/>
      <c r="AT368" s="206"/>
    </row>
    <row r="369" spans="36:46" x14ac:dyDescent="0.25">
      <c r="AJ369" s="204"/>
      <c r="AK369" s="205"/>
      <c r="AL369" s="205"/>
      <c r="AM369" s="205"/>
      <c r="AN369" s="205"/>
      <c r="AO369" s="205"/>
      <c r="AP369" s="205"/>
      <c r="AQ369" s="205"/>
      <c r="AR369" s="205"/>
      <c r="AS369" s="205"/>
      <c r="AT369" s="206"/>
    </row>
    <row r="370" spans="36:46" x14ac:dyDescent="0.25">
      <c r="AJ370" s="204"/>
      <c r="AK370" s="205"/>
      <c r="AL370" s="205"/>
      <c r="AM370" s="205"/>
      <c r="AN370" s="205"/>
      <c r="AO370" s="205"/>
      <c r="AP370" s="205"/>
      <c r="AQ370" s="205"/>
      <c r="AR370" s="205"/>
      <c r="AS370" s="205"/>
      <c r="AT370" s="206"/>
    </row>
    <row r="371" spans="36:46" ht="15.75" thickBot="1" x14ac:dyDescent="0.3">
      <c r="AJ371" s="204"/>
      <c r="AK371" s="205"/>
      <c r="AL371" s="205"/>
      <c r="AM371" s="205"/>
      <c r="AN371" s="205"/>
      <c r="AO371" s="205"/>
      <c r="AP371" s="205"/>
      <c r="AQ371" s="205"/>
      <c r="AR371" s="205"/>
      <c r="AS371" s="205"/>
      <c r="AT371" s="206"/>
    </row>
    <row r="372" spans="36:46" ht="15.75" thickBot="1" x14ac:dyDescent="0.3">
      <c r="AJ372" s="204"/>
      <c r="AK372" s="257" t="s">
        <v>817</v>
      </c>
      <c r="AL372" s="258" t="s">
        <v>818</v>
      </c>
      <c r="AM372" s="205"/>
      <c r="AN372" s="257" t="str" cm="1">
        <f t="array" ref="AN372:AQ372">"Leg " &amp; _xlfn.SEQUENCE(,AN362)</f>
        <v>Leg 1</v>
      </c>
      <c r="AO372" s="293" t="str">
        <v>Leg 2</v>
      </c>
      <c r="AP372" s="293" t="str">
        <v>Leg 3</v>
      </c>
      <c r="AQ372" s="293" t="str">
        <v>Leg 4</v>
      </c>
      <c r="AR372" s="293"/>
      <c r="AS372" s="258"/>
      <c r="AT372" s="206"/>
    </row>
    <row r="373" spans="36:46" ht="15.75" thickTop="1" x14ac:dyDescent="0.25">
      <c r="AJ373" s="204"/>
      <c r="AK373" s="197">
        <f>AK362+AN365</f>
        <v>19.125</v>
      </c>
      <c r="AL373" s="198">
        <f>AN365</f>
        <v>2.625</v>
      </c>
      <c r="AM373" s="205"/>
      <c r="AN373" s="220" cm="1">
        <f t="array" ref="AN373:AQ374">_xlfn.VSTACK(AK362+AN365,AK362+AN365) + _xlfn.SEQUENCE(,AN362,0,AO365)</f>
        <v>19.125</v>
      </c>
      <c r="AO373" s="219">
        <v>27.375</v>
      </c>
      <c r="AP373" s="219">
        <v>35.625</v>
      </c>
      <c r="AQ373" s="219">
        <v>43.875</v>
      </c>
      <c r="AR373" s="219"/>
      <c r="AS373" s="221"/>
      <c r="AT373" s="206"/>
    </row>
    <row r="374" spans="36:46" ht="15.75" thickBot="1" x14ac:dyDescent="0.3">
      <c r="AJ374" s="204"/>
      <c r="AK374" s="197">
        <f>AK373</f>
        <v>19.125</v>
      </c>
      <c r="AL374" s="198">
        <f>MAX($AL$144:$AL$152)-AN365</f>
        <v>74.375</v>
      </c>
      <c r="AM374" s="205"/>
      <c r="AN374" s="222">
        <v>19.125</v>
      </c>
      <c r="AO374" s="223">
        <v>27.375</v>
      </c>
      <c r="AP374" s="223">
        <v>35.625</v>
      </c>
      <c r="AQ374" s="223">
        <v>43.875</v>
      </c>
      <c r="AR374" s="223"/>
      <c r="AS374" s="224"/>
      <c r="AT374" s="206"/>
    </row>
    <row r="375" spans="36:46" x14ac:dyDescent="0.25">
      <c r="AJ375" s="204"/>
      <c r="AK375" s="197">
        <f>AL362-AN365</f>
        <v>43.875</v>
      </c>
      <c r="AL375" s="198">
        <f>AL374</f>
        <v>74.375</v>
      </c>
      <c r="AM375" s="205"/>
      <c r="AN375" s="205"/>
      <c r="AO375" s="205"/>
      <c r="AP375" s="205"/>
      <c r="AQ375" s="205"/>
      <c r="AR375" s="205"/>
      <c r="AS375" s="205"/>
      <c r="AT375" s="206"/>
    </row>
    <row r="376" spans="36:46" x14ac:dyDescent="0.25">
      <c r="AJ376" s="204"/>
      <c r="AK376" s="197">
        <f>AK375</f>
        <v>43.875</v>
      </c>
      <c r="AL376" s="198">
        <f>AL373</f>
        <v>2.625</v>
      </c>
      <c r="AM376" s="205"/>
      <c r="AN376" s="205"/>
      <c r="AO376" s="205"/>
      <c r="AP376" s="205"/>
      <c r="AQ376" s="205"/>
      <c r="AR376" s="205"/>
      <c r="AS376" s="205"/>
      <c r="AT376" s="206"/>
    </row>
    <row r="377" spans="36:46" ht="15.75" thickBot="1" x14ac:dyDescent="0.3">
      <c r="AJ377" s="204"/>
      <c r="AK377" s="197">
        <f>AK373</f>
        <v>19.125</v>
      </c>
      <c r="AL377" s="290">
        <f>AL373</f>
        <v>2.625</v>
      </c>
      <c r="AM377" s="205"/>
      <c r="AN377" s="205"/>
      <c r="AO377" s="205"/>
      <c r="AP377" s="205"/>
      <c r="AQ377" s="205"/>
      <c r="AR377" s="205"/>
      <c r="AS377" s="205"/>
      <c r="AT377" s="206"/>
    </row>
    <row r="378" spans="36:46" x14ac:dyDescent="0.25">
      <c r="AJ378" s="204"/>
      <c r="AK378" s="291" cm="1">
        <f t="array" ref="AK378:AK381">IF(AN362&gt;2,_xlfn.VSTACK(AO373:AO374,AP373:AP374),AK373:AK376)</f>
        <v>27.375</v>
      </c>
      <c r="AL378" s="292" cm="1">
        <f t="array" ref="AL378:AL381">AL373:AL376</f>
        <v>2.625</v>
      </c>
      <c r="AM378" s="205"/>
      <c r="AN378" s="205"/>
      <c r="AO378" s="205"/>
      <c r="AP378" s="205"/>
      <c r="AQ378" s="205"/>
      <c r="AR378" s="205"/>
      <c r="AS378" s="205"/>
      <c r="AT378" s="206"/>
    </row>
    <row r="379" spans="36:46" x14ac:dyDescent="0.25">
      <c r="AJ379" s="204"/>
      <c r="AK379" s="197">
        <v>27.375</v>
      </c>
      <c r="AL379" s="198">
        <v>74.375</v>
      </c>
      <c r="AM379" s="205"/>
      <c r="AN379" s="205"/>
      <c r="AO379" s="205"/>
      <c r="AP379" s="205"/>
      <c r="AQ379" s="205"/>
      <c r="AR379" s="205"/>
      <c r="AS379" s="205"/>
      <c r="AT379" s="206"/>
    </row>
    <row r="380" spans="36:46" x14ac:dyDescent="0.25">
      <c r="AJ380" s="204"/>
      <c r="AK380" s="197">
        <v>35.625</v>
      </c>
      <c r="AL380" s="198">
        <v>74.375</v>
      </c>
      <c r="AM380" s="205"/>
      <c r="AN380" s="205"/>
      <c r="AO380" s="205"/>
      <c r="AP380" s="205"/>
      <c r="AQ380" s="205"/>
      <c r="AR380" s="205"/>
      <c r="AS380" s="205"/>
      <c r="AT380" s="206"/>
    </row>
    <row r="381" spans="36:46" ht="15.75" thickBot="1" x14ac:dyDescent="0.3">
      <c r="AJ381" s="204"/>
      <c r="AK381" s="199">
        <v>35.625</v>
      </c>
      <c r="AL381" s="200">
        <v>2.625</v>
      </c>
      <c r="AM381" s="205"/>
      <c r="AN381" s="205"/>
      <c r="AO381" s="205"/>
      <c r="AP381" s="205"/>
      <c r="AQ381" s="205"/>
      <c r="AR381" s="205"/>
      <c r="AS381" s="205"/>
      <c r="AT381" s="206"/>
    </row>
    <row r="382" spans="36:46" x14ac:dyDescent="0.25">
      <c r="AJ382" s="204"/>
      <c r="AK382" s="197" cm="1">
        <f t="array" ref="AK382:AK385">IF(AN362&gt;4,_xlfn.VSTACK(AQ373:AQ374,AR373:AR374),AK373:AK376)</f>
        <v>19.125</v>
      </c>
      <c r="AL382" s="198" cm="1">
        <f t="array" ref="AL382:AL385">_xlfn.ANCHORARRAY(AL378)</f>
        <v>2.625</v>
      </c>
      <c r="AM382" s="205"/>
      <c r="AN382" s="205"/>
      <c r="AO382" s="205"/>
      <c r="AP382" s="205"/>
      <c r="AQ382" s="205"/>
      <c r="AR382" s="205"/>
      <c r="AS382" s="205"/>
      <c r="AT382" s="206"/>
    </row>
    <row r="383" spans="36:46" x14ac:dyDescent="0.25">
      <c r="AJ383" s="204"/>
      <c r="AK383" s="197">
        <v>19.125</v>
      </c>
      <c r="AL383" s="198">
        <v>74.375</v>
      </c>
      <c r="AM383" s="205"/>
      <c r="AN383" s="205"/>
      <c r="AO383" s="205"/>
      <c r="AP383" s="205"/>
      <c r="AQ383" s="205"/>
      <c r="AR383" s="205"/>
      <c r="AS383" s="205"/>
      <c r="AT383" s="206"/>
    </row>
    <row r="384" spans="36:46" x14ac:dyDescent="0.25">
      <c r="AJ384" s="204"/>
      <c r="AK384" s="197">
        <v>43.875</v>
      </c>
      <c r="AL384" s="198">
        <v>74.375</v>
      </c>
      <c r="AM384" s="205"/>
      <c r="AN384" s="205"/>
      <c r="AO384" s="205"/>
      <c r="AP384" s="205"/>
      <c r="AQ384" s="205"/>
      <c r="AR384" s="205"/>
      <c r="AS384" s="205"/>
      <c r="AT384" s="206"/>
    </row>
    <row r="385" spans="36:56" ht="15.75" thickBot="1" x14ac:dyDescent="0.3">
      <c r="AJ385" s="204"/>
      <c r="AK385" s="199">
        <v>43.875</v>
      </c>
      <c r="AL385" s="200">
        <v>2.625</v>
      </c>
      <c r="AM385" s="205"/>
      <c r="AN385" s="205"/>
      <c r="AO385" s="205"/>
      <c r="AP385" s="205"/>
      <c r="AQ385" s="205"/>
      <c r="AR385" s="205"/>
      <c r="AS385" s="205"/>
      <c r="AT385" s="206"/>
    </row>
    <row r="386" spans="36:56" ht="15.75" thickBot="1" x14ac:dyDescent="0.3">
      <c r="AJ386" s="208"/>
      <c r="AK386" s="209"/>
      <c r="AL386" s="209"/>
      <c r="AM386" s="209"/>
      <c r="AN386" s="209"/>
      <c r="AO386" s="209"/>
      <c r="AP386" s="209"/>
      <c r="AQ386" s="209"/>
      <c r="AR386" s="209"/>
      <c r="AS386" s="209"/>
      <c r="AT386" s="210"/>
    </row>
    <row r="387" spans="36:56" ht="15.75" thickBot="1" x14ac:dyDescent="0.3"/>
    <row r="388" spans="36:56" x14ac:dyDescent="0.25">
      <c r="AJ388" s="211" t="s">
        <v>2024</v>
      </c>
      <c r="AK388" s="202"/>
      <c r="AL388" s="202"/>
      <c r="AM388" s="202"/>
      <c r="AN388" s="202"/>
      <c r="AO388" s="202"/>
      <c r="AP388" s="202"/>
      <c r="AQ388" s="202"/>
      <c r="AR388" s="202"/>
      <c r="AS388" s="203"/>
      <c r="AU388" s="211" t="s">
        <v>2025</v>
      </c>
      <c r="AV388" s="202"/>
      <c r="AW388" s="202"/>
      <c r="AX388" s="202"/>
      <c r="AY388" s="202"/>
      <c r="AZ388" s="202"/>
      <c r="BA388" s="202"/>
      <c r="BB388" s="202"/>
      <c r="BC388" s="202"/>
      <c r="BD388" s="203"/>
    </row>
    <row r="389" spans="36:56" x14ac:dyDescent="0.25">
      <c r="AJ389" s="204"/>
      <c r="AK389" s="228" t="s">
        <v>2010</v>
      </c>
      <c r="AL389" s="228" t="s">
        <v>2011</v>
      </c>
      <c r="AM389" s="205"/>
      <c r="AN389" s="285" t="str">
        <f>BarS</f>
        <v>#5</v>
      </c>
      <c r="AO389" s="228" t="s">
        <v>2012</v>
      </c>
      <c r="AP389" s="205"/>
      <c r="AQ389" s="285" t="str">
        <f>BarsTstem</f>
        <v>#5</v>
      </c>
      <c r="AR389" s="228" t="s">
        <v>2026</v>
      </c>
      <c r="AS389" s="206"/>
      <c r="AU389" s="204"/>
      <c r="AV389" s="228" t="s">
        <v>2010</v>
      </c>
      <c r="AW389" s="228" t="s">
        <v>2011</v>
      </c>
      <c r="AX389" s="205"/>
      <c r="AY389" s="285" t="str">
        <f>BarsM</f>
        <v>#9</v>
      </c>
      <c r="AZ389" s="228" t="s">
        <v>2027</v>
      </c>
      <c r="BA389" s="205"/>
      <c r="BB389" s="285" t="str">
        <f>BarsTstem</f>
        <v>#5</v>
      </c>
      <c r="BC389" s="228" t="s">
        <v>2026</v>
      </c>
      <c r="BD389" s="206"/>
    </row>
    <row r="390" spans="36:56" x14ac:dyDescent="0.25">
      <c r="AJ390" s="204"/>
      <c r="AK390" s="205">
        <f>$AK$149</f>
        <v>16.5</v>
      </c>
      <c r="AL390" s="205">
        <f>$AK$147</f>
        <v>46.5</v>
      </c>
      <c r="AM390" s="205"/>
      <c r="AN390" s="205"/>
      <c r="AO390" s="205">
        <f>VLOOKUP(BarS,BarTable,2,FALSE)</f>
        <v>0.625</v>
      </c>
      <c r="AP390" s="205" t="s">
        <v>759</v>
      </c>
      <c r="AQ390" s="205"/>
      <c r="AR390" s="205">
        <f>VLOOKUP(BarsTstem,BarTable,2,FALSE)</f>
        <v>0.625</v>
      </c>
      <c r="AS390" s="206" t="s">
        <v>759</v>
      </c>
      <c r="AU390" s="204"/>
      <c r="AV390" s="205">
        <v>0</v>
      </c>
      <c r="AW390" s="205">
        <f>$AK$145</f>
        <v>63</v>
      </c>
      <c r="AX390" s="205"/>
      <c r="AY390" s="205"/>
      <c r="AZ390" s="205">
        <f>VLOOKUP(BarsM,BarTable,2,FALSE)</f>
        <v>1.1279999999999999</v>
      </c>
      <c r="BA390" s="205" t="s">
        <v>759</v>
      </c>
      <c r="BB390" s="205"/>
      <c r="BC390" s="205">
        <f>VLOOKUP(BarsTstem,BarTable,2,FALSE)</f>
        <v>0.625</v>
      </c>
      <c r="BD390" s="206" t="s">
        <v>759</v>
      </c>
    </row>
    <row r="391" spans="36:56" x14ac:dyDescent="0.25">
      <c r="AJ391" s="204"/>
      <c r="AK391" s="205"/>
      <c r="AL391" s="205"/>
      <c r="AM391" s="205"/>
      <c r="AN391" s="205"/>
      <c r="AO391" s="205"/>
      <c r="AP391" s="205"/>
      <c r="AQ391" s="205"/>
      <c r="AR391" s="205"/>
      <c r="AS391" s="206"/>
      <c r="AU391" s="204"/>
      <c r="AV391" s="205"/>
      <c r="AW391" s="205"/>
      <c r="AX391" s="205"/>
      <c r="AY391" s="205"/>
      <c r="AZ391" s="205"/>
      <c r="BA391" s="205"/>
      <c r="BB391" s="205"/>
      <c r="BC391" s="205"/>
      <c r="BD391" s="206"/>
    </row>
    <row r="392" spans="36:56" x14ac:dyDescent="0.25">
      <c r="AJ392" s="204"/>
      <c r="AK392" s="228" t="s">
        <v>2021</v>
      </c>
      <c r="AL392" s="228" t="s">
        <v>2022</v>
      </c>
      <c r="AM392" s="205"/>
      <c r="AN392" s="228" t="s">
        <v>2023</v>
      </c>
      <c r="AO392" s="205"/>
      <c r="AP392" s="205"/>
      <c r="AQ392" s="205"/>
      <c r="AR392" s="205"/>
      <c r="AS392" s="206"/>
      <c r="AU392" s="204"/>
      <c r="AV392" s="228" t="s">
        <v>2021</v>
      </c>
      <c r="AW392" s="228" t="s">
        <v>2022</v>
      </c>
      <c r="AX392" s="205"/>
      <c r="AY392" s="228" t="s">
        <v>2023</v>
      </c>
      <c r="AZ392" s="205"/>
      <c r="BA392" s="205"/>
      <c r="BB392" s="205"/>
      <c r="BC392" s="205"/>
      <c r="BD392" s="206"/>
    </row>
    <row r="393" spans="36:56" x14ac:dyDescent="0.25">
      <c r="AJ393" s="204"/>
      <c r="AK393" s="205">
        <f>MIN(BH263,BB263)-AN393</f>
        <v>65.92</v>
      </c>
      <c r="AL393" s="205">
        <f>AL146+AN393</f>
        <v>24</v>
      </c>
      <c r="AM393" s="205"/>
      <c r="AN393" s="176">
        <v>4</v>
      </c>
      <c r="AO393" s="205" t="s">
        <v>759</v>
      </c>
      <c r="AP393" s="205"/>
      <c r="AQ393" s="205"/>
      <c r="AR393" s="205"/>
      <c r="AS393" s="206"/>
      <c r="AU393" s="204"/>
      <c r="AV393" s="205">
        <f>AL146-AW396</f>
        <v>17.0625</v>
      </c>
      <c r="AW393" s="205">
        <f>MAX(BH317,BB317)+AY393</f>
        <v>7.6920000000000002</v>
      </c>
      <c r="AX393" s="205"/>
      <c r="AY393" s="176">
        <v>4</v>
      </c>
      <c r="AZ393" s="205" t="s">
        <v>759</v>
      </c>
      <c r="BA393" s="205"/>
      <c r="BB393" s="205"/>
      <c r="BC393" s="205"/>
      <c r="BD393" s="206"/>
    </row>
    <row r="394" spans="36:56" ht="15.75" thickBot="1" x14ac:dyDescent="0.3">
      <c r="AJ394" s="204"/>
      <c r="AK394" s="205"/>
      <c r="AL394" s="205"/>
      <c r="AM394" s="205"/>
      <c r="AN394" s="205"/>
      <c r="AO394" s="205"/>
      <c r="AP394" s="205"/>
      <c r="AQ394" s="205"/>
      <c r="AR394" s="205"/>
      <c r="AS394" s="206"/>
      <c r="AU394" s="204"/>
      <c r="AV394" s="205"/>
      <c r="AW394" s="205"/>
      <c r="AX394" s="205"/>
      <c r="AY394" s="205"/>
      <c r="AZ394" s="205"/>
      <c r="BA394" s="205"/>
      <c r="BB394" s="205"/>
      <c r="BC394" s="205"/>
      <c r="BD394" s="206"/>
    </row>
    <row r="395" spans="36:56" ht="15.75" thickBot="1" x14ac:dyDescent="0.3">
      <c r="AJ395" s="204"/>
      <c r="AK395" s="205"/>
      <c r="AL395" s="257" t="s">
        <v>2007</v>
      </c>
      <c r="AM395" s="258" t="s">
        <v>2008</v>
      </c>
      <c r="AN395" s="205"/>
      <c r="AO395" s="205"/>
      <c r="AP395" s="205"/>
      <c r="AQ395" s="205"/>
      <c r="AR395" s="205"/>
      <c r="AS395" s="206"/>
      <c r="AU395" s="204"/>
      <c r="AV395" s="205"/>
      <c r="AW395" s="257" t="s">
        <v>2007</v>
      </c>
      <c r="AX395" s="258" t="s">
        <v>2008</v>
      </c>
      <c r="AY395" s="205"/>
      <c r="AZ395" s="205"/>
      <c r="BA395" s="205"/>
      <c r="BB395" s="205"/>
      <c r="BC395" s="205"/>
      <c r="BD395" s="206"/>
    </row>
    <row r="396" spans="36:56" ht="16.5" thickTop="1" thickBot="1" x14ac:dyDescent="0.3">
      <c r="AJ396" s="204"/>
      <c r="AK396" s="205"/>
      <c r="AL396" s="222">
        <f>2+IF(IncreaseClearCover=TRUE,0.5,0)+$AO$390+$AR$390/2</f>
        <v>2.9375</v>
      </c>
      <c r="AM396" s="224">
        <f>(AK393-AL393)/(BarsTstemNo-1)</f>
        <v>20.96</v>
      </c>
      <c r="AN396" s="205"/>
      <c r="AO396" s="205"/>
      <c r="AP396" s="205"/>
      <c r="AQ396" s="205"/>
      <c r="AR396" s="205"/>
      <c r="AS396" s="206"/>
      <c r="AU396" s="204"/>
      <c r="AV396" s="205"/>
      <c r="AW396" s="222">
        <f>2+IF(IncreaseClearCover=TRUE,0.5,0)+$AO$390+$AR$390/2</f>
        <v>2.9375</v>
      </c>
      <c r="AX396" s="224">
        <f>(AV393-AW393)/(BarsTledgeNo-1)</f>
        <v>4.6852499999999999</v>
      </c>
      <c r="AY396" s="205"/>
      <c r="AZ396" s="205"/>
      <c r="BA396" s="205"/>
      <c r="BB396" s="205"/>
      <c r="BC396" s="205"/>
      <c r="BD396" s="206"/>
    </row>
    <row r="397" spans="36:56" ht="15.75" thickBot="1" x14ac:dyDescent="0.3">
      <c r="AJ397" s="204"/>
      <c r="AK397" s="205"/>
      <c r="AL397" s="205"/>
      <c r="AM397" s="205"/>
      <c r="AN397" s="205"/>
      <c r="AO397" s="205"/>
      <c r="AP397" s="205"/>
      <c r="AQ397" s="205"/>
      <c r="AR397" s="205"/>
      <c r="AS397" s="206"/>
      <c r="AU397" s="204"/>
      <c r="AV397" s="205"/>
      <c r="AW397" s="205"/>
      <c r="AX397" s="205"/>
      <c r="AY397" s="205"/>
      <c r="AZ397" s="205"/>
      <c r="BA397" s="205"/>
      <c r="BB397" s="205"/>
      <c r="BC397" s="205"/>
      <c r="BD397" s="206"/>
    </row>
    <row r="398" spans="36:56" ht="15.75" thickBot="1" x14ac:dyDescent="0.3">
      <c r="AJ398" s="204"/>
      <c r="AK398" s="205"/>
      <c r="AL398" s="257" t="s">
        <v>817</v>
      </c>
      <c r="AM398" s="258" t="s">
        <v>818</v>
      </c>
      <c r="AN398" s="205"/>
      <c r="AO398" s="205"/>
      <c r="AP398" s="205"/>
      <c r="AQ398" s="205"/>
      <c r="AR398" s="205"/>
      <c r="AS398" s="206"/>
      <c r="AU398" s="204"/>
      <c r="AV398" s="205"/>
      <c r="AW398" s="257" t="s">
        <v>817</v>
      </c>
      <c r="AX398" s="258" t="s">
        <v>818</v>
      </c>
      <c r="AY398" s="205"/>
      <c r="AZ398" s="205"/>
      <c r="BA398" s="205"/>
      <c r="BB398" s="205"/>
      <c r="BC398" s="205"/>
      <c r="BD398" s="206"/>
    </row>
    <row r="399" spans="36:56" ht="15.75" thickTop="1" x14ac:dyDescent="0.25">
      <c r="AJ399" s="204"/>
      <c r="AK399" s="294" cm="1">
        <f t="array" ref="AK399:AK428">_xlfn.SEQUENCE(30)</f>
        <v>1</v>
      </c>
      <c r="AL399" s="220" cm="1">
        <f t="array" ref="AL399:AL404">IF(CapType = "Inverted-Tee", _xlfn.VSTACK(_xlfn.SEQUENCE(BarsTstemNo,,AK390+AL396,0), _xlfn.SEQUENCE(BarsTstemNo,,AL390-AL396,0)), AL263)</f>
        <v>19.4375</v>
      </c>
      <c r="AM399" s="221" cm="1">
        <f t="array" ref="AM399:AM404">IF(CapType = "Inverted-Tee", _xlfn.VSTACK(_xlfn.SEQUENCE(BarsTstemNo,,AK393,-AM396),_xlfn.SEQUENCE(BarsTstemNo,,AK393,-AM396)),AM263)</f>
        <v>65.92</v>
      </c>
      <c r="AN399" s="205"/>
      <c r="AO399" s="205"/>
      <c r="AP399" s="205"/>
      <c r="AQ399" s="205"/>
      <c r="AR399" s="205"/>
      <c r="AS399" s="206"/>
      <c r="AU399" s="204"/>
      <c r="AV399" s="294" cm="1">
        <f t="array" ref="AV399:AV414">_xlfn.SEQUENCE(16)</f>
        <v>1</v>
      </c>
      <c r="AW399" s="220" cm="1">
        <f t="array" ref="AW399:AW404">IF(CapType = "Inverted-Tee", _xlfn.VSTACK(_xlfn.SEQUENCE(BarsTledgeNo,,AV390+AW396,0), _xlfn.SEQUENCE(BarsTledgeNo,,AW390-AW396,0)), AL317)</f>
        <v>2.9375</v>
      </c>
      <c r="AX399" s="221" cm="1">
        <f t="array" ref="AX399:AX404">IF(CapType = "Inverted-Tee", _xlfn.VSTACK(_xlfn.SEQUENCE(BarsTledgeNo,,AV393,-AX396),_xlfn.SEQUENCE(BarsTledgeNo,,AV393,-AX396)),AM317)</f>
        <v>17.0625</v>
      </c>
      <c r="AY399" s="205"/>
      <c r="AZ399" s="205"/>
      <c r="BA399" s="205"/>
      <c r="BB399" s="205"/>
      <c r="BC399" s="205"/>
      <c r="BD399" s="206"/>
    </row>
    <row r="400" spans="36:56" x14ac:dyDescent="0.25">
      <c r="AJ400" s="204"/>
      <c r="AK400" s="294">
        <v>2</v>
      </c>
      <c r="AL400" s="220">
        <v>19.4375</v>
      </c>
      <c r="AM400" s="221">
        <v>44.96</v>
      </c>
      <c r="AN400" s="205"/>
      <c r="AO400" s="205"/>
      <c r="AP400" s="205"/>
      <c r="AQ400" s="205"/>
      <c r="AR400" s="205"/>
      <c r="AS400" s="206"/>
      <c r="AU400" s="204"/>
      <c r="AV400" s="294">
        <v>2</v>
      </c>
      <c r="AW400" s="220">
        <v>2.9375</v>
      </c>
      <c r="AX400" s="221">
        <v>12.37725</v>
      </c>
      <c r="AY400" s="205"/>
      <c r="AZ400" s="205"/>
      <c r="BA400" s="205"/>
      <c r="BB400" s="205"/>
      <c r="BC400" s="205"/>
      <c r="BD400" s="206"/>
    </row>
    <row r="401" spans="36:56" x14ac:dyDescent="0.25">
      <c r="AJ401" s="204"/>
      <c r="AK401" s="294">
        <v>3</v>
      </c>
      <c r="AL401" s="220">
        <v>19.4375</v>
      </c>
      <c r="AM401" s="221">
        <v>24</v>
      </c>
      <c r="AN401" s="205"/>
      <c r="AO401" s="205"/>
      <c r="AP401" s="205"/>
      <c r="AQ401" s="205"/>
      <c r="AR401" s="205"/>
      <c r="AS401" s="206"/>
      <c r="AU401" s="204"/>
      <c r="AV401" s="294">
        <v>3</v>
      </c>
      <c r="AW401" s="220">
        <v>2.9375</v>
      </c>
      <c r="AX401" s="221">
        <v>7.6920000000000002</v>
      </c>
      <c r="AY401" s="205"/>
      <c r="AZ401" s="205"/>
      <c r="BA401" s="205"/>
      <c r="BB401" s="205"/>
      <c r="BC401" s="205"/>
      <c r="BD401" s="206"/>
    </row>
    <row r="402" spans="36:56" x14ac:dyDescent="0.25">
      <c r="AJ402" s="204"/>
      <c r="AK402" s="294">
        <v>4</v>
      </c>
      <c r="AL402" s="220">
        <v>43.5625</v>
      </c>
      <c r="AM402" s="221">
        <v>65.92</v>
      </c>
      <c r="AN402" s="205"/>
      <c r="AO402" s="205"/>
      <c r="AP402" s="205"/>
      <c r="AQ402" s="205"/>
      <c r="AR402" s="205"/>
      <c r="AS402" s="206"/>
      <c r="AU402" s="204"/>
      <c r="AV402" s="294">
        <v>4</v>
      </c>
      <c r="AW402" s="220">
        <v>60.0625</v>
      </c>
      <c r="AX402" s="221">
        <v>17.0625</v>
      </c>
      <c r="AY402" s="205"/>
      <c r="AZ402" s="205"/>
      <c r="BA402" s="205"/>
      <c r="BB402" s="205"/>
      <c r="BC402" s="205"/>
      <c r="BD402" s="206"/>
    </row>
    <row r="403" spans="36:56" x14ac:dyDescent="0.25">
      <c r="AJ403" s="204"/>
      <c r="AK403" s="294">
        <v>5</v>
      </c>
      <c r="AL403" s="220">
        <v>43.5625</v>
      </c>
      <c r="AM403" s="221">
        <v>44.96</v>
      </c>
      <c r="AN403" s="205"/>
      <c r="AO403" s="205"/>
      <c r="AP403" s="205"/>
      <c r="AQ403" s="205"/>
      <c r="AR403" s="205"/>
      <c r="AS403" s="206"/>
      <c r="AU403" s="204"/>
      <c r="AV403" s="294">
        <v>5</v>
      </c>
      <c r="AW403" s="220">
        <v>60.0625</v>
      </c>
      <c r="AX403" s="221">
        <v>12.37725</v>
      </c>
      <c r="AY403" s="205"/>
      <c r="AZ403" s="205"/>
      <c r="BA403" s="205"/>
      <c r="BB403" s="205"/>
      <c r="BC403" s="205"/>
      <c r="BD403" s="206"/>
    </row>
    <row r="404" spans="36:56" x14ac:dyDescent="0.25">
      <c r="AJ404" s="204"/>
      <c r="AK404" s="294">
        <v>6</v>
      </c>
      <c r="AL404" s="220">
        <v>43.5625</v>
      </c>
      <c r="AM404" s="221">
        <v>24</v>
      </c>
      <c r="AN404" s="205"/>
      <c r="AO404" s="205"/>
      <c r="AP404" s="205"/>
      <c r="AQ404" s="205"/>
      <c r="AR404" s="205"/>
      <c r="AS404" s="206"/>
      <c r="AU404" s="204"/>
      <c r="AV404" s="294">
        <v>6</v>
      </c>
      <c r="AW404" s="220">
        <v>60.0625</v>
      </c>
      <c r="AX404" s="221">
        <v>7.6920000000000002</v>
      </c>
      <c r="AY404" s="205"/>
      <c r="AZ404" s="205"/>
      <c r="BA404" s="205"/>
      <c r="BB404" s="205"/>
      <c r="BC404" s="205"/>
      <c r="BD404" s="206"/>
    </row>
    <row r="405" spans="36:56" x14ac:dyDescent="0.25">
      <c r="AJ405" s="204"/>
      <c r="AK405" s="294">
        <v>7</v>
      </c>
      <c r="AL405" s="220"/>
      <c r="AM405" s="221"/>
      <c r="AN405" s="205"/>
      <c r="AO405" s="205"/>
      <c r="AP405" s="205"/>
      <c r="AQ405" s="205"/>
      <c r="AR405" s="205"/>
      <c r="AS405" s="206"/>
      <c r="AU405" s="204"/>
      <c r="AV405" s="294">
        <v>7</v>
      </c>
      <c r="AW405" s="220"/>
      <c r="AX405" s="221"/>
      <c r="AY405" s="205"/>
      <c r="AZ405" s="205"/>
      <c r="BA405" s="205"/>
      <c r="BB405" s="205"/>
      <c r="BC405" s="205"/>
      <c r="BD405" s="206"/>
    </row>
    <row r="406" spans="36:56" x14ac:dyDescent="0.25">
      <c r="AJ406" s="204"/>
      <c r="AK406" s="294">
        <v>8</v>
      </c>
      <c r="AL406" s="220"/>
      <c r="AM406" s="221"/>
      <c r="AN406" s="205"/>
      <c r="AO406" s="205"/>
      <c r="AP406" s="205"/>
      <c r="AQ406" s="205"/>
      <c r="AR406" s="205"/>
      <c r="AS406" s="206"/>
      <c r="AU406" s="204"/>
      <c r="AV406" s="294">
        <v>8</v>
      </c>
      <c r="AW406" s="220"/>
      <c r="AX406" s="221"/>
      <c r="AY406" s="205"/>
      <c r="AZ406" s="205"/>
      <c r="BA406" s="205"/>
      <c r="BB406" s="205"/>
      <c r="BC406" s="205"/>
      <c r="BD406" s="206"/>
    </row>
    <row r="407" spans="36:56" x14ac:dyDescent="0.25">
      <c r="AJ407" s="204"/>
      <c r="AK407" s="294">
        <v>9</v>
      </c>
      <c r="AL407" s="220"/>
      <c r="AM407" s="221"/>
      <c r="AN407" s="205"/>
      <c r="AO407" s="205"/>
      <c r="AP407" s="205"/>
      <c r="AQ407" s="205"/>
      <c r="AR407" s="205"/>
      <c r="AS407" s="206"/>
      <c r="AU407" s="204"/>
      <c r="AV407" s="294">
        <v>9</v>
      </c>
      <c r="AW407" s="220"/>
      <c r="AX407" s="221"/>
      <c r="AY407" s="205"/>
      <c r="AZ407" s="205"/>
      <c r="BA407" s="205"/>
      <c r="BB407" s="205"/>
      <c r="BC407" s="205"/>
      <c r="BD407" s="206"/>
    </row>
    <row r="408" spans="36:56" x14ac:dyDescent="0.25">
      <c r="AJ408" s="204"/>
      <c r="AK408" s="294">
        <v>10</v>
      </c>
      <c r="AL408" s="220"/>
      <c r="AM408" s="221"/>
      <c r="AN408" s="205"/>
      <c r="AO408" s="205"/>
      <c r="AP408" s="205"/>
      <c r="AQ408" s="205"/>
      <c r="AR408" s="205"/>
      <c r="AS408" s="206"/>
      <c r="AU408" s="204"/>
      <c r="AV408" s="294">
        <v>10</v>
      </c>
      <c r="AW408" s="220"/>
      <c r="AX408" s="221"/>
      <c r="AY408" s="205"/>
      <c r="AZ408" s="205"/>
      <c r="BA408" s="205"/>
      <c r="BB408" s="205"/>
      <c r="BC408" s="205"/>
      <c r="BD408" s="206"/>
    </row>
    <row r="409" spans="36:56" x14ac:dyDescent="0.25">
      <c r="AJ409" s="204"/>
      <c r="AK409" s="294">
        <v>11</v>
      </c>
      <c r="AL409" s="220"/>
      <c r="AM409" s="221"/>
      <c r="AN409" s="205"/>
      <c r="AO409" s="205"/>
      <c r="AP409" s="205"/>
      <c r="AQ409" s="205"/>
      <c r="AR409" s="205"/>
      <c r="AS409" s="206"/>
      <c r="AU409" s="204"/>
      <c r="AV409" s="294">
        <v>11</v>
      </c>
      <c r="AW409" s="220"/>
      <c r="AX409" s="221"/>
      <c r="AY409" s="205"/>
      <c r="AZ409" s="205"/>
      <c r="BA409" s="205"/>
      <c r="BB409" s="205"/>
      <c r="BC409" s="205"/>
      <c r="BD409" s="206"/>
    </row>
    <row r="410" spans="36:56" x14ac:dyDescent="0.25">
      <c r="AJ410" s="204"/>
      <c r="AK410" s="294">
        <v>12</v>
      </c>
      <c r="AL410" s="220"/>
      <c r="AM410" s="221"/>
      <c r="AN410" s="205"/>
      <c r="AO410" s="205"/>
      <c r="AP410" s="205"/>
      <c r="AQ410" s="205"/>
      <c r="AR410" s="205"/>
      <c r="AS410" s="206"/>
      <c r="AU410" s="204"/>
      <c r="AV410" s="294">
        <v>12</v>
      </c>
      <c r="AW410" s="220"/>
      <c r="AX410" s="221"/>
      <c r="AY410" s="205"/>
      <c r="AZ410" s="205"/>
      <c r="BA410" s="205"/>
      <c r="BB410" s="205"/>
      <c r="BC410" s="205"/>
      <c r="BD410" s="206"/>
    </row>
    <row r="411" spans="36:56" x14ac:dyDescent="0.25">
      <c r="AJ411" s="204"/>
      <c r="AK411" s="294">
        <v>13</v>
      </c>
      <c r="AL411" s="220"/>
      <c r="AM411" s="221"/>
      <c r="AN411" s="205"/>
      <c r="AO411" s="205"/>
      <c r="AP411" s="205"/>
      <c r="AQ411" s="205"/>
      <c r="AR411" s="205"/>
      <c r="AS411" s="206"/>
      <c r="AU411" s="204"/>
      <c r="AV411" s="294">
        <v>13</v>
      </c>
      <c r="AW411" s="220"/>
      <c r="AX411" s="221"/>
      <c r="AY411" s="205"/>
      <c r="AZ411" s="205"/>
      <c r="BA411" s="205"/>
      <c r="BB411" s="205"/>
      <c r="BC411" s="205"/>
      <c r="BD411" s="206"/>
    </row>
    <row r="412" spans="36:56" x14ac:dyDescent="0.25">
      <c r="AJ412" s="204"/>
      <c r="AK412" s="294">
        <v>14</v>
      </c>
      <c r="AL412" s="220"/>
      <c r="AM412" s="221"/>
      <c r="AN412" s="205"/>
      <c r="AO412" s="205"/>
      <c r="AP412" s="205"/>
      <c r="AQ412" s="205"/>
      <c r="AR412" s="205"/>
      <c r="AS412" s="206"/>
      <c r="AU412" s="204"/>
      <c r="AV412" s="294">
        <v>14</v>
      </c>
      <c r="AW412" s="220"/>
      <c r="AX412" s="221"/>
      <c r="AY412" s="205"/>
      <c r="AZ412" s="205"/>
      <c r="BA412" s="205"/>
      <c r="BB412" s="205"/>
      <c r="BC412" s="205"/>
      <c r="BD412" s="206"/>
    </row>
    <row r="413" spans="36:56" x14ac:dyDescent="0.25">
      <c r="AJ413" s="204"/>
      <c r="AK413" s="294">
        <v>15</v>
      </c>
      <c r="AL413" s="220"/>
      <c r="AM413" s="221"/>
      <c r="AN413" s="205"/>
      <c r="AO413" s="205"/>
      <c r="AP413" s="205"/>
      <c r="AQ413" s="205"/>
      <c r="AR413" s="205"/>
      <c r="AS413" s="206"/>
      <c r="AU413" s="204"/>
      <c r="AV413" s="294">
        <v>15</v>
      </c>
      <c r="AW413" s="220"/>
      <c r="AX413" s="221"/>
      <c r="AY413" s="205"/>
      <c r="AZ413" s="205"/>
      <c r="BA413" s="205"/>
      <c r="BB413" s="205"/>
      <c r="BC413" s="205"/>
      <c r="BD413" s="206"/>
    </row>
    <row r="414" spans="36:56" ht="15.75" thickBot="1" x14ac:dyDescent="0.3">
      <c r="AJ414" s="204"/>
      <c r="AK414" s="294">
        <v>16</v>
      </c>
      <c r="AL414" s="220"/>
      <c r="AM414" s="221"/>
      <c r="AN414" s="205"/>
      <c r="AO414" s="205"/>
      <c r="AP414" s="205"/>
      <c r="AQ414" s="205"/>
      <c r="AR414" s="205"/>
      <c r="AS414" s="206"/>
      <c r="AU414" s="204"/>
      <c r="AV414" s="294">
        <v>16</v>
      </c>
      <c r="AW414" s="222"/>
      <c r="AX414" s="224"/>
      <c r="AY414" s="205"/>
      <c r="AZ414" s="205"/>
      <c r="BA414" s="205"/>
      <c r="BB414" s="205"/>
      <c r="BC414" s="205"/>
      <c r="BD414" s="206"/>
    </row>
    <row r="415" spans="36:56" ht="15.75" thickBot="1" x14ac:dyDescent="0.3">
      <c r="AJ415" s="204"/>
      <c r="AK415" s="294">
        <v>17</v>
      </c>
      <c r="AL415" s="220"/>
      <c r="AM415" s="221"/>
      <c r="AN415" s="205"/>
      <c r="AO415" s="205"/>
      <c r="AP415" s="205"/>
      <c r="AQ415" s="205"/>
      <c r="AR415" s="205"/>
      <c r="AS415" s="206"/>
      <c r="AU415" s="208"/>
      <c r="AV415" s="209"/>
      <c r="AW415" s="209"/>
      <c r="AX415" s="209"/>
      <c r="AY415" s="209"/>
      <c r="AZ415" s="209"/>
      <c r="BA415" s="209"/>
      <c r="BB415" s="209"/>
      <c r="BC415" s="209"/>
      <c r="BD415" s="210"/>
    </row>
    <row r="416" spans="36:56" ht="15.75" thickBot="1" x14ac:dyDescent="0.3">
      <c r="AJ416" s="204"/>
      <c r="AK416" s="294">
        <v>18</v>
      </c>
      <c r="AL416" s="220"/>
      <c r="AM416" s="221"/>
      <c r="AN416" s="205"/>
      <c r="AO416" s="205"/>
      <c r="AP416" s="205"/>
      <c r="AQ416" s="205"/>
      <c r="AR416" s="205"/>
      <c r="AS416" s="206"/>
    </row>
    <row r="417" spans="36:56" x14ac:dyDescent="0.25">
      <c r="AJ417" s="204"/>
      <c r="AK417" s="294">
        <v>19</v>
      </c>
      <c r="AL417" s="220"/>
      <c r="AM417" s="221"/>
      <c r="AN417" s="205"/>
      <c r="AO417" s="205"/>
      <c r="AP417" s="205"/>
      <c r="AQ417" s="205"/>
      <c r="AR417" s="205"/>
      <c r="AS417" s="206"/>
      <c r="AU417" s="211" t="s">
        <v>2028</v>
      </c>
      <c r="AV417" s="202"/>
      <c r="AW417" s="202"/>
      <c r="AX417" s="202"/>
      <c r="AY417" s="202"/>
      <c r="AZ417" s="202"/>
      <c r="BA417" s="202"/>
      <c r="BB417" s="202"/>
      <c r="BC417" s="202"/>
      <c r="BD417" s="203"/>
    </row>
    <row r="418" spans="36:56" x14ac:dyDescent="0.25">
      <c r="AJ418" s="204"/>
      <c r="AK418" s="294">
        <v>20</v>
      </c>
      <c r="AL418" s="220"/>
      <c r="AM418" s="221"/>
      <c r="AN418" s="205"/>
      <c r="AO418" s="205"/>
      <c r="AP418" s="205"/>
      <c r="AQ418" s="205"/>
      <c r="AR418" s="205"/>
      <c r="AS418" s="206"/>
      <c r="AU418" s="204"/>
      <c r="AV418" s="228" t="s">
        <v>2010</v>
      </c>
      <c r="AW418" s="228" t="s">
        <v>2011</v>
      </c>
      <c r="AX418" s="228" t="s">
        <v>2029</v>
      </c>
      <c r="AY418" s="285" t="str">
        <f>BarsM</f>
        <v>#9</v>
      </c>
      <c r="AZ418" s="228" t="s">
        <v>2027</v>
      </c>
      <c r="BA418" s="205"/>
      <c r="BB418" s="285" t="str">
        <f>BarsTstem</f>
        <v>#5</v>
      </c>
      <c r="BC418" s="228" t="s">
        <v>2026</v>
      </c>
      <c r="BD418" s="206"/>
    </row>
    <row r="419" spans="36:56" x14ac:dyDescent="0.25">
      <c r="AJ419" s="204"/>
      <c r="AK419" s="294">
        <v>21</v>
      </c>
      <c r="AL419" s="220"/>
      <c r="AM419" s="221"/>
      <c r="AN419" s="205"/>
      <c r="AO419" s="205"/>
      <c r="AP419" s="205"/>
      <c r="AQ419" s="205"/>
      <c r="AR419" s="205"/>
      <c r="AS419" s="206"/>
      <c r="AU419" s="204"/>
      <c r="AV419" s="205">
        <v>0</v>
      </c>
      <c r="AW419" s="205">
        <f>AK149</f>
        <v>16.5</v>
      </c>
      <c r="AX419" s="205">
        <f>$AK$145</f>
        <v>63</v>
      </c>
      <c r="AY419" s="205"/>
      <c r="AZ419" s="205">
        <f>VLOOKUP(BarsM,BarTable,2,FALSE)</f>
        <v>1.1279999999999999</v>
      </c>
      <c r="BA419" s="205" t="s">
        <v>759</v>
      </c>
      <c r="BB419" s="205"/>
      <c r="BC419" s="205">
        <f>VLOOKUP(BarsTstem,BarTable,2,FALSE)</f>
        <v>0.625</v>
      </c>
      <c r="BD419" s="206" t="s">
        <v>759</v>
      </c>
    </row>
    <row r="420" spans="36:56" x14ac:dyDescent="0.25">
      <c r="AJ420" s="204"/>
      <c r="AK420" s="294">
        <v>22</v>
      </c>
      <c r="AL420" s="220"/>
      <c r="AM420" s="221"/>
      <c r="AN420" s="205"/>
      <c r="AO420" s="205"/>
      <c r="AP420" s="205"/>
      <c r="AQ420" s="205"/>
      <c r="AR420" s="205"/>
      <c r="AS420" s="206"/>
      <c r="AU420" s="204"/>
      <c r="AV420" s="205"/>
      <c r="AW420" s="205"/>
      <c r="AX420" s="205"/>
      <c r="AY420" s="205"/>
      <c r="AZ420" s="205"/>
      <c r="BA420" s="205"/>
      <c r="BB420" s="205"/>
      <c r="BC420" s="205"/>
      <c r="BD420" s="206"/>
    </row>
    <row r="421" spans="36:56" x14ac:dyDescent="0.25">
      <c r="AJ421" s="204"/>
      <c r="AK421" s="294">
        <v>23</v>
      </c>
      <c r="AL421" s="220"/>
      <c r="AM421" s="221"/>
      <c r="AN421" s="205"/>
      <c r="AO421" s="205"/>
      <c r="AP421" s="205"/>
      <c r="AQ421" s="205"/>
      <c r="AR421" s="205"/>
      <c r="AS421" s="206"/>
      <c r="AU421" s="204"/>
      <c r="AV421" s="228" t="s">
        <v>2021</v>
      </c>
      <c r="AW421" s="228"/>
      <c r="AX421" s="205"/>
      <c r="AY421" s="228"/>
      <c r="AZ421" s="205"/>
      <c r="BA421" s="205"/>
      <c r="BB421" s="205"/>
      <c r="BC421" s="205"/>
      <c r="BD421" s="206"/>
    </row>
    <row r="422" spans="36:56" x14ac:dyDescent="0.25">
      <c r="AJ422" s="204"/>
      <c r="AK422" s="294">
        <v>24</v>
      </c>
      <c r="AL422" s="220"/>
      <c r="AM422" s="221"/>
      <c r="AN422" s="205"/>
      <c r="AO422" s="205"/>
      <c r="AP422" s="205"/>
      <c r="AQ422" s="205"/>
      <c r="AR422" s="205"/>
      <c r="AS422" s="206"/>
      <c r="AU422" s="204"/>
      <c r="AV422" s="205">
        <f>AL146-AW396</f>
        <v>17.0625</v>
      </c>
      <c r="AW422" s="205"/>
      <c r="AX422" s="205"/>
      <c r="AY422" s="205"/>
      <c r="AZ422" s="205"/>
      <c r="BA422" s="205"/>
      <c r="BB422" s="205"/>
      <c r="BC422" s="205"/>
      <c r="BD422" s="206"/>
    </row>
    <row r="423" spans="36:56" ht="15.75" thickBot="1" x14ac:dyDescent="0.3">
      <c r="AJ423" s="204"/>
      <c r="AK423" s="294">
        <v>25</v>
      </c>
      <c r="AL423" s="220"/>
      <c r="AM423" s="221"/>
      <c r="AN423" s="205"/>
      <c r="AO423" s="205"/>
      <c r="AP423" s="205"/>
      <c r="AQ423" s="205"/>
      <c r="AR423" s="205"/>
      <c r="AS423" s="206"/>
      <c r="AU423" s="204"/>
      <c r="AV423" s="205"/>
      <c r="AW423" s="205"/>
      <c r="AX423" s="205"/>
      <c r="AY423" s="205"/>
      <c r="AZ423" s="205"/>
      <c r="BA423" s="205"/>
      <c r="BB423" s="205"/>
      <c r="BC423" s="205"/>
      <c r="BD423" s="206"/>
    </row>
    <row r="424" spans="36:56" ht="15.75" thickBot="1" x14ac:dyDescent="0.3">
      <c r="AJ424" s="204"/>
      <c r="AK424" s="294">
        <v>26</v>
      </c>
      <c r="AL424" s="220"/>
      <c r="AM424" s="221"/>
      <c r="AN424" s="205"/>
      <c r="AO424" s="205"/>
      <c r="AP424" s="205"/>
      <c r="AQ424" s="205"/>
      <c r="AR424" s="205"/>
      <c r="AS424" s="206"/>
      <c r="AU424" s="204"/>
      <c r="AV424" s="205"/>
      <c r="AW424" s="257" t="s">
        <v>2007</v>
      </c>
      <c r="AX424" s="258" t="s">
        <v>2008</v>
      </c>
      <c r="AY424" s="205"/>
      <c r="AZ424" s="205"/>
      <c r="BA424" s="205"/>
      <c r="BB424" s="205"/>
      <c r="BC424" s="205"/>
      <c r="BD424" s="206"/>
    </row>
    <row r="425" spans="36:56" ht="16.5" thickTop="1" thickBot="1" x14ac:dyDescent="0.3">
      <c r="AJ425" s="204"/>
      <c r="AK425" s="294">
        <v>27</v>
      </c>
      <c r="AL425" s="220"/>
      <c r="AM425" s="221"/>
      <c r="AN425" s="205"/>
      <c r="AO425" s="205"/>
      <c r="AP425" s="205"/>
      <c r="AQ425" s="205"/>
      <c r="AR425" s="205"/>
      <c r="AS425" s="206"/>
      <c r="AU425" s="204"/>
      <c r="AV425" s="205"/>
      <c r="AW425" s="222">
        <f>2+IF(IncreaseClearCover=TRUE,0.5,0)+$AO$390+$AR$390/2</f>
        <v>2.9375</v>
      </c>
      <c r="AX425" s="224">
        <f>(AW419-AV419-2*AW425)/(BarsTtopLedgeNo-1)</f>
        <v>10.625</v>
      </c>
      <c r="AY425" s="205"/>
      <c r="AZ425" s="205"/>
      <c r="BA425" s="205"/>
      <c r="BB425" s="205"/>
      <c r="BC425" s="205"/>
      <c r="BD425" s="206"/>
    </row>
    <row r="426" spans="36:56" ht="15.75" thickBot="1" x14ac:dyDescent="0.3">
      <c r="AJ426" s="204"/>
      <c r="AK426" s="294">
        <v>28</v>
      </c>
      <c r="AL426" s="220"/>
      <c r="AM426" s="221"/>
      <c r="AN426" s="205"/>
      <c r="AO426" s="205"/>
      <c r="AP426" s="205"/>
      <c r="AQ426" s="205"/>
      <c r="AR426" s="205"/>
      <c r="AS426" s="206"/>
      <c r="AU426" s="204"/>
      <c r="AV426" s="205"/>
      <c r="AW426" s="205"/>
      <c r="AX426" s="205"/>
      <c r="AY426" s="205"/>
      <c r="AZ426" s="205"/>
      <c r="BA426" s="205"/>
      <c r="BB426" s="205"/>
      <c r="BC426" s="205"/>
      <c r="BD426" s="206"/>
    </row>
    <row r="427" spans="36:56" ht="15.75" thickBot="1" x14ac:dyDescent="0.3">
      <c r="AJ427" s="204"/>
      <c r="AK427" s="294">
        <v>29</v>
      </c>
      <c r="AL427" s="220"/>
      <c r="AM427" s="221"/>
      <c r="AN427" s="205"/>
      <c r="AO427" s="205"/>
      <c r="AP427" s="205"/>
      <c r="AQ427" s="205"/>
      <c r="AR427" s="205"/>
      <c r="AS427" s="206"/>
      <c r="AU427" s="204"/>
      <c r="AV427" s="205"/>
      <c r="AW427" s="257" t="s">
        <v>817</v>
      </c>
      <c r="AX427" s="258" t="s">
        <v>818</v>
      </c>
      <c r="AY427" s="205"/>
      <c r="AZ427" s="205"/>
      <c r="BA427" s="205"/>
      <c r="BB427" s="205"/>
      <c r="BC427" s="205"/>
      <c r="BD427" s="206"/>
    </row>
    <row r="428" spans="36:56" ht="16.5" thickTop="1" thickBot="1" x14ac:dyDescent="0.3">
      <c r="AJ428" s="204"/>
      <c r="AK428" s="294">
        <v>30</v>
      </c>
      <c r="AL428" s="222"/>
      <c r="AM428" s="224"/>
      <c r="AN428" s="205"/>
      <c r="AO428" s="205"/>
      <c r="AP428" s="205"/>
      <c r="AQ428" s="205"/>
      <c r="AR428" s="205"/>
      <c r="AS428" s="206"/>
      <c r="AU428" s="204"/>
      <c r="AV428" s="294" cm="1">
        <f t="array" ref="AV428:AV437">_xlfn.SEQUENCE(10)</f>
        <v>1</v>
      </c>
      <c r="AW428" s="220" cm="1">
        <f t="array" ref="AW428:AW431">IFERROR(IF(CapType = "Inverted-Tee", _xlfn.VSTACK(_xlfn.SEQUENCE(BarsTtopLedgeNo,,AV419+AW425,AX425), _xlfn.SEQUENCE(BarsTtopLedgeNo,,AX419-AW425,-AX425)), AL317),AL317)</f>
        <v>2.9375</v>
      </c>
      <c r="AX428" s="221" cm="1">
        <f t="array" ref="AX428:AX431">IFERROR(IF(CapType = "Inverted-Tee", _xlfn.VSTACK(_xlfn.SEQUENCE(BarsTtopLedgeNo,,AV422,0),_xlfn.SEQUENCE(BarsTtopLedgeNo,,AV422,0)),AM317),AM317)</f>
        <v>17.0625</v>
      </c>
      <c r="AY428" s="205"/>
      <c r="AZ428" s="205"/>
      <c r="BA428" s="205"/>
      <c r="BB428" s="205"/>
      <c r="BC428" s="205"/>
      <c r="BD428" s="206"/>
    </row>
    <row r="429" spans="36:56" ht="15.75" thickBot="1" x14ac:dyDescent="0.3">
      <c r="AJ429" s="208"/>
      <c r="AK429" s="209"/>
      <c r="AL429" s="209"/>
      <c r="AM429" s="209"/>
      <c r="AN429" s="209"/>
      <c r="AO429" s="209"/>
      <c r="AP429" s="209"/>
      <c r="AQ429" s="209"/>
      <c r="AR429" s="209"/>
      <c r="AS429" s="210"/>
      <c r="AU429" s="204"/>
      <c r="AV429" s="294">
        <v>2</v>
      </c>
      <c r="AW429" s="220">
        <v>13.5625</v>
      </c>
      <c r="AX429" s="221">
        <v>17.0625</v>
      </c>
      <c r="AY429" s="205"/>
      <c r="AZ429" s="205"/>
      <c r="BA429" s="205"/>
      <c r="BB429" s="205"/>
      <c r="BC429" s="205"/>
      <c r="BD429" s="206"/>
    </row>
    <row r="430" spans="36:56" x14ac:dyDescent="0.25">
      <c r="AU430" s="204"/>
      <c r="AV430" s="294">
        <v>3</v>
      </c>
      <c r="AW430" s="220">
        <v>60.0625</v>
      </c>
      <c r="AX430" s="221">
        <v>17.0625</v>
      </c>
      <c r="AY430" s="205"/>
      <c r="AZ430" s="205"/>
      <c r="BA430" s="205"/>
      <c r="BB430" s="205"/>
      <c r="BC430" s="205"/>
      <c r="BD430" s="206"/>
    </row>
    <row r="431" spans="36:56" x14ac:dyDescent="0.25">
      <c r="AU431" s="204"/>
      <c r="AV431" s="294">
        <v>4</v>
      </c>
      <c r="AW431" s="220">
        <v>49.4375</v>
      </c>
      <c r="AX431" s="221">
        <v>17.0625</v>
      </c>
      <c r="AY431" s="205"/>
      <c r="AZ431" s="205"/>
      <c r="BA431" s="205"/>
      <c r="BB431" s="205"/>
      <c r="BC431" s="205"/>
      <c r="BD431" s="206"/>
    </row>
    <row r="432" spans="36:56" x14ac:dyDescent="0.25">
      <c r="AU432" s="204"/>
      <c r="AV432" s="294">
        <v>5</v>
      </c>
      <c r="AW432" s="220"/>
      <c r="AX432" s="221"/>
      <c r="AY432" s="205"/>
      <c r="AZ432" s="205"/>
      <c r="BA432" s="205"/>
      <c r="BB432" s="205"/>
      <c r="BC432" s="205"/>
      <c r="BD432" s="206"/>
    </row>
    <row r="433" spans="36:56" x14ac:dyDescent="0.25">
      <c r="AU433" s="204"/>
      <c r="AV433" s="294">
        <v>6</v>
      </c>
      <c r="AW433" s="220"/>
      <c r="AX433" s="221"/>
      <c r="AY433" s="205"/>
      <c r="AZ433" s="205"/>
      <c r="BA433" s="205"/>
      <c r="BB433" s="205"/>
      <c r="BC433" s="205"/>
      <c r="BD433" s="206"/>
    </row>
    <row r="434" spans="36:56" x14ac:dyDescent="0.25">
      <c r="AU434" s="204"/>
      <c r="AV434" s="294">
        <v>7</v>
      </c>
      <c r="AW434" s="220"/>
      <c r="AX434" s="221"/>
      <c r="AY434" s="205"/>
      <c r="AZ434" s="205"/>
      <c r="BA434" s="205"/>
      <c r="BB434" s="205"/>
      <c r="BC434" s="205"/>
      <c r="BD434" s="206"/>
    </row>
    <row r="435" spans="36:56" x14ac:dyDescent="0.25">
      <c r="AU435" s="204"/>
      <c r="AV435" s="294">
        <v>8</v>
      </c>
      <c r="AW435" s="220"/>
      <c r="AX435" s="221"/>
      <c r="AY435" s="205"/>
      <c r="AZ435" s="205"/>
      <c r="BA435" s="205"/>
      <c r="BB435" s="205"/>
      <c r="BC435" s="205"/>
      <c r="BD435" s="206"/>
    </row>
    <row r="436" spans="36:56" x14ac:dyDescent="0.25">
      <c r="AU436" s="204"/>
      <c r="AV436" s="294">
        <v>9</v>
      </c>
      <c r="AW436" s="220"/>
      <c r="AX436" s="221"/>
      <c r="AY436" s="205"/>
      <c r="AZ436" s="205"/>
      <c r="BA436" s="205"/>
      <c r="BB436" s="205"/>
      <c r="BC436" s="205"/>
      <c r="BD436" s="206"/>
    </row>
    <row r="437" spans="36:56" ht="15.75" thickBot="1" x14ac:dyDescent="0.3">
      <c r="AU437" s="204"/>
      <c r="AV437" s="294">
        <v>10</v>
      </c>
      <c r="AW437" s="222"/>
      <c r="AX437" s="224"/>
      <c r="AY437" s="205"/>
      <c r="AZ437" s="205"/>
      <c r="BA437" s="205"/>
      <c r="BB437" s="205"/>
      <c r="BC437" s="205"/>
      <c r="BD437" s="206"/>
    </row>
    <row r="438" spans="36:56" ht="15.75" thickBot="1" x14ac:dyDescent="0.3">
      <c r="AU438" s="208"/>
      <c r="AV438" s="209"/>
      <c r="AW438" s="209"/>
      <c r="AX438" s="209"/>
      <c r="AY438" s="209"/>
      <c r="AZ438" s="209"/>
      <c r="BA438" s="209"/>
      <c r="BB438" s="209"/>
      <c r="BC438" s="209"/>
      <c r="BD438" s="210"/>
    </row>
    <row r="440" spans="36:56" ht="15.75" thickBot="1" x14ac:dyDescent="0.3"/>
    <row r="441" spans="36:56" x14ac:dyDescent="0.25">
      <c r="AJ441" s="211" t="s">
        <v>2031</v>
      </c>
      <c r="AK441" s="202"/>
      <c r="AL441" s="202"/>
      <c r="AM441" s="202"/>
      <c r="AN441" s="202"/>
      <c r="AO441" s="202"/>
      <c r="AP441" s="202"/>
      <c r="AQ441" s="202"/>
      <c r="AR441" s="202"/>
      <c r="AS441" s="202"/>
      <c r="AT441" s="202"/>
      <c r="AU441" s="202"/>
      <c r="AV441" s="203"/>
    </row>
    <row r="442" spans="36:56" x14ac:dyDescent="0.25">
      <c r="AJ442" s="204"/>
      <c r="AK442" s="228" t="s">
        <v>2010</v>
      </c>
      <c r="AL442" s="228" t="s">
        <v>2011</v>
      </c>
      <c r="AM442" s="205"/>
      <c r="AN442" s="285" t="str">
        <f>BarsM</f>
        <v>#9</v>
      </c>
      <c r="AO442" s="228" t="s">
        <v>2027</v>
      </c>
      <c r="AP442" s="205"/>
      <c r="AQ442" s="205"/>
      <c r="AR442" s="205"/>
      <c r="AS442" s="205"/>
      <c r="AT442" s="205"/>
      <c r="AU442" s="205"/>
      <c r="AV442" s="206"/>
    </row>
    <row r="443" spans="36:56" x14ac:dyDescent="0.25">
      <c r="AJ443" s="204"/>
      <c r="AK443" s="205">
        <f>0</f>
        <v>0</v>
      </c>
      <c r="AL443" s="205">
        <f>$AK$145</f>
        <v>63</v>
      </c>
      <c r="AM443" s="205"/>
      <c r="AN443" s="205"/>
      <c r="AO443" s="205">
        <f>VLOOKUP(BarsM,BarTable,2,FALSE)</f>
        <v>1.1279999999999999</v>
      </c>
      <c r="AP443" s="205" t="s">
        <v>759</v>
      </c>
      <c r="AQ443" s="205"/>
      <c r="AR443" s="205"/>
      <c r="AS443" s="205"/>
      <c r="AT443" s="205"/>
      <c r="AU443" s="205"/>
      <c r="AV443" s="206"/>
    </row>
    <row r="444" spans="36:56" x14ac:dyDescent="0.25">
      <c r="AJ444" s="204"/>
      <c r="AK444" s="205"/>
      <c r="AL444" s="205"/>
      <c r="AM444" s="205"/>
      <c r="AN444" s="205"/>
      <c r="AO444" s="205"/>
      <c r="AP444" s="205"/>
      <c r="AQ444" s="205"/>
      <c r="AR444" s="205"/>
      <c r="AS444" s="205"/>
      <c r="AT444" s="205"/>
      <c r="AU444" s="205"/>
      <c r="AV444" s="206"/>
    </row>
    <row r="445" spans="36:56" x14ac:dyDescent="0.25">
      <c r="AJ445" s="204"/>
      <c r="AK445" s="228" t="s">
        <v>2021</v>
      </c>
      <c r="AL445" s="228" t="s">
        <v>2022</v>
      </c>
      <c r="AM445" s="205"/>
      <c r="AN445" s="228" t="s">
        <v>2007</v>
      </c>
      <c r="AO445" s="205"/>
      <c r="AP445" s="205"/>
      <c r="AQ445" s="205"/>
      <c r="AR445" s="205"/>
      <c r="AS445" s="205"/>
      <c r="AT445" s="205"/>
      <c r="AU445" s="205"/>
      <c r="AV445" s="206"/>
    </row>
    <row r="446" spans="36:56" x14ac:dyDescent="0.25">
      <c r="AJ446" s="204"/>
      <c r="AK446" s="205">
        <f>AL146-AN446</f>
        <v>17.436</v>
      </c>
      <c r="AL446" s="205">
        <f>AN446</f>
        <v>2.5640000000000001</v>
      </c>
      <c r="AM446" s="205"/>
      <c r="AN446" s="205">
        <f>2+IF(IncreaseClearCover=TRUE,0.5,0)+$AO$443/2</f>
        <v>2.5640000000000001</v>
      </c>
      <c r="AO446" s="205"/>
      <c r="AP446" s="205"/>
      <c r="AQ446" s="205"/>
      <c r="AR446" s="205"/>
      <c r="AS446" s="205"/>
      <c r="AT446" s="205"/>
      <c r="AU446" s="205"/>
      <c r="AV446" s="206"/>
    </row>
    <row r="447" spans="36:56" x14ac:dyDescent="0.25">
      <c r="AJ447" s="204"/>
      <c r="AK447" s="205"/>
      <c r="AL447" s="205"/>
      <c r="AM447" s="205"/>
      <c r="AN447" s="205"/>
      <c r="AO447" s="205"/>
      <c r="AP447" s="205"/>
      <c r="AQ447" s="205"/>
      <c r="AR447" s="205"/>
      <c r="AS447" s="205"/>
      <c r="AT447" s="205"/>
      <c r="AU447" s="205"/>
      <c r="AV447" s="206"/>
    </row>
    <row r="448" spans="36:56" ht="15.75" thickBot="1" x14ac:dyDescent="0.3">
      <c r="AJ448" s="204"/>
      <c r="AK448" s="228" t="s">
        <v>2030</v>
      </c>
      <c r="AL448" s="205"/>
      <c r="AM448" s="205"/>
      <c r="AN448" s="205" t="s">
        <v>2032</v>
      </c>
      <c r="AO448" s="205"/>
      <c r="AP448" s="205"/>
      <c r="AQ448" s="228" t="s">
        <v>2030</v>
      </c>
      <c r="AR448" s="205"/>
      <c r="AS448" s="205"/>
      <c r="AT448" s="205" t="s">
        <v>2032</v>
      </c>
      <c r="AU448" s="205"/>
      <c r="AV448" s="206"/>
    </row>
    <row r="449" spans="36:48" ht="15.75" thickBot="1" x14ac:dyDescent="0.3">
      <c r="AJ449" s="204"/>
      <c r="AK449" s="257" t="s">
        <v>817</v>
      </c>
      <c r="AL449" s="258" t="s">
        <v>818</v>
      </c>
      <c r="AM449" s="205"/>
      <c r="AN449" s="257" t="s">
        <v>817</v>
      </c>
      <c r="AO449" s="258" t="s">
        <v>818</v>
      </c>
      <c r="AP449" s="205"/>
      <c r="AQ449" s="257" t="s">
        <v>817</v>
      </c>
      <c r="AR449" s="258" t="s">
        <v>818</v>
      </c>
      <c r="AS449" s="205"/>
      <c r="AT449" s="257" t="s">
        <v>817</v>
      </c>
      <c r="AU449" s="258" t="s">
        <v>818</v>
      </c>
      <c r="AV449" s="206"/>
    </row>
    <row r="450" spans="36:48" ht="15.75" thickTop="1" x14ac:dyDescent="0.25">
      <c r="AJ450" s="204"/>
      <c r="AK450" s="220" cm="1">
        <f t="array" ref="AK450:AL454">IF(CapType = "Inverted-Tee", AQ450:AR454,_xlfn.HSTACK("",""))</f>
        <v>2.5640000000000001</v>
      </c>
      <c r="AL450" s="221">
        <v>2.5640000000000001</v>
      </c>
      <c r="AM450" s="205"/>
      <c r="AN450" s="220" cm="1">
        <f t="array" ref="AN450:AO451">IF(CapType = "Inverted-Tee", AT450:AU451, _xlfn.HSTACK("",""))</f>
        <v>2.5640000000000001</v>
      </c>
      <c r="AO450" s="221">
        <v>12.478666666666665</v>
      </c>
      <c r="AP450" s="205"/>
      <c r="AQ450" s="220">
        <f>AK443+AN446</f>
        <v>2.5640000000000001</v>
      </c>
      <c r="AR450" s="221">
        <f>AL446</f>
        <v>2.5640000000000001</v>
      </c>
      <c r="AS450" s="205"/>
      <c r="AT450" s="220">
        <f>AQ450</f>
        <v>2.5640000000000001</v>
      </c>
      <c r="AU450" s="221">
        <f>AR451-(AR451-AR450)/3</f>
        <v>12.478666666666665</v>
      </c>
      <c r="AV450" s="206"/>
    </row>
    <row r="451" spans="36:48" ht="15.75" thickBot="1" x14ac:dyDescent="0.3">
      <c r="AJ451" s="204"/>
      <c r="AK451" s="220">
        <v>2.5640000000000001</v>
      </c>
      <c r="AL451" s="221">
        <v>17.436</v>
      </c>
      <c r="AM451" s="205"/>
      <c r="AN451" s="222">
        <v>60.436</v>
      </c>
      <c r="AO451" s="224">
        <v>12.478666666666665</v>
      </c>
      <c r="AP451" s="205"/>
      <c r="AQ451" s="220">
        <f>AQ450</f>
        <v>2.5640000000000001</v>
      </c>
      <c r="AR451" s="221">
        <f>AK446</f>
        <v>17.436</v>
      </c>
      <c r="AS451" s="205"/>
      <c r="AT451" s="222">
        <f>AQ452</f>
        <v>60.436</v>
      </c>
      <c r="AU451" s="224">
        <f>AU450</f>
        <v>12.478666666666665</v>
      </c>
      <c r="AV451" s="206"/>
    </row>
    <row r="452" spans="36:48" x14ac:dyDescent="0.25">
      <c r="AJ452" s="204"/>
      <c r="AK452" s="220">
        <v>60.436</v>
      </c>
      <c r="AL452" s="221">
        <v>17.436</v>
      </c>
      <c r="AM452" s="205"/>
      <c r="AN452" s="205"/>
      <c r="AO452" s="205"/>
      <c r="AP452" s="205"/>
      <c r="AQ452" s="220">
        <f>AL443-AN446</f>
        <v>60.436</v>
      </c>
      <c r="AR452" s="221">
        <f>AK446</f>
        <v>17.436</v>
      </c>
      <c r="AS452" s="205"/>
      <c r="AT452" s="205"/>
      <c r="AU452" s="205"/>
      <c r="AV452" s="206"/>
    </row>
    <row r="453" spans="36:48" x14ac:dyDescent="0.25">
      <c r="AJ453" s="204"/>
      <c r="AK453" s="220">
        <v>60.436</v>
      </c>
      <c r="AL453" s="221">
        <v>2.5640000000000001</v>
      </c>
      <c r="AM453" s="205"/>
      <c r="AN453" s="205"/>
      <c r="AO453" s="205"/>
      <c r="AP453" s="205"/>
      <c r="AQ453" s="220">
        <f>AQ452</f>
        <v>60.436</v>
      </c>
      <c r="AR453" s="221">
        <f>AL446</f>
        <v>2.5640000000000001</v>
      </c>
      <c r="AS453" s="205"/>
      <c r="AT453" s="205"/>
      <c r="AU453" s="205"/>
      <c r="AV453" s="206"/>
    </row>
    <row r="454" spans="36:48" ht="15.75" thickBot="1" x14ac:dyDescent="0.3">
      <c r="AJ454" s="204"/>
      <c r="AK454" s="222">
        <v>2.5640000000000001</v>
      </c>
      <c r="AL454" s="224">
        <v>2.5640000000000001</v>
      </c>
      <c r="AM454" s="205"/>
      <c r="AN454" s="205"/>
      <c r="AO454" s="205"/>
      <c r="AP454" s="205"/>
      <c r="AQ454" s="222">
        <f>AQ450</f>
        <v>2.5640000000000001</v>
      </c>
      <c r="AR454" s="224">
        <f>AR450</f>
        <v>2.5640000000000001</v>
      </c>
      <c r="AS454" s="205"/>
      <c r="AT454" s="205"/>
      <c r="AU454" s="205"/>
      <c r="AV454" s="206"/>
    </row>
    <row r="455" spans="36:48" ht="15.75" thickBot="1" x14ac:dyDescent="0.3">
      <c r="AJ455" s="208"/>
      <c r="AK455" s="209"/>
      <c r="AL455" s="209"/>
      <c r="AM455" s="209"/>
      <c r="AN455" s="209"/>
      <c r="AO455" s="209"/>
      <c r="AP455" s="209"/>
      <c r="AQ455" s="295"/>
      <c r="AR455" s="209"/>
      <c r="AS455" s="209"/>
      <c r="AT455" s="209"/>
      <c r="AU455" s="209"/>
      <c r="AV455" s="210"/>
    </row>
  </sheetData>
  <protectedRanges>
    <protectedRange sqref="G297:G301 G288:G295 F1:F2 G304:G308 G4:G285" name="Range1"/>
  </protectedRanges>
  <dataConsolidate/>
  <mergeCells count="46">
    <mergeCell ref="E5:E11"/>
    <mergeCell ref="E12:E15"/>
    <mergeCell ref="E16:E18"/>
    <mergeCell ref="E19:E28"/>
    <mergeCell ref="E29:E36"/>
    <mergeCell ref="E226:E227"/>
    <mergeCell ref="E228:E230"/>
    <mergeCell ref="E77:E78"/>
    <mergeCell ref="E37:E43"/>
    <mergeCell ref="E44:E63"/>
    <mergeCell ref="E64:E68"/>
    <mergeCell ref="E69:E73"/>
    <mergeCell ref="E206:E225"/>
    <mergeCell ref="E98:E118"/>
    <mergeCell ref="E119:E139"/>
    <mergeCell ref="E140:E145"/>
    <mergeCell ref="E146:E165"/>
    <mergeCell ref="E166:E185"/>
    <mergeCell ref="E186:E205"/>
    <mergeCell ref="E74:E76"/>
    <mergeCell ref="E79:E97"/>
    <mergeCell ref="E244:E255"/>
    <mergeCell ref="E296:E302"/>
    <mergeCell ref="E231:E232"/>
    <mergeCell ref="E233:E234"/>
    <mergeCell ref="E235:E236"/>
    <mergeCell ref="E237:E239"/>
    <mergeCell ref="E241:E243"/>
    <mergeCell ref="E256:E260"/>
    <mergeCell ref="E285:E295"/>
    <mergeCell ref="E261:E272"/>
    <mergeCell ref="E273:E284"/>
    <mergeCell ref="BF148:BF149"/>
    <mergeCell ref="BG148:BG149"/>
    <mergeCell ref="BH148:BH149"/>
    <mergeCell ref="BC74:BC75"/>
    <mergeCell ref="BB74:BB75"/>
    <mergeCell ref="BD74:BD75"/>
    <mergeCell ref="BB79:BB80"/>
    <mergeCell ref="BC79:BC80"/>
    <mergeCell ref="BD79:BD80"/>
    <mergeCell ref="AJ82:AM83"/>
    <mergeCell ref="AO82:AR83"/>
    <mergeCell ref="BF143:BF144"/>
    <mergeCell ref="BG143:BG144"/>
    <mergeCell ref="BH143:BH144"/>
  </mergeCells>
  <conditionalFormatting sqref="G297:G301 G285 G288:G295 G5:G255">
    <cfRule type="expression" dxfId="52" priority="40">
      <formula>$A$5</formula>
    </cfRule>
  </conditionalFormatting>
  <conditionalFormatting sqref="G256:G260">
    <cfRule type="expression" dxfId="51" priority="38">
      <formula>$A$5</formula>
    </cfRule>
  </conditionalFormatting>
  <conditionalFormatting sqref="G261:G272">
    <cfRule type="expression" dxfId="50" priority="37">
      <formula>$A$5</formula>
    </cfRule>
  </conditionalFormatting>
  <conditionalFormatting sqref="G273:G284">
    <cfRule type="expression" dxfId="49" priority="35">
      <formula>$A$5</formula>
    </cfRule>
  </conditionalFormatting>
  <conditionalFormatting sqref="G296">
    <cfRule type="expression" dxfId="48" priority="31">
      <formula>$A$5</formula>
    </cfRule>
  </conditionalFormatting>
  <conditionalFormatting sqref="G287">
    <cfRule type="expression" dxfId="47" priority="29">
      <formula>$A$5</formula>
    </cfRule>
  </conditionalFormatting>
  <conditionalFormatting sqref="G286">
    <cfRule type="expression" dxfId="46" priority="28">
      <formula>$A$5</formula>
    </cfRule>
  </conditionalFormatting>
  <conditionalFormatting sqref="W69">
    <cfRule type="expression" dxfId="45" priority="27" stopIfTrue="1">
      <formula>W69="Yes-Steel has yielded at Mn"</formula>
    </cfRule>
  </conditionalFormatting>
  <conditionalFormatting sqref="W70:W72">
    <cfRule type="expression" dxfId="44" priority="26" stopIfTrue="1">
      <formula>W70="Minimum Reinforcement OK"</formula>
    </cfRule>
  </conditionalFormatting>
  <conditionalFormatting sqref="W75:W82">
    <cfRule type="expression" dxfId="43" priority="25">
      <formula>W75&gt;1</formula>
    </cfRule>
  </conditionalFormatting>
  <conditionalFormatting sqref="W99">
    <cfRule type="expression" dxfId="42" priority="24" stopIfTrue="1">
      <formula>W99="Yes-Steel has yielded at Mn"</formula>
    </cfRule>
  </conditionalFormatting>
  <conditionalFormatting sqref="W100:W102">
    <cfRule type="expression" dxfId="41" priority="23" stopIfTrue="1">
      <formula>W100="Minimum Reinforcement OK"</formula>
    </cfRule>
  </conditionalFormatting>
  <conditionalFormatting sqref="W105:W112">
    <cfRule type="expression" dxfId="40" priority="22">
      <formula>W105&gt;1</formula>
    </cfRule>
  </conditionalFormatting>
  <conditionalFormatting sqref="W142:W147">
    <cfRule type="expression" dxfId="39" priority="21">
      <formula>W142&gt;1</formula>
    </cfRule>
  </conditionalFormatting>
  <conditionalFormatting sqref="W128">
    <cfRule type="expression" dxfId="38" priority="20">
      <formula>$W$128="OK, 0.5bw + av ≥ 0.5L + df, pyramid failure surfaces do not overlap in longitudinal direction"</formula>
    </cfRule>
  </conditionalFormatting>
  <conditionalFormatting sqref="W129">
    <cfRule type="expression" dxfId="37" priority="19">
      <formula>$W$129="OK, S ≥ 2df + W, pyramid failure surfaces do not overlap in transverse direction"</formula>
    </cfRule>
  </conditionalFormatting>
  <conditionalFormatting sqref="W130:W135 W137:W138">
    <cfRule type="expression" dxfId="36" priority="18">
      <formula>RIGHT(W130,2) = "OK"</formula>
    </cfRule>
  </conditionalFormatting>
  <conditionalFormatting sqref="W136">
    <cfRule type="expression" dxfId="35" priority="17" stopIfTrue="1">
      <formula>W136="Yes-Steel has yielded at Mn"</formula>
    </cfRule>
  </conditionalFormatting>
  <conditionalFormatting sqref="G302">
    <cfRule type="expression" dxfId="34" priority="14">
      <formula>$A$5</formula>
    </cfRule>
  </conditionalFormatting>
  <conditionalFormatting sqref="W139">
    <cfRule type="expression" dxfId="33" priority="13">
      <formula>RIGHT(W139,2) = "OK"</formula>
    </cfRule>
  </conditionalFormatting>
  <dataValidations xWindow="1079" yWindow="470" count="28">
    <dataValidation type="list" allowBlank="1" showInputMessage="1" showErrorMessage="1" sqref="G98 G119" xr:uid="{8CB13DF7-2C26-4EC7-A894-E458C7190F64}">
      <formula1>"1,2,3,4,5,6,7,8,9,10,11,12,13,14,15,16,17,18,19,20"</formula1>
    </dataValidation>
    <dataValidation type="list" allowBlank="1" showInputMessage="1" showErrorMessage="1" sqref="G81" xr:uid="{534ADED6-3BF6-4374-8557-C3C18FC0D6AE}">
      <formula1>"1,2,3,4,5,6,7,8,9,10"</formula1>
    </dataValidation>
    <dataValidation allowBlank="1" showInputMessage="1" showErrorMessage="1" prompt="Dimension here is for calculation of distance to effective face." sqref="G84" xr:uid="{E6A045A7-231C-4C0C-92BA-5ABAF1A1B857}"/>
    <dataValidation allowBlank="1" showInputMessage="1" showErrorMessage="1" prompt="Weight in addition to column cross section." sqref="G85" xr:uid="{38F82CE4-BDD7-42C2-BFC4-F129B5112941}"/>
    <dataValidation type="list" allowBlank="1" showInputMessage="1" showErrorMessage="1" sqref="G80" xr:uid="{180974EE-A2B4-4876-AE9E-A9E8F1E29B9E}">
      <formula1>"Rectangular,Circular"</formula1>
    </dataValidation>
    <dataValidation type="list" allowBlank="1" showInputMessage="1" showErrorMessage="1" sqref="G77" xr:uid="{6CE380CF-5947-447E-B444-5B6022394676}">
      <formula1>"#4, #5, #6, #7, #8, #9, #10, #11"</formula1>
    </dataValidation>
    <dataValidation type="list" allowBlank="1" showInputMessage="1" showErrorMessage="1" sqref="G75" xr:uid="{97C61B69-F3CF-4178-992A-8F3A5323F1F1}">
      <formula1>"Single,Double,Triple"</formula1>
    </dataValidation>
    <dataValidation type="list" allowBlank="1" showInputMessage="1" showErrorMessage="1" sqref="G76" xr:uid="{82EF97D9-1457-4599-AF1D-83D589564248}">
      <formula1>"#4, #5, #6"</formula1>
    </dataValidation>
    <dataValidation type="list" allowBlank="1" showInputMessage="1" showErrorMessage="1" sqref="G69" xr:uid="{0CD78393-96DC-4352-9E6E-D14F7520F3F6}">
      <formula1>"#6, #9,#10,#11"</formula1>
    </dataValidation>
    <dataValidation allowBlank="1" showInputMessage="1" showErrorMessage="1" prompt="This value only affects design when complex geometry is not used." sqref="G53:G54 G49" xr:uid="{C08F0BB5-E940-4499-84D9-0B37E4EA7F21}"/>
    <dataValidation type="list" allowBlank="1" showInputMessage="1" showErrorMessage="1" sqref="G48" xr:uid="{99ACC6EE-8BC4-4659-9BD6-94B340A25D50}">
      <formula1>"Class 1, Class 2"</formula1>
    </dataValidation>
    <dataValidation type="list" allowBlank="1" showInputMessage="1" showErrorMessage="1" prompt="For Calculation of Centrifugal Forces._x000a_A cross-slope for drainage does not consitute a super-elevation._x000a_" sqref="G25" xr:uid="{DE648CFD-BA31-4D35-9741-F1D7E936AD1B}">
      <formula1>"Yes,No"</formula1>
    </dataValidation>
    <dataValidation allowBlank="1" showInputMessage="1" showErrorMessage="1" promptTitle="Normal to Rdwy" prompt=" " sqref="G20" xr:uid="{D1CDD08D-64F9-48A9-B466-A4EB907ADE80}"/>
    <dataValidation type="list" allowBlank="1" showInputMessage="1" showErrorMessage="1" sqref="G16 G12" xr:uid="{E33CC320-C14D-43A1-9785-871D4492A504}">
      <formula1>BeamType</formula1>
    </dataValidation>
    <dataValidation type="decimal" operator="greaterThan" allowBlank="1" showInputMessage="1" showErrorMessage="1" errorTitle="Invalid Entry" error="A positive value must be specfied for the cross slope." prompt="A positive value must be specfied for the cross slope." sqref="G7" xr:uid="{B5E9943F-0CB4-4A37-973E-49ED4FA67E97}">
      <formula1>0</formula1>
    </dataValidation>
    <dataValidation allowBlank="1" showInputMessage="1" showErrorMessage="1" promptTitle="Normal To Roadway" prompt=" " sqref="G6" xr:uid="{C84E838A-5515-4B32-A7B5-1CC20B65B7C6}"/>
    <dataValidation type="list" allowBlank="1" showInputMessage="1" showErrorMessage="1" sqref="G44" xr:uid="{99DF4DF5-AC1B-4B3E-9A82-80366F64D335}">
      <formula1>"Rectangular, Inverted-Tee, Tee"</formula1>
    </dataValidation>
    <dataValidation type="list" allowBlank="1" showInputMessage="1" showErrorMessage="1" sqref="G248 G250 G252" xr:uid="{AB9F11BE-9935-4D81-A35E-B79A645D03B6}">
      <formula1>"#4, #5, #6, #7, #8, #9"</formula1>
    </dataValidation>
    <dataValidation type="list" allowBlank="1" showInputMessage="1" showErrorMessage="1" sqref="G64" xr:uid="{243ADB77-2E49-48B1-B70E-70293F3B1A56}">
      <formula1>"#9,#10,#11, #14"</formula1>
    </dataValidation>
    <dataValidation type="list" allowBlank="1" showInputMessage="1" showErrorMessage="1" sqref="G143" xr:uid="{01D1EFD5-4682-4581-A986-E1F0BFAE0B3D}">
      <formula1>"None,Left,Right,Both"</formula1>
    </dataValidation>
    <dataValidation type="list" allowBlank="1" showInputMessage="1" showErrorMessage="1" sqref="G29 G74 G79 G234 G236" xr:uid="{F1769D51-ACE2-4E17-8028-826A7B21F0AF}">
      <formula1>"TRUE, FALSE"</formula1>
    </dataValidation>
    <dataValidation type="list" allowBlank="1" showInputMessage="1" showErrorMessage="1" sqref="G226" xr:uid="{6AB1AA00-FB4A-4E0C-8198-BB2014E9ED84}">
      <formula1>"Yes, No"</formula1>
    </dataValidation>
    <dataValidation type="list" allowBlank="1" showInputMessage="1" showErrorMessage="1" sqref="G232" xr:uid="{161737F1-2A98-4457-87F9-D883A09F8432}">
      <formula1>"Force at Face of Column, Force at CL Support"</formula1>
    </dataValidation>
    <dataValidation type="list" allowBlank="1" showInputMessage="1" showErrorMessage="1" sqref="G233 G235" xr:uid="{C6CB3521-24A5-4BE8-92A7-EECFEAB8D69A}">
      <formula1>"Left,Right"</formula1>
    </dataValidation>
    <dataValidation type="list" allowBlank="1" showInputMessage="1" showErrorMessage="1" sqref="G240" xr:uid="{541C7EEB-24A4-4436-9374-AAED4C7D0F7E}">
      <formula1>"Consider only the 5% of Truck + lane load in accordance with the TxDOT LRFD BDM, Consider 5% of Truck+Lane as well as 25% of axle wt."</formula1>
    </dataValidation>
    <dataValidation type="list" allowBlank="1" showInputMessage="1" showErrorMessage="1" sqref="G241" xr:uid="{ACFA986F-0006-4768-97C8-24CBF3F55581}">
      <formula1>"115,120,130,140,150"</formula1>
    </dataValidation>
    <dataValidation type="list" allowBlank="1" showInputMessage="1" showErrorMessage="1" sqref="G243" xr:uid="{F4BE0E6A-7A3A-4750-9C32-882B94102CC0}">
      <formula1>"B,C,D"</formula1>
    </dataValidation>
    <dataValidation type="list" allowBlank="1" showInputMessage="1" showErrorMessage="1" sqref="G249 G251" xr:uid="{0FBD025D-B67A-42C6-A949-8B5ABE12AD9E}">
      <formula1>"EVERY, EVERY OTHER"</formula1>
    </dataValidation>
  </dataValidations>
  <pageMargins left="0.75" right="0.75" top="1.5" bottom="0.85" header="0.75" footer="0.75"/>
  <pageSetup scale="46" fitToHeight="3" orientation="landscape" r:id="rId1"/>
  <headerFooter scaleWithDoc="0">
    <oddHeader>&amp;L&amp;G&amp;C&amp;8Project: &amp;UIH35 - Upper Deck Retrofit&amp;U
Subject: &amp;UBent Summary&amp;U
Task: &amp;ULRFD Analysis&amp;U
Job #: &amp;U10365887&amp;R&amp;8Computed by: &amp;UMiller, Cole&amp;U Date:&amp;D
Checked by: &amp;U_________&amp;U Date: &amp;U__________&amp;U
Workbook: &amp;U&amp;F, &amp;A&amp;U
Page: &amp;U&amp;P of &amp;N</oddHeader>
    <oddFooter>&amp;L&amp;4&amp;Z&amp;F</oddFooter>
  </headerFooter>
  <rowBreaks count="2" manualBreakCount="2">
    <brk id="63" min="12" max="33" man="1"/>
    <brk id="124" min="12" max="33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SearchMode">
                <anchor moveWithCells="1" sizeWithCells="1">
                  <from>
                    <xdr:col>1</xdr:col>
                    <xdr:colOff>47625</xdr:colOff>
                    <xdr:row>4</xdr:row>
                    <xdr:rowOff>47625</xdr:rowOff>
                  </from>
                  <to>
                    <xdr:col>2</xdr:col>
                    <xdr:colOff>552450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CreatorMode">
                <anchor moveWithCells="1" sizeWithCells="1">
                  <from>
                    <xdr:col>1</xdr:col>
                    <xdr:colOff>47625</xdr:colOff>
                    <xdr:row>8</xdr:row>
                    <xdr:rowOff>47625</xdr:rowOff>
                  </from>
                  <to>
                    <xdr:col>2</xdr:col>
                    <xdr:colOff>552450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7" name="Button 3">
              <controlPr defaultSize="0" print="0" autoFill="0" autoPict="0" macro="[0]!ImportData">
                <anchor moveWithCells="1" sizeWithCells="1">
                  <from>
                    <xdr:col>1</xdr:col>
                    <xdr:colOff>47625</xdr:colOff>
                    <xdr:row>12</xdr:row>
                    <xdr:rowOff>47625</xdr:rowOff>
                  </from>
                  <to>
                    <xdr:col>2</xdr:col>
                    <xdr:colOff>552450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AddData">
                <anchor moveWithCells="1" sizeWithCells="1">
                  <from>
                    <xdr:col>1</xdr:col>
                    <xdr:colOff>47625</xdr:colOff>
                    <xdr:row>16</xdr:row>
                    <xdr:rowOff>47625</xdr:rowOff>
                  </from>
                  <to>
                    <xdr:col>2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9" name="Button 10">
              <controlPr defaultSize="0" print="0" autoFill="0" autoPict="0" macro="[0]!EditData">
                <anchor moveWithCells="1" sizeWithCells="1">
                  <from>
                    <xdr:col>1</xdr:col>
                    <xdr:colOff>47625</xdr:colOff>
                    <xdr:row>20</xdr:row>
                    <xdr:rowOff>47625</xdr:rowOff>
                  </from>
                  <to>
                    <xdr:col>2</xdr:col>
                    <xdr:colOff>552450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10" name="Label 34">
              <controlPr defaultSize="0" autoFill="0" autoLine="0" autoPict="0">
                <anchor moveWithCells="1" sizeWithCells="1">
                  <from>
                    <xdr:col>17</xdr:col>
                    <xdr:colOff>771525</xdr:colOff>
                    <xdr:row>19</xdr:row>
                    <xdr:rowOff>85725</xdr:rowOff>
                  </from>
                  <to>
                    <xdr:col>19</xdr:col>
                    <xdr:colOff>457200</xdr:colOff>
                    <xdr:row>20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11" name="Label 48">
              <controlPr defaultSize="0" autoFill="0" autoLine="0" autoPict="0">
                <anchor moveWithCells="1" sizeWithCells="1">
                  <from>
                    <xdr:col>17</xdr:col>
                    <xdr:colOff>809625</xdr:colOff>
                    <xdr:row>38</xdr:row>
                    <xdr:rowOff>95250</xdr:rowOff>
                  </from>
                  <to>
                    <xdr:col>19</xdr:col>
                    <xdr:colOff>495300</xdr:colOff>
                    <xdr:row>39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0" r:id="rId12" name="Label 80">
              <controlPr defaultSize="0" autoFill="0" autoLine="0" autoPict="0">
                <anchor moveWithCells="1" sizeWithCells="1">
                  <from>
                    <xdr:col>12</xdr:col>
                    <xdr:colOff>666750</xdr:colOff>
                    <xdr:row>19</xdr:row>
                    <xdr:rowOff>85725</xdr:rowOff>
                  </from>
                  <to>
                    <xdr:col>14</xdr:col>
                    <xdr:colOff>838200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1" r:id="rId13" name="Label 81">
              <controlPr defaultSize="0" autoFill="0" autoLine="0" autoPict="0">
                <anchor moveWithCells="1" sizeWithCells="1">
                  <from>
                    <xdr:col>14</xdr:col>
                    <xdr:colOff>1714500</xdr:colOff>
                    <xdr:row>19</xdr:row>
                    <xdr:rowOff>85725</xdr:rowOff>
                  </from>
                  <to>
                    <xdr:col>17</xdr:col>
                    <xdr:colOff>152400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2" r:id="rId14" name="Label 82">
              <controlPr defaultSize="0" autoFill="0" autoLine="0" autoPict="0">
                <anchor moveWithCells="1" sizeWithCells="1">
                  <from>
                    <xdr:col>12</xdr:col>
                    <xdr:colOff>695325</xdr:colOff>
                    <xdr:row>38</xdr:row>
                    <xdr:rowOff>95250</xdr:rowOff>
                  </from>
                  <to>
                    <xdr:col>14</xdr:col>
                    <xdr:colOff>866775</xdr:colOff>
                    <xdr:row>39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3" r:id="rId15" name="Label 83">
              <controlPr defaultSize="0" autoFill="0" autoLine="0" autoPict="0">
                <anchor moveWithCells="1" sizeWithCells="1">
                  <from>
                    <xdr:col>14</xdr:col>
                    <xdr:colOff>1724025</xdr:colOff>
                    <xdr:row>38</xdr:row>
                    <xdr:rowOff>95250</xdr:rowOff>
                  </from>
                  <to>
                    <xdr:col>17</xdr:col>
                    <xdr:colOff>161925</xdr:colOff>
                    <xdr:row>39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16" name="Button 84">
              <controlPr defaultSize="0" print="0" autoFill="0" autoPict="0" macro="[0]!TransferToBentDesignSpreadsheet">
                <anchor moveWithCells="1" sizeWithCells="1">
                  <from>
                    <xdr:col>1</xdr:col>
                    <xdr:colOff>47625</xdr:colOff>
                    <xdr:row>30</xdr:row>
                    <xdr:rowOff>47625</xdr:rowOff>
                  </from>
                  <to>
                    <xdr:col>2</xdr:col>
                    <xdr:colOff>552450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7" r:id="rId17" name="Button 87">
              <controlPr defaultSize="0" print="0" autoFill="0" autoPict="0" macro="[0]!TransferAll">
                <anchor moveWithCells="1" sizeWithCells="1">
                  <from>
                    <xdr:col>1</xdr:col>
                    <xdr:colOff>47625</xdr:colOff>
                    <xdr:row>34</xdr:row>
                    <xdr:rowOff>47625</xdr:rowOff>
                  </from>
                  <to>
                    <xdr:col>2</xdr:col>
                    <xdr:colOff>552450</xdr:colOff>
                    <xdr:row>36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5" r:id="rId18" name="Check Box 95">
              <controlPr defaultSize="0" autoFill="0" autoLine="0" autoPict="0" altText="Graph Proportional">
                <anchor moveWithCells="1">
                  <from>
                    <xdr:col>18</xdr:col>
                    <xdr:colOff>9525</xdr:colOff>
                    <xdr:row>2</xdr:row>
                    <xdr:rowOff>9525</xdr:rowOff>
                  </from>
                  <to>
                    <xdr:col>20</xdr:col>
                    <xdr:colOff>9525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7" r:id="rId19" name="Check Box 97">
              <controlPr defaultSize="0" autoFill="0" autoLine="0" autoPict="0" altText="Graph Proportional">
                <anchor moveWithCells="1">
                  <from>
                    <xdr:col>14</xdr:col>
                    <xdr:colOff>1733550</xdr:colOff>
                    <xdr:row>42</xdr:row>
                    <xdr:rowOff>9525</xdr:rowOff>
                  </from>
                  <to>
                    <xdr:col>16</xdr:col>
                    <xdr:colOff>904875</xdr:colOff>
                    <xdr:row>43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9" r:id="rId20" name="Button 99">
              <controlPr defaultSize="0" print="0" autoFill="0" autoPict="0" macro="[0]!PrintAll">
                <anchor moveWithCells="1" sizeWithCells="1">
                  <from>
                    <xdr:col>1</xdr:col>
                    <xdr:colOff>47625</xdr:colOff>
                    <xdr:row>24</xdr:row>
                    <xdr:rowOff>57150</xdr:rowOff>
                  </from>
                  <to>
                    <xdr:col>2</xdr:col>
                    <xdr:colOff>552450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079" yWindow="470" count="2">
        <x14:dataValidation type="list" allowBlank="1" showInputMessage="1" showErrorMessage="1" xr:uid="{21F64295-4F56-4340-9ED0-F20635670A85}">
          <x14:formula1>
            <xm:f>Reference!$H$6:$H$60</xm:f>
          </x14:formula1>
          <xm:sqref>G30:G32</xm:sqref>
        </x14:dataValidation>
        <x14:dataValidation type="list" allowBlank="1" showInputMessage="1" showErrorMessage="1" xr:uid="{55658382-4B37-4A59-86AE-704E1CB23C1A}">
          <x14:formula1>
            <xm:f>_xlfn.ANCHORARRAY(Reference!AN3)</xm:f>
          </x14:formula1>
          <xm:sqref>G4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AD4C6-5CB0-4D63-A291-0BC3DC9B3FA1}">
  <sheetPr codeName="SheetRef">
    <tabColor theme="4" tint="0.79998168889431442"/>
    <pageSetUpPr fitToPage="1"/>
  </sheetPr>
  <dimension ref="A2:AN58"/>
  <sheetViews>
    <sheetView workbookViewId="0">
      <selection activeCell="P35" sqref="P35"/>
    </sheetView>
  </sheetViews>
  <sheetFormatPr defaultRowHeight="12.75" x14ac:dyDescent="0.2"/>
  <cols>
    <col min="1" max="1" width="22" style="13" customWidth="1"/>
    <col min="2" max="4" width="9.140625" style="13"/>
    <col min="5" max="5" width="16" style="13" customWidth="1"/>
    <col min="6" max="12" width="9.140625" style="13"/>
    <col min="13" max="13" width="12.5703125" style="13" customWidth="1"/>
    <col min="14" max="14" width="12.28515625" style="13" customWidth="1"/>
    <col min="15" max="15" width="13" style="13" customWidth="1"/>
    <col min="16" max="16" width="17.28515625" style="13" customWidth="1"/>
    <col min="17" max="17" width="16.5703125" style="13" customWidth="1"/>
    <col min="18" max="18" width="10.140625" style="13" customWidth="1"/>
    <col min="19" max="19" width="12.85546875" style="13" customWidth="1"/>
    <col min="20" max="20" width="11" style="13" customWidth="1"/>
    <col min="21" max="21" width="10.140625" style="13" customWidth="1"/>
    <col min="22" max="22" width="12" style="13" customWidth="1"/>
    <col min="23" max="39" width="9.140625" style="13"/>
    <col min="40" max="40" width="11.28515625" style="13" bestFit="1" customWidth="1"/>
    <col min="41" max="44" width="9.140625" style="13"/>
    <col min="45" max="45" width="41.28515625" style="13" bestFit="1" customWidth="1"/>
    <col min="46" max="16384" width="9.140625" style="13"/>
  </cols>
  <sheetData>
    <row r="2" spans="1:40" ht="13.5" thickBot="1" x14ac:dyDescent="0.25">
      <c r="AN2" s="58" t="s">
        <v>732</v>
      </c>
    </row>
    <row r="3" spans="1:40" ht="14.25" thickTop="1" thickBot="1" x14ac:dyDescent="0.25">
      <c r="R3" s="347" t="s">
        <v>49</v>
      </c>
      <c r="S3" s="348"/>
      <c r="T3" s="348"/>
      <c r="U3" s="348"/>
      <c r="V3" s="348"/>
      <c r="W3" s="348"/>
      <c r="X3" s="348"/>
      <c r="Y3" s="348"/>
      <c r="Z3" s="348"/>
      <c r="AA3" s="348"/>
      <c r="AB3" s="349"/>
      <c r="AN3" s="13" t="str" cm="1">
        <f t="array" ref="AN3:AN35">TRANSPOSE(BentDataTable[#Headers])</f>
        <v>Bent 6</v>
      </c>
    </row>
    <row r="4" spans="1:40" ht="18.75" customHeight="1" thickBot="1" x14ac:dyDescent="0.3">
      <c r="B4" s="350" t="s">
        <v>50</v>
      </c>
      <c r="C4" s="351"/>
      <c r="D4" s="351"/>
      <c r="E4" s="352"/>
      <c r="F4" s="19"/>
      <c r="G4" s="19"/>
      <c r="H4" s="350" t="s">
        <v>51</v>
      </c>
      <c r="I4" s="351"/>
      <c r="J4" s="351"/>
      <c r="K4" s="352"/>
      <c r="M4" s="353" t="s">
        <v>52</v>
      </c>
      <c r="N4" s="354"/>
      <c r="O4" s="354"/>
      <c r="P4" s="355"/>
      <c r="R4" s="20"/>
      <c r="V4" s="21" t="s">
        <v>53</v>
      </c>
      <c r="AB4" s="22"/>
      <c r="AN4" s="13" t="str">
        <v>Bent 6 - double</v>
      </c>
    </row>
    <row r="5" spans="1:40" ht="13.5" customHeight="1" thickBot="1" x14ac:dyDescent="0.25">
      <c r="B5" s="23" t="s">
        <v>54</v>
      </c>
      <c r="C5" s="13" t="s">
        <v>55</v>
      </c>
      <c r="D5" s="13" t="s">
        <v>56</v>
      </c>
      <c r="E5" s="13" t="s">
        <v>57</v>
      </c>
      <c r="F5" s="13" t="s">
        <v>58</v>
      </c>
      <c r="G5" s="13" t="s">
        <v>59</v>
      </c>
      <c r="H5" s="23" t="s">
        <v>54</v>
      </c>
      <c r="I5" s="13" t="s">
        <v>60</v>
      </c>
      <c r="J5" s="13" t="s">
        <v>61</v>
      </c>
      <c r="K5" s="24" t="s">
        <v>56</v>
      </c>
      <c r="M5" s="14" t="s">
        <v>14</v>
      </c>
      <c r="N5" s="15" t="s">
        <v>15</v>
      </c>
      <c r="O5" s="15" t="s">
        <v>16</v>
      </c>
      <c r="P5" s="16" t="s">
        <v>17</v>
      </c>
      <c r="R5" s="20"/>
      <c r="T5" s="25"/>
      <c r="U5" s="26"/>
      <c r="V5" s="26"/>
      <c r="W5" s="26"/>
      <c r="X5" s="27" t="s">
        <v>62</v>
      </c>
      <c r="Y5" s="26"/>
      <c r="Z5" s="26"/>
      <c r="AA5" s="26"/>
      <c r="AB5" s="28"/>
      <c r="AN5" s="13" t="str">
        <v>Bent 6 - double center</v>
      </c>
    </row>
    <row r="6" spans="1:40" ht="13.5" customHeight="1" thickBot="1" x14ac:dyDescent="0.3">
      <c r="B6" s="29" t="s">
        <v>63</v>
      </c>
      <c r="C6" s="13">
        <v>28</v>
      </c>
      <c r="D6" s="13">
        <v>287</v>
      </c>
      <c r="E6" s="30">
        <v>2</v>
      </c>
      <c r="F6" s="30">
        <v>16</v>
      </c>
      <c r="G6" s="30">
        <f>IF(_xlfn.SINGLE(CapType)="Inverted-Tee",3,2)</f>
        <v>3</v>
      </c>
      <c r="H6" s="29" t="s">
        <v>64</v>
      </c>
      <c r="I6" s="13">
        <v>0</v>
      </c>
      <c r="J6" s="13">
        <v>0</v>
      </c>
      <c r="K6" s="24">
        <v>0</v>
      </c>
      <c r="M6" s="329" t="s">
        <v>18</v>
      </c>
      <c r="N6" s="330">
        <v>0.5</v>
      </c>
      <c r="O6" s="331">
        <v>0.19600000000000001</v>
      </c>
      <c r="P6" s="332">
        <f t="shared" ref="P6:P13" si="0">ROUND(MAX(12,2.4*N6*_xlfn.SINGLE(fy)/SQRT(_xlfn.SINGLE(fc)))*$P$15,2)</f>
        <v>17.079999999999998</v>
      </c>
      <c r="Q6" s="31"/>
      <c r="R6" s="20"/>
      <c r="T6" s="32">
        <v>0</v>
      </c>
      <c r="U6" s="33">
        <v>7.4999999999999997E-2</v>
      </c>
      <c r="V6" s="33">
        <v>0.1</v>
      </c>
      <c r="W6" s="33">
        <v>0.125</v>
      </c>
      <c r="X6" s="33">
        <v>0.15</v>
      </c>
      <c r="Y6" s="34">
        <v>0.17499999999999999</v>
      </c>
      <c r="Z6" s="33">
        <v>0.2</v>
      </c>
      <c r="AA6" s="33">
        <v>0.22500000000000001</v>
      </c>
      <c r="AB6" s="35">
        <v>0.25</v>
      </c>
      <c r="AD6" s="36">
        <v>0.01</v>
      </c>
      <c r="AN6" s="13" t="str">
        <v>Substr - Single Col Bents (Group F)</v>
      </c>
    </row>
    <row r="7" spans="1:40" ht="13.5" customHeight="1" thickBot="1" x14ac:dyDescent="0.3">
      <c r="B7" s="29" t="s">
        <v>65</v>
      </c>
      <c r="C7" s="13">
        <v>34</v>
      </c>
      <c r="D7" s="13">
        <v>375</v>
      </c>
      <c r="E7" s="30">
        <v>2</v>
      </c>
      <c r="F7" s="30">
        <v>18</v>
      </c>
      <c r="G7" s="30">
        <f>IF(_xlfn.SINGLE(CapType)="Inverted-Tee",3,2)</f>
        <v>3</v>
      </c>
      <c r="H7" s="29" t="s">
        <v>66</v>
      </c>
      <c r="I7" s="13">
        <v>2</v>
      </c>
      <c r="J7" s="13">
        <v>42</v>
      </c>
      <c r="K7" s="24">
        <v>717</v>
      </c>
      <c r="M7" s="329" t="s">
        <v>19</v>
      </c>
      <c r="N7" s="330">
        <v>0.625</v>
      </c>
      <c r="O7" s="330">
        <v>0.307</v>
      </c>
      <c r="P7" s="332">
        <f t="shared" si="0"/>
        <v>21.35</v>
      </c>
      <c r="Q7" s="31"/>
      <c r="R7" s="37"/>
      <c r="S7" s="36">
        <v>-2E-3</v>
      </c>
      <c r="T7" s="25">
        <f>U7</f>
        <v>22.3</v>
      </c>
      <c r="U7" s="26">
        <f>U8</f>
        <v>22.3</v>
      </c>
      <c r="V7" s="26">
        <f t="shared" ref="V7:AB7" si="1">V8</f>
        <v>18.100000000000001</v>
      </c>
      <c r="W7" s="38">
        <f t="shared" si="1"/>
        <v>19.899999999999999</v>
      </c>
      <c r="X7" s="38">
        <f t="shared" si="1"/>
        <v>21.6</v>
      </c>
      <c r="Y7" s="38">
        <f t="shared" si="1"/>
        <v>23.2</v>
      </c>
      <c r="Z7" s="38">
        <f t="shared" si="1"/>
        <v>24.7</v>
      </c>
      <c r="AA7" s="38">
        <f t="shared" si="1"/>
        <v>26.1</v>
      </c>
      <c r="AB7" s="39">
        <f t="shared" si="1"/>
        <v>27.5</v>
      </c>
      <c r="AD7" s="40">
        <v>1E-3</v>
      </c>
      <c r="AN7" s="13" t="str">
        <v>Bent 6 - 2 column</v>
      </c>
    </row>
    <row r="8" spans="1:40" ht="12.75" customHeight="1" x14ac:dyDescent="0.25">
      <c r="B8" s="29" t="s">
        <v>33</v>
      </c>
      <c r="C8" s="13">
        <v>40</v>
      </c>
      <c r="D8" s="13">
        <v>516</v>
      </c>
      <c r="E8" s="30">
        <v>2</v>
      </c>
      <c r="F8" s="30">
        <v>22</v>
      </c>
      <c r="G8" s="30">
        <f>IF(_xlfn.SINGLE(CapType)="Inverted-Tee",3,2)</f>
        <v>3</v>
      </c>
      <c r="H8" s="29" t="s">
        <v>67</v>
      </c>
      <c r="I8" s="13">
        <v>1</v>
      </c>
      <c r="J8" s="13">
        <v>33</v>
      </c>
      <c r="K8" s="24">
        <v>157</v>
      </c>
      <c r="M8" s="329" t="s">
        <v>2</v>
      </c>
      <c r="N8" s="330">
        <v>0.75</v>
      </c>
      <c r="O8" s="330">
        <v>0.442</v>
      </c>
      <c r="P8" s="332">
        <f t="shared" si="0"/>
        <v>25.61</v>
      </c>
      <c r="Q8" s="31"/>
      <c r="R8" s="20"/>
      <c r="S8" s="40">
        <v>-2.0000000000000001E-4</v>
      </c>
      <c r="T8" s="41">
        <f t="shared" ref="T8:T17" si="2">U8</f>
        <v>22.3</v>
      </c>
      <c r="U8" s="25">
        <v>22.3</v>
      </c>
      <c r="V8" s="26">
        <v>18.100000000000001</v>
      </c>
      <c r="W8" s="38">
        <v>19.899999999999999</v>
      </c>
      <c r="X8" s="38">
        <v>21.6</v>
      </c>
      <c r="Y8" s="38">
        <v>23.2</v>
      </c>
      <c r="Z8" s="38">
        <v>24.7</v>
      </c>
      <c r="AA8" s="38">
        <v>26.1</v>
      </c>
      <c r="AB8" s="39">
        <v>27.5</v>
      </c>
      <c r="AD8" s="40">
        <v>7.5000000000000002E-4</v>
      </c>
      <c r="AN8" s="13" t="str">
        <v>Bent 6 - 2 column - 7 bms</v>
      </c>
    </row>
    <row r="9" spans="1:40" ht="12.75" customHeight="1" x14ac:dyDescent="0.25">
      <c r="B9" s="29" t="s">
        <v>1</v>
      </c>
      <c r="C9" s="13">
        <v>54</v>
      </c>
      <c r="D9" s="13">
        <v>821</v>
      </c>
      <c r="E9" s="30">
        <v>2.3330000000000002</v>
      </c>
      <c r="F9" s="30">
        <v>26</v>
      </c>
      <c r="G9" s="30">
        <f>IF(_xlfn.SINGLE(CapType)="Inverted-Tee",3,2)</f>
        <v>3</v>
      </c>
      <c r="H9" s="29" t="s">
        <v>68</v>
      </c>
      <c r="I9" s="13">
        <v>1</v>
      </c>
      <c r="J9" s="13">
        <v>32</v>
      </c>
      <c r="K9" s="24">
        <v>173</v>
      </c>
      <c r="M9" s="329" t="s">
        <v>3</v>
      </c>
      <c r="N9" s="330">
        <v>0.875</v>
      </c>
      <c r="O9" s="330">
        <v>0.60099999999999998</v>
      </c>
      <c r="P9" s="332">
        <f t="shared" si="0"/>
        <v>29.88</v>
      </c>
      <c r="Q9" s="31"/>
      <c r="R9" s="20"/>
      <c r="S9" s="40">
        <v>-1E-4</v>
      </c>
      <c r="T9" s="41">
        <f t="shared" si="2"/>
        <v>20.399999999999999</v>
      </c>
      <c r="U9" s="41">
        <v>20.399999999999999</v>
      </c>
      <c r="V9" s="13">
        <v>20.399999999999999</v>
      </c>
      <c r="W9" s="42">
        <v>21.9</v>
      </c>
      <c r="X9" s="42">
        <v>23.3</v>
      </c>
      <c r="Y9" s="42">
        <v>24.7</v>
      </c>
      <c r="Z9" s="42">
        <v>26.1</v>
      </c>
      <c r="AA9" s="42">
        <v>27.3</v>
      </c>
      <c r="AB9" s="43">
        <v>28.6</v>
      </c>
      <c r="AD9" s="40">
        <v>5.0000000000000001E-4</v>
      </c>
      <c r="AN9" s="13" t="str">
        <v>Bent 6 - Rectangular - 7 bms</v>
      </c>
    </row>
    <row r="10" spans="1:40" ht="12.75" customHeight="1" x14ac:dyDescent="0.25">
      <c r="A10" s="13" t="s">
        <v>69</v>
      </c>
      <c r="B10" s="29" t="s">
        <v>70</v>
      </c>
      <c r="C10" s="13">
        <v>40</v>
      </c>
      <c r="D10" s="13">
        <v>1170</v>
      </c>
      <c r="E10" s="30">
        <f>IF(ABS(_xlfn.SINGLE(BentSkew))&lt;=15,4.5,IF(ABS(_xlfn.SINGLE(BentSkew))&lt;=30,5,IF(ABS(_xlfn.SINGLE(BentSkew))&lt;=45,5.5,"Error - See UBEB")))</f>
        <v>4.5</v>
      </c>
      <c r="F10" s="30">
        <v>55</v>
      </c>
      <c r="G10" s="30">
        <v>3</v>
      </c>
      <c r="H10" s="29" t="s">
        <v>71</v>
      </c>
      <c r="I10" s="13">
        <v>1</v>
      </c>
      <c r="J10" s="13">
        <v>36</v>
      </c>
      <c r="K10" s="24">
        <v>192</v>
      </c>
      <c r="M10" s="329" t="s">
        <v>20</v>
      </c>
      <c r="N10" s="330">
        <v>1</v>
      </c>
      <c r="O10" s="330">
        <v>0.78500000000000003</v>
      </c>
      <c r="P10" s="332">
        <f t="shared" si="0"/>
        <v>34.15</v>
      </c>
      <c r="Q10" s="31"/>
      <c r="R10" s="20"/>
      <c r="S10" s="40">
        <f>S9/2</f>
        <v>-5.0000000000000002E-5</v>
      </c>
      <c r="T10" s="41">
        <f t="shared" si="2"/>
        <v>21</v>
      </c>
      <c r="U10" s="41">
        <v>21</v>
      </c>
      <c r="V10" s="13">
        <v>21.4</v>
      </c>
      <c r="W10" s="42">
        <v>22.8</v>
      </c>
      <c r="X10" s="42">
        <v>24.2</v>
      </c>
      <c r="Y10" s="42">
        <v>25.5</v>
      </c>
      <c r="Z10" s="42">
        <v>26.7</v>
      </c>
      <c r="AA10" s="42">
        <v>27.9</v>
      </c>
      <c r="AB10" s="43">
        <v>29.1</v>
      </c>
      <c r="AD10" s="40">
        <v>2.5000000000000001E-4</v>
      </c>
      <c r="AN10" s="13" t="str">
        <v>Bent 6 - 3 column</v>
      </c>
    </row>
    <row r="11" spans="1:40" ht="12.75" customHeight="1" x14ac:dyDescent="0.25">
      <c r="A11" s="13" t="s">
        <v>72</v>
      </c>
      <c r="B11" s="29" t="s">
        <v>73</v>
      </c>
      <c r="C11" s="13">
        <v>54</v>
      </c>
      <c r="D11" s="13">
        <v>1350</v>
      </c>
      <c r="E11" s="30">
        <f>IF(ABS(_xlfn.SINGLE(BentSkew))&lt;=15,4.5,IF(ABS(_xlfn.SINGLE(BentSkew))&lt;=30,5,IF(ABS(_xlfn.SINGLE(BentSkew))&lt;=45,5.5,"Error - See UBEB")))</f>
        <v>4.5</v>
      </c>
      <c r="F11" s="30">
        <v>55</v>
      </c>
      <c r="G11" s="30">
        <v>3</v>
      </c>
      <c r="H11" s="29" t="s">
        <v>74</v>
      </c>
      <c r="I11" s="13">
        <v>1</v>
      </c>
      <c r="J11" s="13">
        <v>42</v>
      </c>
      <c r="K11" s="24">
        <v>192</v>
      </c>
      <c r="M11" s="329" t="s">
        <v>21</v>
      </c>
      <c r="N11" s="330">
        <v>1.1279999999999999</v>
      </c>
      <c r="O11" s="330">
        <v>1</v>
      </c>
      <c r="P11" s="332">
        <f t="shared" si="0"/>
        <v>38.520000000000003</v>
      </c>
      <c r="Q11" s="31"/>
      <c r="R11" s="346" t="s">
        <v>75</v>
      </c>
      <c r="S11" s="44">
        <v>0</v>
      </c>
      <c r="T11" s="41">
        <f t="shared" si="2"/>
        <v>21.8</v>
      </c>
      <c r="U11" s="41">
        <v>21.8</v>
      </c>
      <c r="V11" s="13">
        <v>22.5</v>
      </c>
      <c r="W11" s="42">
        <v>23.7</v>
      </c>
      <c r="X11" s="42">
        <v>25</v>
      </c>
      <c r="Y11" s="42">
        <v>26.2</v>
      </c>
      <c r="Z11" s="42">
        <v>27.4</v>
      </c>
      <c r="AA11" s="42">
        <v>28.5</v>
      </c>
      <c r="AB11" s="43">
        <v>29.7</v>
      </c>
      <c r="AD11" s="40">
        <v>1.25E-4</v>
      </c>
      <c r="AN11" s="13" t="str">
        <v>Bent 19R</v>
      </c>
    </row>
    <row r="12" spans="1:40" ht="12.75" customHeight="1" x14ac:dyDescent="0.25">
      <c r="B12" s="29" t="s">
        <v>76</v>
      </c>
      <c r="C12" s="13">
        <v>28</v>
      </c>
      <c r="D12" s="13">
        <v>630</v>
      </c>
      <c r="E12" s="30">
        <v>3</v>
      </c>
      <c r="F12" s="30">
        <v>32</v>
      </c>
      <c r="G12" s="30">
        <v>3</v>
      </c>
      <c r="H12" s="29" t="s">
        <v>77</v>
      </c>
      <c r="I12" s="13">
        <v>1</v>
      </c>
      <c r="J12" s="13">
        <v>32</v>
      </c>
      <c r="K12" s="24">
        <v>370</v>
      </c>
      <c r="M12" s="333" t="s">
        <v>22</v>
      </c>
      <c r="N12" s="330">
        <v>1.27</v>
      </c>
      <c r="O12" s="330">
        <v>1.266</v>
      </c>
      <c r="P12" s="332">
        <f t="shared" si="0"/>
        <v>43.37</v>
      </c>
      <c r="Q12" s="31"/>
      <c r="R12" s="346"/>
      <c r="S12" s="40">
        <v>1.25E-4</v>
      </c>
      <c r="T12" s="41">
        <f t="shared" si="2"/>
        <v>24.3</v>
      </c>
      <c r="U12" s="41">
        <v>24.3</v>
      </c>
      <c r="V12" s="13">
        <v>24.9</v>
      </c>
      <c r="W12" s="42">
        <v>25.9</v>
      </c>
      <c r="X12" s="42">
        <v>26.9</v>
      </c>
      <c r="Y12" s="42">
        <v>28</v>
      </c>
      <c r="Z12" s="42">
        <v>29</v>
      </c>
      <c r="AA12" s="42">
        <v>30</v>
      </c>
      <c r="AB12" s="43">
        <v>30.6</v>
      </c>
      <c r="AD12" s="44">
        <v>0</v>
      </c>
      <c r="AN12" s="13" t="str">
        <v>Bent 20R, 21R</v>
      </c>
    </row>
    <row r="13" spans="1:40" ht="13.5" customHeight="1" x14ac:dyDescent="0.25">
      <c r="B13" s="29" t="s">
        <v>78</v>
      </c>
      <c r="C13" s="13">
        <v>34</v>
      </c>
      <c r="D13" s="13">
        <v>675</v>
      </c>
      <c r="E13" s="30">
        <v>3</v>
      </c>
      <c r="F13" s="30">
        <v>32</v>
      </c>
      <c r="G13" s="30">
        <v>3</v>
      </c>
      <c r="H13" s="29" t="s">
        <v>79</v>
      </c>
      <c r="I13" s="13">
        <v>1</v>
      </c>
      <c r="J13" s="13">
        <v>36</v>
      </c>
      <c r="K13" s="24">
        <v>413</v>
      </c>
      <c r="M13" s="333" t="s">
        <v>13</v>
      </c>
      <c r="N13" s="330">
        <v>1.41</v>
      </c>
      <c r="O13" s="330">
        <v>1.5629999999999999</v>
      </c>
      <c r="P13" s="332">
        <f t="shared" si="0"/>
        <v>48.16</v>
      </c>
      <c r="Q13" s="31"/>
      <c r="R13" s="20"/>
      <c r="S13" s="40">
        <v>2.5000000000000001E-4</v>
      </c>
      <c r="T13" s="41">
        <f t="shared" si="2"/>
        <v>26.6</v>
      </c>
      <c r="U13" s="41">
        <v>26.6</v>
      </c>
      <c r="V13" s="13">
        <v>27.1</v>
      </c>
      <c r="W13" s="42">
        <v>27.9</v>
      </c>
      <c r="X13" s="42">
        <v>28.8</v>
      </c>
      <c r="Y13" s="42">
        <v>29.7</v>
      </c>
      <c r="Z13" s="42">
        <v>30.6</v>
      </c>
      <c r="AA13" s="42">
        <v>30.8</v>
      </c>
      <c r="AB13" s="43">
        <v>31.3</v>
      </c>
      <c r="AD13" s="40">
        <f>AD14/2</f>
        <v>-5.0000000000000002E-5</v>
      </c>
      <c r="AN13" s="13" t="str">
        <v>Bent 22R</v>
      </c>
    </row>
    <row r="14" spans="1:40" ht="12.75" customHeight="1" thickBot="1" x14ac:dyDescent="0.3">
      <c r="B14" s="29" t="s">
        <v>80</v>
      </c>
      <c r="C14" s="13">
        <v>40</v>
      </c>
      <c r="D14" s="13">
        <v>720</v>
      </c>
      <c r="E14" s="30">
        <v>3</v>
      </c>
      <c r="F14" s="30">
        <v>32</v>
      </c>
      <c r="G14" s="30">
        <v>3</v>
      </c>
      <c r="H14" s="29" t="s">
        <v>81</v>
      </c>
      <c r="I14" s="13">
        <v>1</v>
      </c>
      <c r="J14" s="13">
        <v>32</v>
      </c>
      <c r="K14" s="24">
        <v>358</v>
      </c>
      <c r="M14" s="326" t="s">
        <v>2079</v>
      </c>
      <c r="N14" s="327">
        <v>1.6930000000000001</v>
      </c>
      <c r="O14" s="327">
        <v>2.25</v>
      </c>
      <c r="P14" s="328">
        <f>ROUND(MAX(12,2.4*N14*fy/SQRT(fc))*$P$15,2)</f>
        <v>57.82</v>
      </c>
      <c r="R14" s="20"/>
      <c r="S14" s="40">
        <v>5.0000000000000001E-4</v>
      </c>
      <c r="T14" s="41">
        <f t="shared" si="2"/>
        <v>30.5</v>
      </c>
      <c r="U14" s="41">
        <v>30.5</v>
      </c>
      <c r="V14" s="13">
        <v>30.8</v>
      </c>
      <c r="W14" s="42">
        <v>31.4</v>
      </c>
      <c r="X14" s="42">
        <v>32.1</v>
      </c>
      <c r="Y14" s="42">
        <v>32.700000000000003</v>
      </c>
      <c r="Z14" s="42">
        <v>32.799999999999997</v>
      </c>
      <c r="AA14" s="42">
        <v>32.299999999999997</v>
      </c>
      <c r="AB14" s="43">
        <v>32.799999999999997</v>
      </c>
      <c r="AD14" s="40">
        <v>-1E-4</v>
      </c>
      <c r="AN14" s="13" t="str">
        <v>Bent 27R, 65R</v>
      </c>
    </row>
    <row r="15" spans="1:40" ht="12.75" customHeight="1" x14ac:dyDescent="0.2">
      <c r="B15" s="29" t="s">
        <v>82</v>
      </c>
      <c r="C15" s="13">
        <v>46</v>
      </c>
      <c r="D15" s="13">
        <v>819</v>
      </c>
      <c r="E15" s="30">
        <v>3</v>
      </c>
      <c r="F15" s="30">
        <v>32</v>
      </c>
      <c r="G15" s="30">
        <v>3</v>
      </c>
      <c r="H15" s="29" t="s">
        <v>83</v>
      </c>
      <c r="I15" s="13">
        <v>1.5</v>
      </c>
      <c r="J15" s="13">
        <v>42</v>
      </c>
      <c r="K15" s="24">
        <v>577</v>
      </c>
      <c r="O15" s="13" t="s">
        <v>84</v>
      </c>
      <c r="P15" s="45">
        <v>0.45</v>
      </c>
      <c r="R15" s="20"/>
      <c r="S15" s="40">
        <v>7.5000000000000002E-4</v>
      </c>
      <c r="T15" s="41">
        <f t="shared" si="2"/>
        <v>33.700000000000003</v>
      </c>
      <c r="U15" s="41">
        <v>33.700000000000003</v>
      </c>
      <c r="V15" s="13">
        <v>34</v>
      </c>
      <c r="W15" s="42">
        <v>34.4</v>
      </c>
      <c r="X15" s="42">
        <v>34.9</v>
      </c>
      <c r="Y15" s="42">
        <v>35.200000000000003</v>
      </c>
      <c r="Z15" s="42">
        <v>34.5</v>
      </c>
      <c r="AA15" s="42">
        <v>34</v>
      </c>
      <c r="AB15" s="43">
        <v>34.299999999999997</v>
      </c>
      <c r="AD15" s="40">
        <v>-2.0000000000000001E-4</v>
      </c>
      <c r="AN15" s="13" t="str">
        <v>Bent 28R-30R, 41R, 64R, 68R-73R</v>
      </c>
    </row>
    <row r="16" spans="1:40" ht="13.5" customHeight="1" thickBot="1" x14ac:dyDescent="0.3">
      <c r="B16" s="29" t="s">
        <v>85</v>
      </c>
      <c r="C16" s="13">
        <v>54</v>
      </c>
      <c r="D16" s="13">
        <v>880</v>
      </c>
      <c r="E16" s="30">
        <v>3</v>
      </c>
      <c r="F16" s="30">
        <v>32</v>
      </c>
      <c r="G16" s="30">
        <v>3</v>
      </c>
      <c r="H16" s="325" t="s">
        <v>2085</v>
      </c>
      <c r="I16">
        <v>1</v>
      </c>
      <c r="J16">
        <v>33</v>
      </c>
      <c r="K16" s="323">
        <v>263</v>
      </c>
      <c r="R16" s="20"/>
      <c r="S16" s="40">
        <v>1E-3</v>
      </c>
      <c r="T16" s="41">
        <f t="shared" si="2"/>
        <v>36.4</v>
      </c>
      <c r="U16" s="46">
        <v>36.4</v>
      </c>
      <c r="V16" s="47">
        <v>36.700000000000003</v>
      </c>
      <c r="W16" s="48">
        <v>37</v>
      </c>
      <c r="X16" s="48">
        <v>37.299999999999997</v>
      </c>
      <c r="Y16" s="48">
        <v>36.799999999999997</v>
      </c>
      <c r="Z16" s="48">
        <v>36.1</v>
      </c>
      <c r="AA16" s="48">
        <v>35.700000000000003</v>
      </c>
      <c r="AB16" s="49">
        <v>35.799999999999997</v>
      </c>
      <c r="AD16" s="50">
        <v>-2E-3</v>
      </c>
      <c r="AN16" s="13" t="str">
        <v>Bent 40R</v>
      </c>
    </row>
    <row r="17" spans="2:40" ht="13.5" customHeight="1" thickBot="1" x14ac:dyDescent="0.3">
      <c r="B17" s="29" t="s">
        <v>86</v>
      </c>
      <c r="C17" s="13">
        <v>62</v>
      </c>
      <c r="D17" s="13">
        <v>980</v>
      </c>
      <c r="E17" s="30">
        <v>3</v>
      </c>
      <c r="F17" s="30">
        <v>32</v>
      </c>
      <c r="G17" s="30">
        <v>3</v>
      </c>
      <c r="H17" s="325" t="s">
        <v>2086</v>
      </c>
      <c r="I17">
        <v>1</v>
      </c>
      <c r="J17">
        <v>42</v>
      </c>
      <c r="K17" s="323">
        <v>343</v>
      </c>
      <c r="M17" s="13" t="s">
        <v>87</v>
      </c>
      <c r="O17" s="13" t="s">
        <v>88</v>
      </c>
      <c r="R17" s="51"/>
      <c r="S17" s="50">
        <v>0.01</v>
      </c>
      <c r="T17" s="46">
        <f t="shared" si="2"/>
        <v>36.4</v>
      </c>
      <c r="U17" s="47">
        <f>U16</f>
        <v>36.4</v>
      </c>
      <c r="V17" s="47">
        <f t="shared" ref="V17:AB17" si="3">V16</f>
        <v>36.700000000000003</v>
      </c>
      <c r="W17" s="48">
        <f t="shared" si="3"/>
        <v>37</v>
      </c>
      <c r="X17" s="48">
        <f t="shared" si="3"/>
        <v>37.299999999999997</v>
      </c>
      <c r="Y17" s="48">
        <f t="shared" si="3"/>
        <v>36.799999999999997</v>
      </c>
      <c r="Z17" s="48">
        <f t="shared" si="3"/>
        <v>36.1</v>
      </c>
      <c r="AA17" s="48">
        <f t="shared" si="3"/>
        <v>35.700000000000003</v>
      </c>
      <c r="AB17" s="49">
        <f t="shared" si="3"/>
        <v>35.799999999999997</v>
      </c>
      <c r="AN17" s="13" t="str">
        <v>Bent 46R</v>
      </c>
    </row>
    <row r="18" spans="2:40" ht="13.5" customHeight="1" thickBot="1" x14ac:dyDescent="0.25">
      <c r="B18" s="29" t="s">
        <v>89</v>
      </c>
      <c r="C18" s="13">
        <v>70</v>
      </c>
      <c r="D18" s="13">
        <v>1040</v>
      </c>
      <c r="E18" s="30">
        <v>3</v>
      </c>
      <c r="F18" s="30">
        <v>32</v>
      </c>
      <c r="G18" s="30">
        <v>3</v>
      </c>
      <c r="H18" s="29" t="s">
        <v>90</v>
      </c>
      <c r="I18" s="13">
        <v>1</v>
      </c>
      <c r="J18" s="13">
        <v>32</v>
      </c>
      <c r="K18" s="24">
        <v>270</v>
      </c>
      <c r="M18" s="13">
        <v>1</v>
      </c>
      <c r="O18" s="13" t="s">
        <v>91</v>
      </c>
      <c r="R18" s="20"/>
      <c r="AB18" s="22"/>
      <c r="AD18" s="35">
        <v>0.25</v>
      </c>
      <c r="AE18" s="33">
        <v>0.22500000000000001</v>
      </c>
      <c r="AF18" s="33">
        <v>0.2</v>
      </c>
      <c r="AG18" s="34">
        <v>0.17499999999999999</v>
      </c>
      <c r="AH18" s="33">
        <v>0.15</v>
      </c>
      <c r="AI18" s="33">
        <v>0.125</v>
      </c>
      <c r="AJ18" s="33">
        <v>0.1</v>
      </c>
      <c r="AK18" s="33">
        <v>7.4999999999999997E-2</v>
      </c>
      <c r="AL18" s="32">
        <v>0</v>
      </c>
      <c r="AN18" s="13" t="str">
        <v>Bent 47R</v>
      </c>
    </row>
    <row r="19" spans="2:40" ht="13.5" customHeight="1" x14ac:dyDescent="0.2">
      <c r="B19" s="29" t="s">
        <v>930</v>
      </c>
      <c r="C19" s="13">
        <v>54</v>
      </c>
      <c r="D19" s="13">
        <v>514</v>
      </c>
      <c r="E19" s="13">
        <f>14/12</f>
        <v>1.1666666666666667</v>
      </c>
      <c r="F19" s="13">
        <v>16</v>
      </c>
      <c r="G19" s="30">
        <f>IF(_xlfn.SINGLE(CapType)="Inverted-Tee",2,2)</f>
        <v>2</v>
      </c>
      <c r="H19" s="29" t="s">
        <v>48</v>
      </c>
      <c r="I19" s="13">
        <v>1</v>
      </c>
      <c r="J19" s="13">
        <v>32</v>
      </c>
      <c r="K19" s="24">
        <v>382</v>
      </c>
      <c r="M19" s="13">
        <v>2</v>
      </c>
      <c r="O19" s="13" t="s">
        <v>93</v>
      </c>
      <c r="R19" s="20"/>
      <c r="AB19" s="22"/>
      <c r="AN19" s="13" t="str">
        <v>Bent 24R, 44R, 59R</v>
      </c>
    </row>
    <row r="20" spans="2:40" ht="18.75" thickBot="1" x14ac:dyDescent="0.3">
      <c r="B20" s="29" t="s">
        <v>92</v>
      </c>
      <c r="H20" s="29" t="s">
        <v>94</v>
      </c>
      <c r="I20" s="13">
        <v>1</v>
      </c>
      <c r="J20" s="13">
        <v>32</v>
      </c>
      <c r="K20" s="24">
        <v>370</v>
      </c>
      <c r="M20" s="13">
        <v>3</v>
      </c>
      <c r="O20" s="13" t="s">
        <v>95</v>
      </c>
      <c r="R20" s="20"/>
      <c r="V20" s="21" t="s">
        <v>96</v>
      </c>
      <c r="AB20" s="22"/>
      <c r="AN20" s="13" t="str">
        <v>Bent 45R, 60R, 61R</v>
      </c>
    </row>
    <row r="21" spans="2:40" x14ac:dyDescent="0.2">
      <c r="B21" s="29" t="s">
        <v>92</v>
      </c>
      <c r="H21" s="29" t="s">
        <v>97</v>
      </c>
      <c r="I21" s="13">
        <v>1</v>
      </c>
      <c r="J21" s="13">
        <v>31</v>
      </c>
      <c r="K21" s="24">
        <v>20</v>
      </c>
      <c r="M21" s="13">
        <v>4</v>
      </c>
      <c r="R21" s="20"/>
      <c r="T21" s="25"/>
      <c r="U21" s="26"/>
      <c r="V21" s="26"/>
      <c r="W21" s="26"/>
      <c r="X21" s="27" t="s">
        <v>62</v>
      </c>
      <c r="Y21" s="26"/>
      <c r="Z21" s="26"/>
      <c r="AA21" s="26"/>
      <c r="AB21" s="28"/>
      <c r="AN21" s="13" t="str">
        <v>Bent 33R-36R, 49R-55R</v>
      </c>
    </row>
    <row r="22" spans="2:40" ht="13.5" thickBot="1" x14ac:dyDescent="0.25">
      <c r="B22" s="29" t="s">
        <v>92</v>
      </c>
      <c r="H22" s="29" t="s">
        <v>98</v>
      </c>
      <c r="I22" s="13">
        <v>1</v>
      </c>
      <c r="J22" s="13">
        <v>31</v>
      </c>
      <c r="K22" s="24">
        <v>13</v>
      </c>
      <c r="M22" s="13">
        <v>5</v>
      </c>
      <c r="R22" s="20"/>
      <c r="T22" s="32">
        <v>0</v>
      </c>
      <c r="U22" s="33">
        <v>7.4999999999999997E-2</v>
      </c>
      <c r="V22" s="33">
        <v>0.1</v>
      </c>
      <c r="W22" s="33">
        <v>0.125</v>
      </c>
      <c r="X22" s="34">
        <v>0.15</v>
      </c>
      <c r="Y22" s="33">
        <v>0.17499999999999999</v>
      </c>
      <c r="Z22" s="33">
        <v>0.2</v>
      </c>
      <c r="AA22" s="33">
        <v>0.22500000000000001</v>
      </c>
      <c r="AB22" s="35">
        <v>0.25</v>
      </c>
      <c r="AN22" s="13" t="str">
        <v>Bent 37R</v>
      </c>
    </row>
    <row r="23" spans="2:40" ht="13.5" thickBot="1" x14ac:dyDescent="0.25">
      <c r="B23" s="29" t="s">
        <v>92</v>
      </c>
      <c r="H23" s="29" t="s">
        <v>99</v>
      </c>
      <c r="I23" s="13">
        <v>1.5</v>
      </c>
      <c r="J23" s="13">
        <v>32</v>
      </c>
      <c r="K23" s="24">
        <v>355</v>
      </c>
      <c r="M23" s="13">
        <v>6</v>
      </c>
      <c r="R23" s="52"/>
      <c r="S23" s="36">
        <v>-2E-3</v>
      </c>
      <c r="T23" s="25">
        <f>U23</f>
        <v>6.32</v>
      </c>
      <c r="U23" s="26">
        <f>U24</f>
        <v>6.32</v>
      </c>
      <c r="V23" s="26">
        <f t="shared" ref="V23:AB23" si="4">V24</f>
        <v>3.79</v>
      </c>
      <c r="W23" s="26">
        <f t="shared" si="4"/>
        <v>3.18</v>
      </c>
      <c r="X23" s="26">
        <f t="shared" si="4"/>
        <v>2.88</v>
      </c>
      <c r="Y23" s="26">
        <f t="shared" si="4"/>
        <v>2.73</v>
      </c>
      <c r="Z23" s="26">
        <f t="shared" si="4"/>
        <v>2.63</v>
      </c>
      <c r="AA23" s="26">
        <f t="shared" si="4"/>
        <v>2.5299999999999998</v>
      </c>
      <c r="AB23" s="28">
        <f t="shared" si="4"/>
        <v>2.39</v>
      </c>
      <c r="AD23" s="53"/>
      <c r="AN23" s="13" t="str">
        <v>Bent 48R</v>
      </c>
    </row>
    <row r="24" spans="2:40" x14ac:dyDescent="0.2">
      <c r="B24" s="29" t="s">
        <v>92</v>
      </c>
      <c r="H24" s="29" t="s">
        <v>100</v>
      </c>
      <c r="I24" s="13">
        <v>1</v>
      </c>
      <c r="J24" s="13">
        <v>33</v>
      </c>
      <c r="K24" s="24">
        <v>166</v>
      </c>
      <c r="M24" s="13">
        <v>7</v>
      </c>
      <c r="R24" s="54"/>
      <c r="S24" s="40">
        <v>-2.0000000000000001E-4</v>
      </c>
      <c r="T24" s="41">
        <f t="shared" ref="T24:T33" si="5">U24</f>
        <v>6.32</v>
      </c>
      <c r="U24" s="25">
        <v>6.32</v>
      </c>
      <c r="V24" s="26">
        <v>3.79</v>
      </c>
      <c r="W24" s="26">
        <v>3.18</v>
      </c>
      <c r="X24" s="26">
        <v>2.88</v>
      </c>
      <c r="Y24" s="26">
        <v>2.73</v>
      </c>
      <c r="Z24" s="26">
        <v>2.63</v>
      </c>
      <c r="AA24" s="26">
        <v>2.5299999999999998</v>
      </c>
      <c r="AB24" s="28">
        <v>2.39</v>
      </c>
      <c r="AD24" s="53"/>
      <c r="AN24" s="13" t="str">
        <v>Bent 56R</v>
      </c>
    </row>
    <row r="25" spans="2:40" x14ac:dyDescent="0.2">
      <c r="B25" s="29" t="s">
        <v>92</v>
      </c>
      <c r="H25" s="29" t="s">
        <v>101</v>
      </c>
      <c r="I25" s="13">
        <v>1</v>
      </c>
      <c r="J25" s="13">
        <v>36</v>
      </c>
      <c r="K25" s="24">
        <v>376</v>
      </c>
      <c r="M25" s="13">
        <v>8</v>
      </c>
      <c r="O25" s="13" t="s">
        <v>102</v>
      </c>
      <c r="R25" s="54"/>
      <c r="S25" s="40">
        <v>-1E-4</v>
      </c>
      <c r="T25" s="41">
        <f t="shared" si="5"/>
        <v>4.75</v>
      </c>
      <c r="U25" s="41">
        <v>4.75</v>
      </c>
      <c r="V25" s="13">
        <v>3.38</v>
      </c>
      <c r="W25" s="13">
        <v>2.99</v>
      </c>
      <c r="X25" s="13">
        <v>2.79</v>
      </c>
      <c r="Y25" s="13">
        <v>2.66</v>
      </c>
      <c r="Z25" s="13">
        <v>2.59</v>
      </c>
      <c r="AA25" s="13">
        <v>2.4500000000000002</v>
      </c>
      <c r="AB25" s="22">
        <v>2.39</v>
      </c>
      <c r="AD25" s="53"/>
      <c r="AN25" s="13" t="str">
        <v>Bent 25R-26R, 57R, 66R</v>
      </c>
    </row>
    <row r="26" spans="2:40" x14ac:dyDescent="0.2">
      <c r="B26" s="29" t="s">
        <v>92</v>
      </c>
      <c r="H26" s="29" t="s">
        <v>103</v>
      </c>
      <c r="I26" s="13">
        <v>1</v>
      </c>
      <c r="J26" s="13">
        <v>50</v>
      </c>
      <c r="K26" s="24">
        <v>447</v>
      </c>
      <c r="M26" s="13">
        <v>9</v>
      </c>
      <c r="O26" s="13" t="s">
        <v>104</v>
      </c>
      <c r="R26" s="54"/>
      <c r="S26" s="40">
        <f>S25/2</f>
        <v>-5.0000000000000002E-5</v>
      </c>
      <c r="T26" s="41">
        <f t="shared" si="5"/>
        <v>4.0999999999999996</v>
      </c>
      <c r="U26" s="41">
        <v>4.0999999999999996</v>
      </c>
      <c r="V26" s="13">
        <v>3.24</v>
      </c>
      <c r="W26" s="13">
        <v>2.94</v>
      </c>
      <c r="X26" s="13">
        <v>2.78</v>
      </c>
      <c r="Y26" s="13">
        <v>2.65</v>
      </c>
      <c r="Z26" s="13">
        <v>2.52</v>
      </c>
      <c r="AA26" s="13">
        <v>2.42</v>
      </c>
      <c r="AB26" s="22">
        <v>2.33</v>
      </c>
      <c r="AD26" s="53"/>
      <c r="AN26" s="13" t="str">
        <v>Bent 31R, 63R</v>
      </c>
    </row>
    <row r="27" spans="2:40" x14ac:dyDescent="0.2">
      <c r="B27" s="29" t="s">
        <v>92</v>
      </c>
      <c r="H27" s="29" t="s">
        <v>105</v>
      </c>
      <c r="I27" s="13">
        <v>1</v>
      </c>
      <c r="J27" s="13">
        <v>42</v>
      </c>
      <c r="K27" s="24">
        <v>533</v>
      </c>
      <c r="M27" s="13">
        <v>10</v>
      </c>
      <c r="O27" s="13" t="s">
        <v>11</v>
      </c>
      <c r="R27" s="346" t="s">
        <v>75</v>
      </c>
      <c r="S27" s="44">
        <v>0</v>
      </c>
      <c r="T27" s="41">
        <f t="shared" si="5"/>
        <v>3.75</v>
      </c>
      <c r="U27" s="41">
        <v>3.75</v>
      </c>
      <c r="V27" s="13">
        <v>3.14</v>
      </c>
      <c r="W27" s="13">
        <v>2.87</v>
      </c>
      <c r="X27" s="13">
        <v>2.72</v>
      </c>
      <c r="Y27" s="13">
        <v>2.6</v>
      </c>
      <c r="Z27" s="13">
        <v>2.5099999999999998</v>
      </c>
      <c r="AA27" s="13">
        <v>2.4</v>
      </c>
      <c r="AB27" s="22">
        <v>2.33</v>
      </c>
      <c r="AD27" s="53"/>
      <c r="AN27" s="13" t="str">
        <v>Bent 38R, 42R, 67R</v>
      </c>
    </row>
    <row r="28" spans="2:40" x14ac:dyDescent="0.2">
      <c r="B28" s="29" t="s">
        <v>92</v>
      </c>
      <c r="H28" s="29" t="s">
        <v>106</v>
      </c>
      <c r="I28" s="13">
        <v>1</v>
      </c>
      <c r="J28" s="13">
        <v>42</v>
      </c>
      <c r="K28" s="24">
        <v>205</v>
      </c>
      <c r="M28" s="13">
        <v>11</v>
      </c>
      <c r="R28" s="346"/>
      <c r="S28" s="40">
        <v>1.25E-4</v>
      </c>
      <c r="T28" s="41">
        <f t="shared" si="5"/>
        <v>3.24</v>
      </c>
      <c r="U28" s="41">
        <v>3.24</v>
      </c>
      <c r="V28" s="13">
        <v>2.91</v>
      </c>
      <c r="W28" s="13">
        <v>2.74</v>
      </c>
      <c r="X28" s="13">
        <v>2.6</v>
      </c>
      <c r="Y28" s="13">
        <v>2.52</v>
      </c>
      <c r="Z28" s="13">
        <v>2.4300000000000002</v>
      </c>
      <c r="AA28" s="13">
        <v>2.34</v>
      </c>
      <c r="AB28" s="22">
        <v>2.12</v>
      </c>
      <c r="AD28" s="53"/>
      <c r="AN28" s="13" t="str">
        <v>Bent 39R</v>
      </c>
    </row>
    <row r="29" spans="2:40" x14ac:dyDescent="0.2">
      <c r="B29" s="29" t="s">
        <v>92</v>
      </c>
      <c r="H29" s="29" t="s">
        <v>107</v>
      </c>
      <c r="I29" s="13">
        <v>1</v>
      </c>
      <c r="J29" s="13">
        <v>42</v>
      </c>
      <c r="K29" s="24">
        <v>203</v>
      </c>
      <c r="M29" s="13">
        <v>12</v>
      </c>
      <c r="R29" s="54"/>
      <c r="S29" s="40">
        <v>2.5000000000000001E-4</v>
      </c>
      <c r="T29" s="41">
        <f t="shared" si="5"/>
        <v>2.94</v>
      </c>
      <c r="U29" s="41">
        <v>2.94</v>
      </c>
      <c r="V29" s="13">
        <v>2.75</v>
      </c>
      <c r="W29" s="13">
        <v>2.62</v>
      </c>
      <c r="X29" s="13">
        <v>2.52</v>
      </c>
      <c r="Y29" s="13">
        <v>2.44</v>
      </c>
      <c r="Z29" s="13">
        <v>2.37</v>
      </c>
      <c r="AA29" s="13">
        <v>2.14</v>
      </c>
      <c r="AB29" s="22">
        <v>1.93</v>
      </c>
      <c r="AN29" s="13" t="str">
        <v>Bent 62R</v>
      </c>
    </row>
    <row r="30" spans="2:40" x14ac:dyDescent="0.2">
      <c r="B30" s="29" t="s">
        <v>92</v>
      </c>
      <c r="H30" s="29" t="s">
        <v>108</v>
      </c>
      <c r="I30" s="13">
        <v>1</v>
      </c>
      <c r="J30" s="13">
        <v>42</v>
      </c>
      <c r="K30" s="24">
        <v>380</v>
      </c>
      <c r="M30" s="13">
        <v>13</v>
      </c>
      <c r="R30" s="54"/>
      <c r="S30" s="40">
        <v>5.0000000000000001E-4</v>
      </c>
      <c r="T30" s="41">
        <f t="shared" si="5"/>
        <v>2.59</v>
      </c>
      <c r="U30" s="41">
        <v>2.59</v>
      </c>
      <c r="V30" s="13">
        <v>2.5</v>
      </c>
      <c r="W30" s="13">
        <v>2.42</v>
      </c>
      <c r="X30" s="13">
        <v>2.36</v>
      </c>
      <c r="Y30" s="13">
        <v>2.2799999999999998</v>
      </c>
      <c r="Z30" s="13">
        <v>2.14</v>
      </c>
      <c r="AA30" s="13">
        <v>1.86</v>
      </c>
      <c r="AB30" s="22">
        <v>1.7</v>
      </c>
      <c r="AD30" s="53"/>
      <c r="AN30" s="13" t="str">
        <v>Bent 32R</v>
      </c>
    </row>
    <row r="31" spans="2:40" x14ac:dyDescent="0.2">
      <c r="B31" s="29" t="s">
        <v>92</v>
      </c>
      <c r="H31" s="29" t="s">
        <v>109</v>
      </c>
      <c r="I31" s="13">
        <v>1</v>
      </c>
      <c r="J31" s="13">
        <v>42</v>
      </c>
      <c r="K31" s="24">
        <v>370</v>
      </c>
      <c r="M31" s="13">
        <v>14</v>
      </c>
      <c r="R31" s="54"/>
      <c r="S31" s="40">
        <v>7.5000000000000002E-4</v>
      </c>
      <c r="T31" s="41">
        <f t="shared" si="5"/>
        <v>2.38</v>
      </c>
      <c r="U31" s="41">
        <v>2.38</v>
      </c>
      <c r="V31" s="13">
        <v>2.3199999999999998</v>
      </c>
      <c r="W31" s="13">
        <v>2.2599999999999998</v>
      </c>
      <c r="X31" s="13">
        <v>2.21</v>
      </c>
      <c r="Y31" s="13">
        <v>2.14</v>
      </c>
      <c r="Z31" s="13">
        <v>1.94</v>
      </c>
      <c r="AA31" s="13">
        <v>1.73</v>
      </c>
      <c r="AB31" s="22">
        <v>1.58</v>
      </c>
      <c r="AD31" s="53"/>
      <c r="AN31" s="13" t="str">
        <v>Bent 74R</v>
      </c>
    </row>
    <row r="32" spans="2:40" ht="13.5" thickBot="1" x14ac:dyDescent="0.25">
      <c r="B32" s="29" t="s">
        <v>92</v>
      </c>
      <c r="H32" s="29" t="s">
        <v>110</v>
      </c>
      <c r="I32" s="13">
        <v>1</v>
      </c>
      <c r="J32" s="13">
        <v>42</v>
      </c>
      <c r="K32" s="24">
        <v>347</v>
      </c>
      <c r="M32" s="13">
        <v>15</v>
      </c>
      <c r="R32" s="54"/>
      <c r="S32" s="40">
        <v>1E-3</v>
      </c>
      <c r="T32" s="41">
        <f t="shared" si="5"/>
        <v>2.23</v>
      </c>
      <c r="U32" s="46">
        <v>2.23</v>
      </c>
      <c r="V32" s="47">
        <v>2.1800000000000002</v>
      </c>
      <c r="W32" s="47">
        <v>2.13</v>
      </c>
      <c r="X32" s="47">
        <v>2.08</v>
      </c>
      <c r="Y32" s="47">
        <v>1.96</v>
      </c>
      <c r="Z32" s="47">
        <v>1.79</v>
      </c>
      <c r="AA32" s="47">
        <v>1.64</v>
      </c>
      <c r="AB32" s="55">
        <v>1.5</v>
      </c>
      <c r="AD32" s="53"/>
      <c r="AN32" s="13" t="str">
        <v>Bent 80R-81R</v>
      </c>
    </row>
    <row r="33" spans="2:40" ht="13.5" thickBot="1" x14ac:dyDescent="0.25">
      <c r="B33" s="29" t="s">
        <v>92</v>
      </c>
      <c r="H33" s="29" t="s">
        <v>111</v>
      </c>
      <c r="I33" s="13">
        <v>1</v>
      </c>
      <c r="J33" s="13">
        <v>42</v>
      </c>
      <c r="K33" s="24">
        <v>350</v>
      </c>
      <c r="M33" s="13">
        <v>16</v>
      </c>
      <c r="R33" s="56"/>
      <c r="S33" s="50">
        <v>0.01</v>
      </c>
      <c r="T33" s="46">
        <f t="shared" si="5"/>
        <v>2.23</v>
      </c>
      <c r="U33" s="47">
        <f>U32</f>
        <v>2.23</v>
      </c>
      <c r="V33" s="47">
        <f t="shared" ref="V33:AB33" si="6">V32</f>
        <v>2.1800000000000002</v>
      </c>
      <c r="W33" s="47">
        <f t="shared" si="6"/>
        <v>2.13</v>
      </c>
      <c r="X33" s="47">
        <f t="shared" si="6"/>
        <v>2.08</v>
      </c>
      <c r="Y33" s="47">
        <f t="shared" si="6"/>
        <v>1.96</v>
      </c>
      <c r="Z33" s="47">
        <f t="shared" si="6"/>
        <v>1.79</v>
      </c>
      <c r="AA33" s="47">
        <f t="shared" si="6"/>
        <v>1.64</v>
      </c>
      <c r="AB33" s="55">
        <f t="shared" si="6"/>
        <v>1.5</v>
      </c>
      <c r="AD33" s="53"/>
      <c r="AN33" s="13" t="str">
        <v>Bent 75R</v>
      </c>
    </row>
    <row r="34" spans="2:40" ht="13.5" thickBot="1" x14ac:dyDescent="0.25">
      <c r="B34" s="29" t="s">
        <v>92</v>
      </c>
      <c r="H34" s="29" t="s">
        <v>112</v>
      </c>
      <c r="I34" s="13">
        <v>1.5</v>
      </c>
      <c r="J34" s="13">
        <v>42</v>
      </c>
      <c r="K34" s="24">
        <v>560</v>
      </c>
      <c r="M34" s="13">
        <v>17</v>
      </c>
      <c r="R34" s="57"/>
      <c r="S34" s="58"/>
      <c r="T34" s="58"/>
      <c r="U34" s="58"/>
      <c r="V34" s="58"/>
      <c r="W34" s="58"/>
      <c r="X34" s="58"/>
      <c r="Y34" s="58"/>
      <c r="Z34" s="58"/>
      <c r="AA34" s="58"/>
      <c r="AB34" s="59"/>
      <c r="AN34" s="13" t="str">
        <v>Bent 76R</v>
      </c>
    </row>
    <row r="35" spans="2:40" ht="13.5" thickTop="1" x14ac:dyDescent="0.2">
      <c r="B35" s="29" t="s">
        <v>92</v>
      </c>
      <c r="H35" s="29" t="s">
        <v>113</v>
      </c>
      <c r="I35" s="13">
        <v>1.5</v>
      </c>
      <c r="J35" s="13">
        <v>42</v>
      </c>
      <c r="K35" s="24">
        <v>366</v>
      </c>
      <c r="M35" s="13">
        <v>18</v>
      </c>
      <c r="AN35" s="13" t="str">
        <v>Bent 77R</v>
      </c>
    </row>
    <row r="36" spans="2:40" x14ac:dyDescent="0.2">
      <c r="B36" s="29" t="s">
        <v>92</v>
      </c>
      <c r="H36" s="29" t="s">
        <v>114</v>
      </c>
      <c r="I36" s="13">
        <v>1</v>
      </c>
      <c r="J36" s="13">
        <v>42</v>
      </c>
      <c r="K36" s="24">
        <v>30</v>
      </c>
      <c r="M36" s="13">
        <v>19</v>
      </c>
    </row>
    <row r="37" spans="2:40" x14ac:dyDescent="0.2">
      <c r="B37" s="29" t="s">
        <v>92</v>
      </c>
      <c r="H37" s="29" t="s">
        <v>115</v>
      </c>
      <c r="I37" s="13">
        <v>1</v>
      </c>
      <c r="J37" s="13">
        <v>42</v>
      </c>
      <c r="K37" s="24">
        <v>125</v>
      </c>
      <c r="M37" s="13">
        <v>20</v>
      </c>
    </row>
    <row r="38" spans="2:40" x14ac:dyDescent="0.2">
      <c r="B38" s="29" t="s">
        <v>92</v>
      </c>
      <c r="H38" s="29" t="s">
        <v>116</v>
      </c>
      <c r="I38" s="13">
        <v>1</v>
      </c>
      <c r="J38" s="13">
        <v>42</v>
      </c>
      <c r="K38" s="24">
        <v>146</v>
      </c>
    </row>
    <row r="39" spans="2:40" x14ac:dyDescent="0.2">
      <c r="B39" s="29" t="s">
        <v>92</v>
      </c>
      <c r="H39" s="29" t="s">
        <v>117</v>
      </c>
      <c r="I39" s="13">
        <v>1</v>
      </c>
      <c r="J39" s="13">
        <v>48</v>
      </c>
      <c r="K39" s="24">
        <v>158</v>
      </c>
    </row>
    <row r="40" spans="2:40" x14ac:dyDescent="0.2">
      <c r="B40" s="29" t="s">
        <v>92</v>
      </c>
      <c r="H40" s="29" t="s">
        <v>118</v>
      </c>
      <c r="I40" s="13">
        <v>1</v>
      </c>
      <c r="J40" s="13">
        <v>27</v>
      </c>
      <c r="K40" s="24">
        <v>39</v>
      </c>
    </row>
    <row r="41" spans="2:40" x14ac:dyDescent="0.2">
      <c r="B41" s="29" t="s">
        <v>92</v>
      </c>
      <c r="H41" s="29" t="s">
        <v>119</v>
      </c>
      <c r="I41" s="13">
        <v>1</v>
      </c>
      <c r="J41" s="13">
        <v>27</v>
      </c>
      <c r="K41" s="24">
        <v>250</v>
      </c>
      <c r="M41" s="12" t="s">
        <v>120</v>
      </c>
    </row>
    <row r="42" spans="2:40" ht="12.75" customHeight="1" x14ac:dyDescent="0.2">
      <c r="B42" s="29" t="s">
        <v>92</v>
      </c>
      <c r="H42" s="29" t="s">
        <v>121</v>
      </c>
      <c r="I42" s="13">
        <v>1</v>
      </c>
      <c r="J42" s="13">
        <v>32</v>
      </c>
      <c r="K42" s="24">
        <v>376</v>
      </c>
      <c r="M42" s="357" t="s">
        <v>122</v>
      </c>
      <c r="N42" s="358" t="s">
        <v>123</v>
      </c>
      <c r="O42" s="358" t="s">
        <v>124</v>
      </c>
      <c r="P42" s="358" t="s">
        <v>125</v>
      </c>
      <c r="Q42" s="358" t="s">
        <v>126</v>
      </c>
      <c r="R42" s="358" t="s">
        <v>127</v>
      </c>
      <c r="S42" s="358" t="s">
        <v>128</v>
      </c>
      <c r="T42" s="358" t="s">
        <v>129</v>
      </c>
      <c r="U42" s="357" t="s">
        <v>130</v>
      </c>
      <c r="V42" s="358" t="s">
        <v>131</v>
      </c>
      <c r="W42" s="356" t="s">
        <v>132</v>
      </c>
      <c r="X42" s="356" t="s">
        <v>133</v>
      </c>
    </row>
    <row r="43" spans="2:40" x14ac:dyDescent="0.2">
      <c r="B43" s="29" t="s">
        <v>92</v>
      </c>
      <c r="H43" s="29" t="s">
        <v>134</v>
      </c>
      <c r="I43" s="13">
        <v>1</v>
      </c>
      <c r="J43" s="13">
        <v>32</v>
      </c>
      <c r="K43" s="24">
        <v>313</v>
      </c>
      <c r="M43" s="357"/>
      <c r="N43" s="359"/>
      <c r="O43" s="359"/>
      <c r="P43" s="359"/>
      <c r="Q43" s="359"/>
      <c r="R43" s="359"/>
      <c r="S43" s="359"/>
      <c r="T43" s="359"/>
      <c r="U43" s="357"/>
      <c r="V43" s="359"/>
      <c r="W43" s="356"/>
      <c r="X43" s="356"/>
    </row>
    <row r="44" spans="2:40" x14ac:dyDescent="0.2">
      <c r="B44" s="29" t="s">
        <v>92</v>
      </c>
      <c r="H44" s="29" t="s">
        <v>135</v>
      </c>
      <c r="I44" s="13">
        <v>1</v>
      </c>
      <c r="J44" s="13">
        <v>32</v>
      </c>
      <c r="K44" s="24">
        <v>326</v>
      </c>
      <c r="M44" s="60" t="s">
        <v>92</v>
      </c>
      <c r="N44" s="60">
        <v>0</v>
      </c>
      <c r="O44" s="60">
        <v>0</v>
      </c>
      <c r="P44" s="60">
        <v>0</v>
      </c>
      <c r="Q44" s="60">
        <v>0</v>
      </c>
      <c r="R44" s="60">
        <v>0</v>
      </c>
      <c r="S44" s="60">
        <v>0</v>
      </c>
      <c r="T44" s="60">
        <v>0</v>
      </c>
      <c r="U44" s="60">
        <v>0</v>
      </c>
      <c r="V44" s="60">
        <v>0</v>
      </c>
      <c r="W44" s="61">
        <v>0</v>
      </c>
      <c r="X44" s="61">
        <v>0</v>
      </c>
    </row>
    <row r="45" spans="2:40" x14ac:dyDescent="0.2">
      <c r="B45" s="29" t="s">
        <v>92</v>
      </c>
      <c r="H45" s="29" t="s">
        <v>136</v>
      </c>
      <c r="I45" s="13">
        <v>1</v>
      </c>
      <c r="J45" s="13">
        <v>32</v>
      </c>
      <c r="K45" s="24">
        <v>326</v>
      </c>
      <c r="M45" s="60" t="s">
        <v>92</v>
      </c>
      <c r="N45" s="60">
        <v>0</v>
      </c>
      <c r="O45" s="60">
        <v>0</v>
      </c>
      <c r="P45" s="60">
        <v>0</v>
      </c>
      <c r="Q45" s="60">
        <v>0</v>
      </c>
      <c r="R45" s="60">
        <v>0</v>
      </c>
      <c r="S45" s="60">
        <v>0</v>
      </c>
      <c r="T45" s="60">
        <v>0</v>
      </c>
      <c r="U45" s="60">
        <v>0</v>
      </c>
      <c r="V45" s="60">
        <v>0</v>
      </c>
      <c r="W45" s="61">
        <v>0</v>
      </c>
      <c r="X45" s="61">
        <v>0</v>
      </c>
    </row>
    <row r="46" spans="2:40" x14ac:dyDescent="0.2">
      <c r="H46" s="29" t="s">
        <v>137</v>
      </c>
      <c r="I46" s="13">
        <v>1</v>
      </c>
      <c r="J46" s="13">
        <v>27.125</v>
      </c>
      <c r="K46" s="24">
        <v>23</v>
      </c>
      <c r="M46" s="60" t="s">
        <v>92</v>
      </c>
      <c r="N46" s="60">
        <v>0</v>
      </c>
      <c r="O46" s="60">
        <v>0</v>
      </c>
      <c r="P46" s="60">
        <v>0</v>
      </c>
      <c r="Q46" s="60">
        <v>0</v>
      </c>
      <c r="R46" s="60">
        <v>0</v>
      </c>
      <c r="S46" s="60">
        <v>0</v>
      </c>
      <c r="T46" s="60">
        <v>0</v>
      </c>
      <c r="U46" s="60">
        <v>0</v>
      </c>
      <c r="V46" s="60">
        <v>0</v>
      </c>
      <c r="W46" s="61">
        <v>0</v>
      </c>
      <c r="X46" s="61">
        <v>0</v>
      </c>
    </row>
    <row r="47" spans="2:40" x14ac:dyDescent="0.2">
      <c r="H47" s="29" t="s">
        <v>138</v>
      </c>
      <c r="I47" s="13">
        <v>1</v>
      </c>
      <c r="J47" s="13">
        <v>50</v>
      </c>
      <c r="K47" s="24">
        <v>456</v>
      </c>
      <c r="M47" s="60" t="s">
        <v>92</v>
      </c>
      <c r="N47" s="60">
        <v>0</v>
      </c>
      <c r="O47" s="60">
        <v>0</v>
      </c>
      <c r="P47" s="60">
        <v>0</v>
      </c>
      <c r="Q47" s="60">
        <v>0</v>
      </c>
      <c r="R47" s="60">
        <v>0</v>
      </c>
      <c r="S47" s="60">
        <v>0</v>
      </c>
      <c r="T47" s="60">
        <v>0</v>
      </c>
      <c r="U47" s="60">
        <v>0</v>
      </c>
      <c r="V47" s="60">
        <v>0</v>
      </c>
      <c r="W47" s="61">
        <v>0</v>
      </c>
      <c r="X47" s="61">
        <v>0</v>
      </c>
    </row>
    <row r="48" spans="2:40" x14ac:dyDescent="0.2">
      <c r="H48" s="29" t="s">
        <v>139</v>
      </c>
      <c r="I48" s="13">
        <v>1</v>
      </c>
      <c r="J48" s="13">
        <v>42</v>
      </c>
      <c r="K48" s="24">
        <v>262</v>
      </c>
      <c r="M48" s="60" t="s">
        <v>92</v>
      </c>
      <c r="N48" s="60">
        <v>0</v>
      </c>
      <c r="O48" s="60">
        <v>0</v>
      </c>
      <c r="P48" s="60">
        <v>0</v>
      </c>
      <c r="Q48" s="60">
        <v>0</v>
      </c>
      <c r="R48" s="60">
        <v>0</v>
      </c>
      <c r="S48" s="60">
        <v>0</v>
      </c>
      <c r="T48" s="60">
        <v>0</v>
      </c>
      <c r="U48" s="60">
        <v>0</v>
      </c>
      <c r="V48" s="60">
        <v>0</v>
      </c>
      <c r="W48" s="61">
        <v>0</v>
      </c>
      <c r="X48" s="61">
        <v>0</v>
      </c>
    </row>
    <row r="49" spans="8:24" x14ac:dyDescent="0.2">
      <c r="H49" s="29" t="s">
        <v>140</v>
      </c>
      <c r="I49" s="13">
        <v>1</v>
      </c>
      <c r="J49" s="13">
        <v>42</v>
      </c>
      <c r="K49" s="24">
        <v>336</v>
      </c>
      <c r="M49" s="60" t="s">
        <v>92</v>
      </c>
      <c r="N49" s="60">
        <v>0</v>
      </c>
      <c r="O49" s="60">
        <v>0</v>
      </c>
      <c r="P49" s="60">
        <v>0</v>
      </c>
      <c r="Q49" s="60">
        <v>0</v>
      </c>
      <c r="R49" s="60">
        <v>0</v>
      </c>
      <c r="S49" s="60">
        <v>0</v>
      </c>
      <c r="T49" s="60">
        <v>0</v>
      </c>
      <c r="U49" s="60">
        <v>0</v>
      </c>
      <c r="V49" s="60">
        <v>0</v>
      </c>
      <c r="W49" s="61">
        <v>0</v>
      </c>
      <c r="X49" s="61">
        <v>0</v>
      </c>
    </row>
    <row r="50" spans="8:24" x14ac:dyDescent="0.2">
      <c r="H50" s="29" t="s">
        <v>141</v>
      </c>
      <c r="I50" s="13">
        <v>1</v>
      </c>
      <c r="J50" s="13">
        <v>42</v>
      </c>
      <c r="K50" s="24">
        <v>323</v>
      </c>
      <c r="M50" s="60" t="s">
        <v>92</v>
      </c>
      <c r="N50" s="60">
        <v>0</v>
      </c>
      <c r="O50" s="60">
        <v>0</v>
      </c>
      <c r="P50" s="60">
        <v>0</v>
      </c>
      <c r="Q50" s="60">
        <v>0</v>
      </c>
      <c r="R50" s="60">
        <v>0</v>
      </c>
      <c r="S50" s="60">
        <v>0</v>
      </c>
      <c r="T50" s="60">
        <v>0</v>
      </c>
      <c r="U50" s="60">
        <v>0</v>
      </c>
      <c r="V50" s="60">
        <v>0</v>
      </c>
      <c r="W50" s="61">
        <v>0</v>
      </c>
      <c r="X50" s="61">
        <v>0</v>
      </c>
    </row>
    <row r="51" spans="8:24" x14ac:dyDescent="0.2">
      <c r="H51" s="29" t="s">
        <v>142</v>
      </c>
      <c r="I51" s="13">
        <v>1</v>
      </c>
      <c r="J51" s="13">
        <v>60</v>
      </c>
      <c r="K51" s="24">
        <v>180</v>
      </c>
      <c r="M51" s="60" t="s">
        <v>92</v>
      </c>
      <c r="N51" s="60">
        <v>0</v>
      </c>
      <c r="O51" s="60">
        <v>0</v>
      </c>
      <c r="P51" s="60">
        <v>0</v>
      </c>
      <c r="Q51" s="60">
        <v>0</v>
      </c>
      <c r="R51" s="60">
        <v>0</v>
      </c>
      <c r="S51" s="60">
        <v>0</v>
      </c>
      <c r="T51" s="60">
        <v>0</v>
      </c>
      <c r="U51" s="60">
        <v>0</v>
      </c>
      <c r="V51" s="60">
        <v>0</v>
      </c>
      <c r="W51" s="61">
        <v>0</v>
      </c>
      <c r="X51" s="61">
        <v>0</v>
      </c>
    </row>
    <row r="52" spans="8:24" x14ac:dyDescent="0.2">
      <c r="H52" s="29" t="s">
        <v>143</v>
      </c>
      <c r="I52" s="13">
        <v>1</v>
      </c>
      <c r="J52" s="13">
        <v>36</v>
      </c>
      <c r="K52" s="24">
        <v>452</v>
      </c>
      <c r="M52" s="60" t="s">
        <v>92</v>
      </c>
      <c r="N52" s="60">
        <v>0</v>
      </c>
      <c r="O52" s="60">
        <v>0</v>
      </c>
      <c r="P52" s="60">
        <v>0</v>
      </c>
      <c r="Q52" s="60">
        <v>0</v>
      </c>
      <c r="R52" s="60">
        <v>0</v>
      </c>
      <c r="S52" s="60">
        <v>0</v>
      </c>
      <c r="T52" s="60">
        <v>0</v>
      </c>
      <c r="U52" s="60">
        <v>0</v>
      </c>
      <c r="V52" s="60">
        <v>0</v>
      </c>
      <c r="W52" s="61">
        <v>0</v>
      </c>
      <c r="X52" s="61">
        <v>0</v>
      </c>
    </row>
    <row r="53" spans="8:24" x14ac:dyDescent="0.2">
      <c r="M53" s="60" t="s">
        <v>92</v>
      </c>
      <c r="N53" s="60">
        <v>0</v>
      </c>
      <c r="O53" s="60">
        <v>0</v>
      </c>
      <c r="P53" s="60">
        <v>0</v>
      </c>
      <c r="Q53" s="60">
        <v>0</v>
      </c>
      <c r="R53" s="60">
        <v>0</v>
      </c>
      <c r="S53" s="60">
        <v>0</v>
      </c>
      <c r="T53" s="60">
        <v>0</v>
      </c>
      <c r="U53" s="60">
        <v>0</v>
      </c>
      <c r="V53" s="60">
        <v>0</v>
      </c>
      <c r="W53" s="61">
        <v>0</v>
      </c>
      <c r="X53" s="61">
        <v>0</v>
      </c>
    </row>
    <row r="54" spans="8:24" x14ac:dyDescent="0.2">
      <c r="L54" s="62" t="s">
        <v>144</v>
      </c>
      <c r="M54" s="60" t="s">
        <v>145</v>
      </c>
      <c r="N54" s="60">
        <v>60</v>
      </c>
      <c r="O54" s="60">
        <v>60</v>
      </c>
      <c r="P54" s="60">
        <v>60</v>
      </c>
      <c r="Q54" s="60">
        <v>60</v>
      </c>
      <c r="R54" s="60">
        <v>0</v>
      </c>
      <c r="S54" s="63">
        <v>0</v>
      </c>
      <c r="T54" s="60">
        <v>3600</v>
      </c>
      <c r="U54" s="60">
        <v>819541</v>
      </c>
      <c r="V54" s="60">
        <v>819541</v>
      </c>
      <c r="W54" s="61">
        <v>0</v>
      </c>
      <c r="X54" s="61">
        <v>0</v>
      </c>
    </row>
    <row r="55" spans="8:24" x14ac:dyDescent="0.2">
      <c r="L55" s="62" t="s">
        <v>144</v>
      </c>
      <c r="M55" s="60" t="s">
        <v>146</v>
      </c>
      <c r="N55" s="60">
        <v>138</v>
      </c>
      <c r="O55" s="60">
        <v>60</v>
      </c>
      <c r="P55" s="60">
        <v>138</v>
      </c>
      <c r="Q55" s="60">
        <v>60</v>
      </c>
      <c r="R55" s="60">
        <v>0</v>
      </c>
      <c r="S55" s="63">
        <v>0</v>
      </c>
      <c r="T55" s="60">
        <v>7200</v>
      </c>
      <c r="U55" s="60">
        <v>1639082</v>
      </c>
      <c r="V55" s="60">
        <v>1639082</v>
      </c>
      <c r="W55" s="61">
        <v>3.25</v>
      </c>
      <c r="X55" s="61">
        <v>0</v>
      </c>
    </row>
    <row r="57" spans="8:24" x14ac:dyDescent="0.2">
      <c r="N57" s="13" t="s">
        <v>147</v>
      </c>
    </row>
    <row r="58" spans="8:24" x14ac:dyDescent="0.2">
      <c r="N58" s="13" t="s">
        <v>148</v>
      </c>
    </row>
  </sheetData>
  <mergeCells count="18">
    <mergeCell ref="X42:X43"/>
    <mergeCell ref="M42:M43"/>
    <mergeCell ref="N42:N43"/>
    <mergeCell ref="O42:O43"/>
    <mergeCell ref="P42:P43"/>
    <mergeCell ref="Q42:Q43"/>
    <mergeCell ref="R42:R43"/>
    <mergeCell ref="S42:S43"/>
    <mergeCell ref="T42:T43"/>
    <mergeCell ref="U42:U43"/>
    <mergeCell ref="V42:V43"/>
    <mergeCell ref="W42:W43"/>
    <mergeCell ref="R27:R28"/>
    <mergeCell ref="R3:AB3"/>
    <mergeCell ref="B4:E4"/>
    <mergeCell ref="H4:K4"/>
    <mergeCell ref="M4:P4"/>
    <mergeCell ref="R11:R12"/>
  </mergeCells>
  <pageMargins left="0.75" right="0.75" top="1" bottom="1" header="0.5" footer="0.5"/>
  <pageSetup scale="22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72E1-135C-4FF4-A06A-B0B3EEE30F3E}">
  <sheetPr codeName="Sheet5">
    <tabColor theme="4" tint="0.79998168889431442"/>
  </sheetPr>
  <dimension ref="B4:AR225"/>
  <sheetViews>
    <sheetView workbookViewId="0"/>
  </sheetViews>
  <sheetFormatPr defaultRowHeight="15" x14ac:dyDescent="0.25"/>
  <cols>
    <col min="2" max="11" width="15.7109375" customWidth="1"/>
    <col min="12" max="12" width="10.42578125" customWidth="1"/>
    <col min="25" max="25" width="12.28515625" customWidth="1"/>
    <col min="26" max="26" width="13.28515625" customWidth="1"/>
    <col min="37" max="37" width="11" customWidth="1"/>
  </cols>
  <sheetData>
    <row r="4" spans="2:21" ht="33.75" customHeight="1" x14ac:dyDescent="0.25">
      <c r="B4" s="117" t="s">
        <v>746</v>
      </c>
      <c r="C4" s="118" t="s">
        <v>747</v>
      </c>
      <c r="D4" s="118" t="s">
        <v>748</v>
      </c>
      <c r="E4" s="118" t="s">
        <v>749</v>
      </c>
      <c r="F4" s="118" t="s">
        <v>750</v>
      </c>
      <c r="G4" s="118" t="s">
        <v>751</v>
      </c>
      <c r="H4" s="118" t="s">
        <v>752</v>
      </c>
      <c r="I4" s="118" t="s">
        <v>753</v>
      </c>
      <c r="J4" s="118" t="s">
        <v>775</v>
      </c>
      <c r="K4" s="118" t="s">
        <v>776</v>
      </c>
      <c r="S4" s="120" t="s">
        <v>794</v>
      </c>
      <c r="T4" s="120" t="s">
        <v>795</v>
      </c>
      <c r="U4" s="120" t="s">
        <v>796</v>
      </c>
    </row>
    <row r="5" spans="2:21" ht="15" customHeight="1" x14ac:dyDescent="0.25">
      <c r="B5" s="117" t="s">
        <v>70</v>
      </c>
      <c r="C5" s="126">
        <v>7.5</v>
      </c>
      <c r="D5" s="126">
        <f>3+4/12</f>
        <v>3.3333333333333335</v>
      </c>
      <c r="E5" s="94">
        <f>(1+3.75/12)*2</f>
        <v>2.625</v>
      </c>
      <c r="F5" s="94">
        <f>5.875/12</f>
        <v>0.48958333333333331</v>
      </c>
      <c r="G5" s="94">
        <f>5/12</f>
        <v>0.41666666666666669</v>
      </c>
      <c r="H5" s="94">
        <f>4+7/12</f>
        <v>4.583333333333333</v>
      </c>
      <c r="I5" s="94">
        <f>8.25/12</f>
        <v>0.6875</v>
      </c>
      <c r="J5" s="94">
        <f>0.875/12</f>
        <v>7.2916666666666671E-2</v>
      </c>
      <c r="K5" s="94" t="s">
        <v>777</v>
      </c>
      <c r="S5" t="str" cm="1">
        <f t="array" ref="S5:S11">_xlfn._xlws.FILTER(Table13[Girder Type],IFERROR(SEARCH("Tx",Table13[Girder Type])=1,0))</f>
        <v>Tx28</v>
      </c>
      <c r="T5" t="str" cm="1">
        <f t="array" ref="T5:T6">_xlfn._xlws.FILTER(Table13[Girder Type],IFERROR(SEARCH("U",Table13[Girder Type])=1,0))</f>
        <v>U-40</v>
      </c>
      <c r="U5" t="str" cm="1">
        <f t="array" ref="U5:U9">B14:B18</f>
        <v>IV</v>
      </c>
    </row>
    <row r="6" spans="2:21" x14ac:dyDescent="0.25">
      <c r="B6" t="s">
        <v>73</v>
      </c>
      <c r="C6" s="94">
        <v>8</v>
      </c>
      <c r="D6" s="94">
        <f>54/12</f>
        <v>4.5</v>
      </c>
      <c r="E6" s="94">
        <f>(1+3.75/12)*2</f>
        <v>2.625</v>
      </c>
      <c r="F6" s="94">
        <f>5.875/12</f>
        <v>0.48958333333333331</v>
      </c>
      <c r="G6" s="94">
        <f>5/12</f>
        <v>0.41666666666666669</v>
      </c>
      <c r="H6" s="94">
        <f>4+7/12</f>
        <v>4.583333333333333</v>
      </c>
      <c r="I6" s="94">
        <f>8.25/12</f>
        <v>0.6875</v>
      </c>
      <c r="J6" s="94">
        <f>0.875/12</f>
        <v>7.2916666666666671E-2</v>
      </c>
      <c r="K6" s="94" t="s">
        <v>777</v>
      </c>
      <c r="S6" t="str">
        <v>Tx34</v>
      </c>
      <c r="T6" t="str">
        <v>U-54</v>
      </c>
      <c r="U6" t="str">
        <v>A</v>
      </c>
    </row>
    <row r="7" spans="2:21" x14ac:dyDescent="0.25">
      <c r="B7" t="s">
        <v>76</v>
      </c>
      <c r="C7" s="94">
        <f t="shared" ref="C7:E10" si="0">36/12</f>
        <v>3</v>
      </c>
      <c r="D7" s="94">
        <f>28/12</f>
        <v>2.3333333333333335</v>
      </c>
      <c r="E7" s="94">
        <f t="shared" si="0"/>
        <v>3</v>
      </c>
      <c r="F7" s="94">
        <f t="shared" ref="F7:F13" si="1">3.5/12</f>
        <v>0.29166666666666669</v>
      </c>
      <c r="G7" s="94">
        <f t="shared" ref="G7:G13" si="2">7/12</f>
        <v>0.58333333333333337</v>
      </c>
      <c r="H7" s="94">
        <f t="shared" ref="H7:H13" si="3">32/12</f>
        <v>2.6666666666666665</v>
      </c>
      <c r="I7" s="94">
        <f>6.75/12</f>
        <v>0.5625</v>
      </c>
      <c r="J7" s="94">
        <v>0.33333333333333331</v>
      </c>
      <c r="K7" s="94">
        <f t="shared" ref="K7:K13" si="4">7.75/12</f>
        <v>0.64583333333333337</v>
      </c>
      <c r="S7" t="str">
        <v>Tx40</v>
      </c>
      <c r="U7" t="str">
        <v>B</v>
      </c>
    </row>
    <row r="8" spans="2:21" x14ac:dyDescent="0.25">
      <c r="B8" t="s">
        <v>78</v>
      </c>
      <c r="C8" s="94">
        <f t="shared" si="0"/>
        <v>3</v>
      </c>
      <c r="D8" s="94">
        <f>34/12</f>
        <v>2.8333333333333335</v>
      </c>
      <c r="E8" s="94">
        <f t="shared" si="0"/>
        <v>3</v>
      </c>
      <c r="F8" s="94">
        <f t="shared" si="1"/>
        <v>0.29166666666666669</v>
      </c>
      <c r="G8" s="94">
        <f t="shared" si="2"/>
        <v>0.58333333333333337</v>
      </c>
      <c r="H8" s="94">
        <f t="shared" si="3"/>
        <v>2.6666666666666665</v>
      </c>
      <c r="I8" s="94">
        <f>6.75/12</f>
        <v>0.5625</v>
      </c>
      <c r="J8" s="94">
        <v>0.33333333333333331</v>
      </c>
      <c r="K8" s="94">
        <f t="shared" si="4"/>
        <v>0.64583333333333337</v>
      </c>
      <c r="S8" t="str">
        <v>Tx46</v>
      </c>
      <c r="U8" t="str">
        <v>C</v>
      </c>
    </row>
    <row r="9" spans="2:21" x14ac:dyDescent="0.25">
      <c r="B9" t="s">
        <v>80</v>
      </c>
      <c r="C9" s="94">
        <f t="shared" si="0"/>
        <v>3</v>
      </c>
      <c r="D9" s="94">
        <f>40/12</f>
        <v>3.3333333333333335</v>
      </c>
      <c r="E9" s="94">
        <f t="shared" si="0"/>
        <v>3</v>
      </c>
      <c r="F9" s="94">
        <f t="shared" si="1"/>
        <v>0.29166666666666669</v>
      </c>
      <c r="G9" s="94">
        <f t="shared" si="2"/>
        <v>0.58333333333333337</v>
      </c>
      <c r="H9" s="94">
        <f t="shared" si="3"/>
        <v>2.6666666666666665</v>
      </c>
      <c r="I9" s="94">
        <f>6.75/12</f>
        <v>0.5625</v>
      </c>
      <c r="J9" s="94">
        <v>0.33333333333333331</v>
      </c>
      <c r="K9" s="94">
        <f t="shared" si="4"/>
        <v>0.64583333333333337</v>
      </c>
      <c r="S9" t="str">
        <v>Tx54</v>
      </c>
      <c r="U9" t="str">
        <v>Type_54</v>
      </c>
    </row>
    <row r="10" spans="2:21" x14ac:dyDescent="0.25">
      <c r="B10" t="s">
        <v>82</v>
      </c>
      <c r="C10" s="94">
        <f t="shared" si="0"/>
        <v>3</v>
      </c>
      <c r="D10" s="94">
        <f>46/12</f>
        <v>3.8333333333333335</v>
      </c>
      <c r="E10" s="94">
        <f t="shared" si="0"/>
        <v>3</v>
      </c>
      <c r="F10" s="94">
        <f t="shared" si="1"/>
        <v>0.29166666666666669</v>
      </c>
      <c r="G10" s="94">
        <f t="shared" si="2"/>
        <v>0.58333333333333337</v>
      </c>
      <c r="H10" s="94">
        <f t="shared" si="3"/>
        <v>2.6666666666666665</v>
      </c>
      <c r="I10" s="94">
        <f>8.75/12</f>
        <v>0.72916666666666663</v>
      </c>
      <c r="J10" s="94">
        <v>0.33333333333333331</v>
      </c>
      <c r="K10" s="94">
        <f t="shared" si="4"/>
        <v>0.64583333333333337</v>
      </c>
      <c r="S10" t="str">
        <v>Tx62</v>
      </c>
    </row>
    <row r="11" spans="2:21" x14ac:dyDescent="0.25">
      <c r="B11" t="s">
        <v>85</v>
      </c>
      <c r="C11" s="94">
        <f>36/12</f>
        <v>3</v>
      </c>
      <c r="D11" s="94">
        <f>54/12</f>
        <v>4.5</v>
      </c>
      <c r="E11" s="94">
        <f>C11</f>
        <v>3</v>
      </c>
      <c r="F11" s="94">
        <f t="shared" si="1"/>
        <v>0.29166666666666669</v>
      </c>
      <c r="G11" s="94">
        <f t="shared" si="2"/>
        <v>0.58333333333333337</v>
      </c>
      <c r="H11" s="94">
        <f t="shared" si="3"/>
        <v>2.6666666666666665</v>
      </c>
      <c r="I11" s="94">
        <f>8.75/12</f>
        <v>0.72916666666666663</v>
      </c>
      <c r="J11" s="94">
        <v>0.33333333333333331</v>
      </c>
      <c r="K11" s="94">
        <f t="shared" si="4"/>
        <v>0.64583333333333337</v>
      </c>
      <c r="S11" t="str">
        <v>Tx70</v>
      </c>
    </row>
    <row r="12" spans="2:21" x14ac:dyDescent="0.25">
      <c r="B12" t="s">
        <v>86</v>
      </c>
      <c r="C12" s="94">
        <f>42/12</f>
        <v>3.5</v>
      </c>
      <c r="D12" s="94">
        <f>62/12</f>
        <v>5.166666666666667</v>
      </c>
      <c r="E12" s="94">
        <f>42/12</f>
        <v>3.5</v>
      </c>
      <c r="F12" s="94">
        <f t="shared" si="1"/>
        <v>0.29166666666666669</v>
      </c>
      <c r="G12" s="94">
        <f t="shared" si="2"/>
        <v>0.58333333333333337</v>
      </c>
      <c r="H12" s="94">
        <f t="shared" si="3"/>
        <v>2.6666666666666665</v>
      </c>
      <c r="I12" s="94">
        <f>8.75/12</f>
        <v>0.72916666666666663</v>
      </c>
      <c r="J12" s="94">
        <v>0.33333333333333331</v>
      </c>
      <c r="K12" s="94">
        <f t="shared" si="4"/>
        <v>0.64583333333333337</v>
      </c>
    </row>
    <row r="13" spans="2:21" x14ac:dyDescent="0.25">
      <c r="B13" t="s">
        <v>89</v>
      </c>
      <c r="C13" s="94">
        <f>42/12</f>
        <v>3.5</v>
      </c>
      <c r="D13" s="94">
        <f>70/12</f>
        <v>5.833333333333333</v>
      </c>
      <c r="E13" s="94">
        <f>42/12</f>
        <v>3.5</v>
      </c>
      <c r="F13" s="94">
        <f t="shared" si="1"/>
        <v>0.29166666666666669</v>
      </c>
      <c r="G13" s="94">
        <f t="shared" si="2"/>
        <v>0.58333333333333337</v>
      </c>
      <c r="H13" s="94">
        <f t="shared" si="3"/>
        <v>2.6666666666666665</v>
      </c>
      <c r="I13" s="94">
        <f>8.75/12</f>
        <v>0.72916666666666663</v>
      </c>
      <c r="J13" s="94">
        <v>0.33333333333333331</v>
      </c>
      <c r="K13" s="94">
        <f t="shared" si="4"/>
        <v>0.64583333333333337</v>
      </c>
    </row>
    <row r="14" spans="2:21" x14ac:dyDescent="0.25">
      <c r="B14" t="s">
        <v>1</v>
      </c>
      <c r="C14" s="94">
        <f>1+8/12</f>
        <v>1.6666666666666665</v>
      </c>
      <c r="D14" s="94">
        <f>4.5</f>
        <v>4.5</v>
      </c>
      <c r="E14" s="94">
        <f>1+8/12</f>
        <v>1.6666666666666665</v>
      </c>
      <c r="F14" s="94">
        <f>8/12</f>
        <v>0.66666666666666663</v>
      </c>
      <c r="G14" s="94">
        <f>8/12</f>
        <v>0.66666666666666663</v>
      </c>
      <c r="H14" s="94">
        <f>2+2/12</f>
        <v>2.1666666666666665</v>
      </c>
      <c r="I14" s="94">
        <f>8/12</f>
        <v>0.66666666666666663</v>
      </c>
      <c r="J14" s="94">
        <f>6/12</f>
        <v>0.5</v>
      </c>
      <c r="K14" s="94">
        <f>9/12</f>
        <v>0.75</v>
      </c>
    </row>
    <row r="15" spans="2:21" x14ac:dyDescent="0.25">
      <c r="B15" t="s">
        <v>63</v>
      </c>
      <c r="C15" s="94">
        <f>1</f>
        <v>1</v>
      </c>
      <c r="D15" s="94">
        <f>28/12</f>
        <v>2.3333333333333335</v>
      </c>
      <c r="E15" s="94">
        <v>1</v>
      </c>
      <c r="F15" s="94">
        <f>4/12</f>
        <v>0.33333333333333331</v>
      </c>
      <c r="G15" s="94">
        <f>6/12</f>
        <v>0.5</v>
      </c>
      <c r="H15" s="94">
        <f>16/12</f>
        <v>1.3333333333333333</v>
      </c>
      <c r="I15" s="94">
        <f>5/12</f>
        <v>0.41666666666666669</v>
      </c>
      <c r="J15" s="94">
        <f>3/12</f>
        <v>0.25</v>
      </c>
      <c r="K15" s="94">
        <f>5/12</f>
        <v>0.41666666666666669</v>
      </c>
      <c r="M15" s="136"/>
    </row>
    <row r="16" spans="2:21" x14ac:dyDescent="0.25">
      <c r="B16" t="s">
        <v>65</v>
      </c>
      <c r="C16" s="94">
        <v>1</v>
      </c>
      <c r="D16" s="94">
        <f>34/12</f>
        <v>2.8333333333333335</v>
      </c>
      <c r="E16" s="94">
        <v>1</v>
      </c>
      <c r="F16" s="94">
        <f>5.5/12</f>
        <v>0.45833333333333331</v>
      </c>
      <c r="G16" s="94">
        <f>6.5/12</f>
        <v>0.54166666666666663</v>
      </c>
      <c r="H16" s="94">
        <f>18/12</f>
        <v>1.5</v>
      </c>
      <c r="I16" s="94">
        <f>6/12</f>
        <v>0.5</v>
      </c>
      <c r="J16" s="94">
        <f>2.75/12</f>
        <v>0.22916666666666666</v>
      </c>
      <c r="K16" s="94">
        <f>5.75/12</f>
        <v>0.47916666666666669</v>
      </c>
      <c r="M16" s="136"/>
    </row>
    <row r="17" spans="2:32" x14ac:dyDescent="0.25">
      <c r="B17" t="s">
        <v>33</v>
      </c>
      <c r="C17" s="94">
        <f>14/12</f>
        <v>1.1666666666666667</v>
      </c>
      <c r="D17" s="94">
        <f>40/12</f>
        <v>3.3333333333333335</v>
      </c>
      <c r="E17" s="94">
        <f>14/12</f>
        <v>1.1666666666666667</v>
      </c>
      <c r="F17" s="94">
        <f>6/12</f>
        <v>0.5</v>
      </c>
      <c r="G17" s="94">
        <f>7/12</f>
        <v>0.58333333333333337</v>
      </c>
      <c r="H17" s="94">
        <f>22/12</f>
        <v>1.8333333333333333</v>
      </c>
      <c r="I17" s="94">
        <f>7/12</f>
        <v>0.58333333333333337</v>
      </c>
      <c r="J17" s="94">
        <f>3.5/12</f>
        <v>0.29166666666666669</v>
      </c>
      <c r="K17" s="94">
        <f>7.5/12</f>
        <v>0.625</v>
      </c>
      <c r="M17" s="136"/>
    </row>
    <row r="18" spans="2:32" x14ac:dyDescent="0.25">
      <c r="B18" t="s">
        <v>930</v>
      </c>
      <c r="C18" s="94">
        <f>16/12</f>
        <v>1.3333333333333333</v>
      </c>
      <c r="D18" s="94">
        <f>54/12</f>
        <v>4.5</v>
      </c>
      <c r="E18" s="94">
        <f>Table13[[#This Row],[Width (ft)]]</f>
        <v>1.3333333333333333</v>
      </c>
      <c r="F18" s="94">
        <f>4/12</f>
        <v>0.33333333333333331</v>
      </c>
      <c r="G18" s="94">
        <f>6/12</f>
        <v>0.5</v>
      </c>
      <c r="H18" s="94">
        <f>Table13[[#This Row],[Width (ft)]]</f>
        <v>1.3333333333333333</v>
      </c>
      <c r="I18" s="94">
        <f>8/12</f>
        <v>0.66666666666666663</v>
      </c>
      <c r="J18" s="94">
        <f>5/12</f>
        <v>0.41666666666666669</v>
      </c>
      <c r="K18" s="94">
        <f>5/12</f>
        <v>0.41666666666666669</v>
      </c>
    </row>
    <row r="21" spans="2:32" ht="33.75" customHeight="1" x14ac:dyDescent="0.25">
      <c r="B21" s="129" t="s">
        <v>809</v>
      </c>
      <c r="C21" s="129" t="s">
        <v>747</v>
      </c>
      <c r="D21" s="129" t="s">
        <v>748</v>
      </c>
      <c r="E21" s="129" t="s">
        <v>749</v>
      </c>
      <c r="F21" s="129" t="s">
        <v>750</v>
      </c>
      <c r="G21" s="129" t="s">
        <v>751</v>
      </c>
      <c r="H21" s="129" t="s">
        <v>752</v>
      </c>
      <c r="I21" s="129" t="s">
        <v>753</v>
      </c>
      <c r="J21" s="129" t="s">
        <v>778</v>
      </c>
      <c r="K21" s="129" t="s">
        <v>779</v>
      </c>
    </row>
    <row r="22" spans="2:32" x14ac:dyDescent="0.25">
      <c r="B22" s="64" t="s">
        <v>78</v>
      </c>
      <c r="C22" s="128" cm="1">
        <f t="array" ref="C22:K22">_xlfn.XLOOKUP(B22,Table13[Girder Type],Table13[[Width (ft)]:[Bottom Taper Depth]])</f>
        <v>3</v>
      </c>
      <c r="D22" s="128">
        <v>2.8333333333333335</v>
      </c>
      <c r="E22" s="128">
        <v>3</v>
      </c>
      <c r="F22" s="128">
        <v>0.29166666666666669</v>
      </c>
      <c r="G22" s="128">
        <v>0.58333333333333337</v>
      </c>
      <c r="H22" s="128">
        <v>2.6666666666666665</v>
      </c>
      <c r="I22" s="128">
        <v>0.5625</v>
      </c>
      <c r="J22" s="128">
        <v>0.33333333333333331</v>
      </c>
      <c r="K22" s="128">
        <v>0.64583333333333337</v>
      </c>
    </row>
    <row r="25" spans="2:32" x14ac:dyDescent="0.25">
      <c r="C25" t="s">
        <v>792</v>
      </c>
      <c r="D25" t="s">
        <v>793</v>
      </c>
      <c r="G25" t="str">
        <f>B22 &amp; " Girder"</f>
        <v>Tx34 Girder</v>
      </c>
      <c r="M25" t="s">
        <v>780</v>
      </c>
      <c r="N25" t="s">
        <v>781</v>
      </c>
      <c r="P25" t="s">
        <v>782</v>
      </c>
      <c r="Q25" t="s">
        <v>783</v>
      </c>
      <c r="S25" t="s">
        <v>784</v>
      </c>
      <c r="T25" t="s">
        <v>785</v>
      </c>
      <c r="V25" t="s">
        <v>786</v>
      </c>
      <c r="W25" t="s">
        <v>787</v>
      </c>
      <c r="Y25" t="s">
        <v>769</v>
      </c>
      <c r="Z25" t="s">
        <v>770</v>
      </c>
      <c r="AB25" t="s">
        <v>788</v>
      </c>
      <c r="AC25" t="s">
        <v>789</v>
      </c>
      <c r="AE25" t="s">
        <v>790</v>
      </c>
      <c r="AF25" t="s">
        <v>791</v>
      </c>
    </row>
    <row r="26" spans="2:32" x14ac:dyDescent="0.25">
      <c r="C26">
        <f>0</f>
        <v>0</v>
      </c>
      <c r="D26">
        <v>0</v>
      </c>
      <c r="M26">
        <f>0</f>
        <v>0</v>
      </c>
      <c r="N26">
        <v>0</v>
      </c>
      <c r="P26">
        <f>0</f>
        <v>0</v>
      </c>
      <c r="Q26">
        <v>0</v>
      </c>
      <c r="S26">
        <f>0</f>
        <v>0</v>
      </c>
      <c r="T26">
        <v>0</v>
      </c>
      <c r="V26">
        <f>0</f>
        <v>0</v>
      </c>
      <c r="W26">
        <v>0</v>
      </c>
      <c r="Y26">
        <f>0</f>
        <v>0</v>
      </c>
      <c r="Z26">
        <v>0</v>
      </c>
      <c r="AB26">
        <f>0</f>
        <v>0</v>
      </c>
      <c r="AC26">
        <v>0</v>
      </c>
      <c r="AE26">
        <f>0</f>
        <v>0</v>
      </c>
      <c r="AF26">
        <v>0</v>
      </c>
    </row>
    <row r="27" spans="2:32" x14ac:dyDescent="0.25">
      <c r="C27">
        <v>0</v>
      </c>
      <c r="D27" s="94">
        <f>-F22</f>
        <v>-0.29166666666666669</v>
      </c>
      <c r="M27">
        <v>0</v>
      </c>
      <c r="N27" s="94">
        <f>-F42</f>
        <v>-0.29166666666666669</v>
      </c>
      <c r="P27">
        <v>0</v>
      </c>
      <c r="Q27" s="94">
        <f>-F43</f>
        <v>-0.29166666666666669</v>
      </c>
      <c r="S27">
        <v>0</v>
      </c>
      <c r="T27" s="94">
        <f>-F44</f>
        <v>-0.29166666666666669</v>
      </c>
      <c r="V27">
        <v>0</v>
      </c>
      <c r="W27" s="94">
        <f>-F45</f>
        <v>-0.29166666666666669</v>
      </c>
      <c r="Y27">
        <v>0</v>
      </c>
      <c r="Z27" s="94">
        <f>-F46</f>
        <v>-0.29166666666666669</v>
      </c>
      <c r="AB27">
        <v>0</v>
      </c>
      <c r="AC27" s="94">
        <f>-F47</f>
        <v>-0.29166666666666669</v>
      </c>
      <c r="AE27">
        <v>0</v>
      </c>
      <c r="AF27" s="94">
        <f>-F48</f>
        <v>-0.29166666666666669</v>
      </c>
    </row>
    <row r="28" spans="2:32" x14ac:dyDescent="0.25">
      <c r="C28">
        <f>(C22-G22)/2</f>
        <v>1.2083333333333333</v>
      </c>
      <c r="D28" s="94">
        <f>-F22-J22</f>
        <v>-0.625</v>
      </c>
      <c r="M28">
        <f>(C42-G42)/2</f>
        <v>1.2083333333333333</v>
      </c>
      <c r="N28" s="94">
        <f>-F42-J42</f>
        <v>-0.625</v>
      </c>
      <c r="P28">
        <f>(C43-G43)/2</f>
        <v>1.2083333333333333</v>
      </c>
      <c r="Q28" s="94">
        <f>-F43-J43</f>
        <v>-0.625</v>
      </c>
      <c r="S28">
        <f>(C44-G44)/2</f>
        <v>1.2083333333333333</v>
      </c>
      <c r="T28" s="94">
        <f>-F44-J44</f>
        <v>-0.625</v>
      </c>
      <c r="V28">
        <f>(C45-G45)/2</f>
        <v>1.2083333333333333</v>
      </c>
      <c r="W28" s="94">
        <f>-F45-J45</f>
        <v>-0.625</v>
      </c>
      <c r="Y28">
        <f>(C46-G46)/2</f>
        <v>1.2083333333333333</v>
      </c>
      <c r="Z28" s="94">
        <f>-F46-J46</f>
        <v>-0.625</v>
      </c>
      <c r="AB28">
        <f>(C47-G47)/2</f>
        <v>1.4583333333333333</v>
      </c>
      <c r="AC28" s="94">
        <f>-F47-J47</f>
        <v>-0.625</v>
      </c>
      <c r="AE28">
        <f>(C48-G48)/2</f>
        <v>1.4583333333333333</v>
      </c>
      <c r="AF28" s="94">
        <f>-F48-J48</f>
        <v>-0.625</v>
      </c>
    </row>
    <row r="29" spans="2:32" x14ac:dyDescent="0.25">
      <c r="C29">
        <f>(C22-G22)/2</f>
        <v>1.2083333333333333</v>
      </c>
      <c r="D29" s="94">
        <f>-D22+I22+K22</f>
        <v>-1.625</v>
      </c>
      <c r="M29">
        <f>(C42-G42)/2</f>
        <v>1.2083333333333333</v>
      </c>
      <c r="N29" s="94">
        <f>-D42+I42+K42</f>
        <v>-1.125</v>
      </c>
      <c r="P29">
        <f>(C43-G43)/2</f>
        <v>1.2083333333333333</v>
      </c>
      <c r="Q29" s="94">
        <f>-D43+I43+K43</f>
        <v>-1.625</v>
      </c>
      <c r="S29">
        <f>(C44-G44)/2</f>
        <v>1.2083333333333333</v>
      </c>
      <c r="T29" s="94">
        <f>-D44+I44+K44</f>
        <v>-2.125</v>
      </c>
      <c r="V29">
        <f>(C45-G45)/2</f>
        <v>1.2083333333333333</v>
      </c>
      <c r="W29" s="94">
        <f>-D45+I45+K45</f>
        <v>-2.4583333333333335</v>
      </c>
      <c r="Y29">
        <f>(C46-G46)/2</f>
        <v>1.2083333333333333</v>
      </c>
      <c r="Z29" s="94">
        <f>-D46+I46+K46</f>
        <v>-3.125</v>
      </c>
      <c r="AB29">
        <f>(C47-G47)/2</f>
        <v>1.4583333333333333</v>
      </c>
      <c r="AC29" s="94">
        <f>-D47+I47+K47</f>
        <v>-3.7916666666666665</v>
      </c>
      <c r="AE29">
        <f>(C48-G48)/2</f>
        <v>1.4583333333333333</v>
      </c>
      <c r="AF29" s="94">
        <f>-D48+I48+K48</f>
        <v>-4.458333333333333</v>
      </c>
    </row>
    <row r="30" spans="2:32" x14ac:dyDescent="0.25">
      <c r="C30">
        <f>(C22-H22)/2</f>
        <v>0.16666666666666674</v>
      </c>
      <c r="D30" s="94">
        <f>-D22+I22</f>
        <v>-2.2708333333333335</v>
      </c>
      <c r="M30">
        <f>(C42-H42)/2</f>
        <v>0.16666666666666674</v>
      </c>
      <c r="N30" s="94">
        <f>-D42+I42</f>
        <v>-1.7708333333333335</v>
      </c>
      <c r="P30">
        <f>(C43-H43)/2</f>
        <v>0.16666666666666674</v>
      </c>
      <c r="Q30" s="94">
        <f>-D43+I43</f>
        <v>-2.2708333333333335</v>
      </c>
      <c r="S30">
        <f>(C44-H44)/2</f>
        <v>0.16666666666666674</v>
      </c>
      <c r="T30" s="94">
        <f>-D44+I44</f>
        <v>-2.7708333333333335</v>
      </c>
      <c r="V30">
        <f>(C45-H45)/2</f>
        <v>0.16666666666666674</v>
      </c>
      <c r="W30" s="94">
        <f>-D45+I45</f>
        <v>-3.104166666666667</v>
      </c>
      <c r="Y30">
        <f>(C46-H46)/2</f>
        <v>0.16666666666666674</v>
      </c>
      <c r="Z30" s="94">
        <f>-D46+I46</f>
        <v>-3.7708333333333335</v>
      </c>
      <c r="AB30">
        <f>(C47-H47)/2</f>
        <v>0.41666666666666674</v>
      </c>
      <c r="AC30" s="94">
        <f>-D47+I47</f>
        <v>-4.4375</v>
      </c>
      <c r="AE30">
        <f>(C48-H48)/2</f>
        <v>0.41666666666666674</v>
      </c>
      <c r="AF30" s="94">
        <f>-D48+I48</f>
        <v>-5.1041666666666661</v>
      </c>
    </row>
    <row r="31" spans="2:32" x14ac:dyDescent="0.25">
      <c r="C31">
        <f>(C22-H22)/2</f>
        <v>0.16666666666666674</v>
      </c>
      <c r="D31" s="94">
        <f>-D22</f>
        <v>-2.8333333333333335</v>
      </c>
      <c r="M31">
        <f>(C42-H42)/2</f>
        <v>0.16666666666666674</v>
      </c>
      <c r="N31" s="94">
        <f>-D42</f>
        <v>-2.3333333333333335</v>
      </c>
      <c r="P31">
        <f>(C43-H43)/2</f>
        <v>0.16666666666666674</v>
      </c>
      <c r="Q31" s="94">
        <f>-D43</f>
        <v>-2.8333333333333335</v>
      </c>
      <c r="S31">
        <f>(C44-H44)/2</f>
        <v>0.16666666666666674</v>
      </c>
      <c r="T31" s="94">
        <f>-D44</f>
        <v>-3.3333333333333335</v>
      </c>
      <c r="V31">
        <f>(C45-H45)/2</f>
        <v>0.16666666666666674</v>
      </c>
      <c r="W31" s="94">
        <f>-D45</f>
        <v>-3.8333333333333335</v>
      </c>
      <c r="Y31">
        <f>(C46-H46)/2</f>
        <v>0.16666666666666674</v>
      </c>
      <c r="Z31" s="94">
        <f>-D46</f>
        <v>-4.5</v>
      </c>
      <c r="AB31">
        <f>(C47-H47)/2</f>
        <v>0.41666666666666674</v>
      </c>
      <c r="AC31" s="94">
        <f>-D47</f>
        <v>-5.166666666666667</v>
      </c>
      <c r="AE31">
        <f>(C48-H48)/2</f>
        <v>0.41666666666666674</v>
      </c>
      <c r="AF31" s="94">
        <f>-D48</f>
        <v>-5.833333333333333</v>
      </c>
    </row>
    <row r="32" spans="2:32" x14ac:dyDescent="0.25">
      <c r="C32" s="94">
        <f>C22-C30</f>
        <v>2.833333333333333</v>
      </c>
      <c r="D32" s="94">
        <f>-D22</f>
        <v>-2.8333333333333335</v>
      </c>
      <c r="M32" s="94">
        <f>C42-M30</f>
        <v>2.833333333333333</v>
      </c>
      <c r="N32" s="94">
        <f>-D42</f>
        <v>-2.3333333333333335</v>
      </c>
      <c r="P32" s="94">
        <f>C43-P30</f>
        <v>2.833333333333333</v>
      </c>
      <c r="Q32" s="94">
        <f>-D43</f>
        <v>-2.8333333333333335</v>
      </c>
      <c r="S32" s="94">
        <f>C44-S30</f>
        <v>2.833333333333333</v>
      </c>
      <c r="T32" s="94">
        <f>-D44</f>
        <v>-3.3333333333333335</v>
      </c>
      <c r="V32" s="94">
        <f>C45-V30</f>
        <v>2.833333333333333</v>
      </c>
      <c r="W32" s="94">
        <f>-D45</f>
        <v>-3.8333333333333335</v>
      </c>
      <c r="Y32" s="94">
        <f>C46-Y30</f>
        <v>2.833333333333333</v>
      </c>
      <c r="Z32" s="94">
        <f>-D46</f>
        <v>-4.5</v>
      </c>
      <c r="AB32" s="94">
        <f>C47-AB30</f>
        <v>3.083333333333333</v>
      </c>
      <c r="AC32" s="94">
        <f>-D47</f>
        <v>-5.166666666666667</v>
      </c>
      <c r="AE32" s="94">
        <f>C48-AE30</f>
        <v>3.083333333333333</v>
      </c>
      <c r="AF32" s="94">
        <f>-D48</f>
        <v>-5.833333333333333</v>
      </c>
    </row>
    <row r="33" spans="2:32" x14ac:dyDescent="0.25">
      <c r="C33" s="94">
        <f>C22-C30</f>
        <v>2.833333333333333</v>
      </c>
      <c r="D33" s="94">
        <f>-D22+I22</f>
        <v>-2.2708333333333335</v>
      </c>
      <c r="M33" s="94">
        <f>C42-M30</f>
        <v>2.833333333333333</v>
      </c>
      <c r="N33" s="94">
        <f>-D42+I42</f>
        <v>-1.7708333333333335</v>
      </c>
      <c r="P33" s="94">
        <f>C43-P30</f>
        <v>2.833333333333333</v>
      </c>
      <c r="Q33" s="94">
        <f>-D43+I43</f>
        <v>-2.2708333333333335</v>
      </c>
      <c r="S33" s="94">
        <f>C44-S30</f>
        <v>2.833333333333333</v>
      </c>
      <c r="T33" s="94">
        <f>-D44+I44</f>
        <v>-2.7708333333333335</v>
      </c>
      <c r="V33" s="94">
        <f>C45-V30</f>
        <v>2.833333333333333</v>
      </c>
      <c r="W33" s="94">
        <f>-D45+I45</f>
        <v>-3.104166666666667</v>
      </c>
      <c r="Y33" s="94">
        <f>C46-Y30</f>
        <v>2.833333333333333</v>
      </c>
      <c r="Z33" s="94">
        <f>-D46+I46</f>
        <v>-3.7708333333333335</v>
      </c>
      <c r="AB33" s="94">
        <f>C47-AB30</f>
        <v>3.083333333333333</v>
      </c>
      <c r="AC33" s="94">
        <f>-D47+I47</f>
        <v>-4.4375</v>
      </c>
      <c r="AE33" s="94">
        <f>C48-AE30</f>
        <v>3.083333333333333</v>
      </c>
      <c r="AF33" s="94">
        <f>-D48+I48</f>
        <v>-5.1041666666666661</v>
      </c>
    </row>
    <row r="34" spans="2:32" x14ac:dyDescent="0.25">
      <c r="C34">
        <f>(C22+G22)/2</f>
        <v>1.7916666666666667</v>
      </c>
      <c r="D34" s="94">
        <f>-D22+I22+K22</f>
        <v>-1.625</v>
      </c>
      <c r="M34">
        <f>(C42+G42)/2</f>
        <v>1.7916666666666667</v>
      </c>
      <c r="N34" s="94">
        <f>-D42+I42+K42</f>
        <v>-1.125</v>
      </c>
      <c r="P34">
        <f>(C43+G43)/2</f>
        <v>1.7916666666666667</v>
      </c>
      <c r="Q34" s="94">
        <f>-D43+I43+K43</f>
        <v>-1.625</v>
      </c>
      <c r="S34">
        <f>(C44+G44)/2</f>
        <v>1.7916666666666667</v>
      </c>
      <c r="T34" s="94">
        <f>-D44+I44+K44</f>
        <v>-2.125</v>
      </c>
      <c r="V34">
        <f>(C45+G45)/2</f>
        <v>1.7916666666666667</v>
      </c>
      <c r="W34" s="94">
        <f>-D45+I45+K45</f>
        <v>-2.4583333333333335</v>
      </c>
      <c r="Y34">
        <f>(C46+G46)/2</f>
        <v>1.7916666666666667</v>
      </c>
      <c r="Z34" s="94">
        <f>-D46+I46+K46</f>
        <v>-3.125</v>
      </c>
      <c r="AB34">
        <f>(C47+G47)/2</f>
        <v>2.0416666666666665</v>
      </c>
      <c r="AC34" s="94">
        <f>-D47+I47+K47</f>
        <v>-3.7916666666666665</v>
      </c>
      <c r="AE34">
        <f>(C48+G48)/2</f>
        <v>2.0416666666666665</v>
      </c>
      <c r="AF34" s="94">
        <f>-D48+I48+K48</f>
        <v>-4.458333333333333</v>
      </c>
    </row>
    <row r="35" spans="2:32" x14ac:dyDescent="0.25">
      <c r="C35">
        <f>(C22+G22)/2</f>
        <v>1.7916666666666667</v>
      </c>
      <c r="D35" s="94">
        <f>-F22-J22</f>
        <v>-0.625</v>
      </c>
      <c r="M35">
        <f>(C42+G42)/2</f>
        <v>1.7916666666666667</v>
      </c>
      <c r="N35" s="94">
        <f>-F42-J42</f>
        <v>-0.625</v>
      </c>
      <c r="P35">
        <f>(C43+G43)/2</f>
        <v>1.7916666666666667</v>
      </c>
      <c r="Q35" s="94">
        <f>-F43-J43</f>
        <v>-0.625</v>
      </c>
      <c r="S35">
        <f>(C44+G44)/2</f>
        <v>1.7916666666666667</v>
      </c>
      <c r="T35" s="94">
        <f>-F44-J44</f>
        <v>-0.625</v>
      </c>
      <c r="V35">
        <f>(C45+G45)/2</f>
        <v>1.7916666666666667</v>
      </c>
      <c r="W35" s="94">
        <f>-F45-J45</f>
        <v>-0.625</v>
      </c>
      <c r="Y35">
        <f>(C46+G46)/2</f>
        <v>1.7916666666666667</v>
      </c>
      <c r="Z35" s="94">
        <f>-F46-J46</f>
        <v>-0.625</v>
      </c>
      <c r="AB35">
        <f>(C47+G47)/2</f>
        <v>2.0416666666666665</v>
      </c>
      <c r="AC35" s="94">
        <f>-F47-J47</f>
        <v>-0.625</v>
      </c>
      <c r="AE35">
        <f>(C48+G48)/2</f>
        <v>2.0416666666666665</v>
      </c>
      <c r="AF35" s="94">
        <f>-F48-J48</f>
        <v>-0.625</v>
      </c>
    </row>
    <row r="36" spans="2:32" x14ac:dyDescent="0.25">
      <c r="C36" s="94">
        <f>C22</f>
        <v>3</v>
      </c>
      <c r="D36" s="94">
        <f>-F22</f>
        <v>-0.29166666666666669</v>
      </c>
      <c r="M36" s="94">
        <f>C42</f>
        <v>3</v>
      </c>
      <c r="N36" s="94">
        <f>-F42</f>
        <v>-0.29166666666666669</v>
      </c>
      <c r="P36" s="94">
        <f>C43</f>
        <v>3</v>
      </c>
      <c r="Q36" s="94">
        <f>-F43</f>
        <v>-0.29166666666666669</v>
      </c>
      <c r="S36" s="94">
        <f>C44</f>
        <v>3</v>
      </c>
      <c r="T36" s="94">
        <f>-F44</f>
        <v>-0.29166666666666669</v>
      </c>
      <c r="V36" s="94">
        <f>C45</f>
        <v>3</v>
      </c>
      <c r="W36" s="94">
        <f>-F45</f>
        <v>-0.29166666666666669</v>
      </c>
      <c r="Y36" s="94">
        <f>C46</f>
        <v>3</v>
      </c>
      <c r="Z36" s="94">
        <f>-F46</f>
        <v>-0.29166666666666669</v>
      </c>
      <c r="AB36" s="94">
        <f>C47</f>
        <v>3.5</v>
      </c>
      <c r="AC36" s="94">
        <f>-F47</f>
        <v>-0.29166666666666669</v>
      </c>
      <c r="AE36" s="94">
        <f>C48</f>
        <v>3.5</v>
      </c>
      <c r="AF36" s="94">
        <f>-F48</f>
        <v>-0.29166666666666669</v>
      </c>
    </row>
    <row r="37" spans="2:32" x14ac:dyDescent="0.25">
      <c r="C37" s="94">
        <f>C22</f>
        <v>3</v>
      </c>
      <c r="D37">
        <v>0</v>
      </c>
      <c r="M37" s="94">
        <f>C42</f>
        <v>3</v>
      </c>
      <c r="N37">
        <v>0</v>
      </c>
      <c r="P37" s="94">
        <f>C43</f>
        <v>3</v>
      </c>
      <c r="Q37">
        <v>0</v>
      </c>
      <c r="S37" s="94">
        <f>C44</f>
        <v>3</v>
      </c>
      <c r="T37">
        <v>0</v>
      </c>
      <c r="V37" s="94">
        <f>C45</f>
        <v>3</v>
      </c>
      <c r="W37">
        <v>0</v>
      </c>
      <c r="Y37" s="94">
        <f>C46</f>
        <v>3</v>
      </c>
      <c r="Z37">
        <v>0</v>
      </c>
      <c r="AB37" s="94">
        <f>C47</f>
        <v>3.5</v>
      </c>
      <c r="AC37">
        <v>0</v>
      </c>
      <c r="AE37" s="94">
        <f>C48</f>
        <v>3.5</v>
      </c>
      <c r="AF37">
        <v>0</v>
      </c>
    </row>
    <row r="38" spans="2:32" x14ac:dyDescent="0.25">
      <c r="C38">
        <v>0</v>
      </c>
      <c r="D38">
        <v>0</v>
      </c>
      <c r="M38">
        <v>0</v>
      </c>
      <c r="N38">
        <v>0</v>
      </c>
      <c r="P38">
        <v>0</v>
      </c>
      <c r="Q38">
        <v>0</v>
      </c>
      <c r="S38">
        <v>0</v>
      </c>
      <c r="T38">
        <v>0</v>
      </c>
      <c r="V38">
        <v>0</v>
      </c>
      <c r="W38">
        <v>0</v>
      </c>
      <c r="Y38">
        <v>0</v>
      </c>
      <c r="Z38">
        <v>0</v>
      </c>
      <c r="AB38">
        <v>0</v>
      </c>
      <c r="AC38">
        <v>0</v>
      </c>
      <c r="AE38">
        <v>0</v>
      </c>
      <c r="AF38">
        <v>0</v>
      </c>
    </row>
    <row r="41" spans="2:32" ht="45" x14ac:dyDescent="0.25">
      <c r="B41" s="129" t="s">
        <v>746</v>
      </c>
      <c r="C41" s="129" t="s">
        <v>747</v>
      </c>
      <c r="D41" s="129" t="s">
        <v>748</v>
      </c>
      <c r="E41" s="129" t="s">
        <v>749</v>
      </c>
      <c r="F41" s="129" t="s">
        <v>750</v>
      </c>
      <c r="G41" s="129" t="s">
        <v>751</v>
      </c>
      <c r="H41" s="129" t="s">
        <v>752</v>
      </c>
      <c r="I41" s="129" t="s">
        <v>753</v>
      </c>
      <c r="J41" s="129" t="s">
        <v>778</v>
      </c>
      <c r="K41" s="129" t="s">
        <v>779</v>
      </c>
    </row>
    <row r="42" spans="2:32" x14ac:dyDescent="0.25">
      <c r="B42" s="127" t="str" cm="1">
        <f t="array" ref="B42:K48">B7:K13</f>
        <v>Tx28</v>
      </c>
      <c r="C42" s="128">
        <v>3</v>
      </c>
      <c r="D42" s="128">
        <v>2.3333333333333335</v>
      </c>
      <c r="E42" s="128">
        <v>3</v>
      </c>
      <c r="F42" s="128">
        <v>0.29166666666666669</v>
      </c>
      <c r="G42" s="128">
        <v>0.58333333333333337</v>
      </c>
      <c r="H42" s="128">
        <v>2.6666666666666665</v>
      </c>
      <c r="I42" s="128">
        <v>0.5625</v>
      </c>
      <c r="J42" s="128">
        <v>0.33333333333333331</v>
      </c>
      <c r="K42" s="128">
        <v>0.64583333333333337</v>
      </c>
    </row>
    <row r="43" spans="2:32" x14ac:dyDescent="0.25">
      <c r="B43" s="127" t="str">
        <v>Tx34</v>
      </c>
      <c r="C43" s="128">
        <v>3</v>
      </c>
      <c r="D43" s="128">
        <v>2.8333333333333335</v>
      </c>
      <c r="E43" s="128">
        <v>3</v>
      </c>
      <c r="F43" s="128">
        <v>0.29166666666666669</v>
      </c>
      <c r="G43" s="128">
        <v>0.58333333333333337</v>
      </c>
      <c r="H43" s="128">
        <v>2.6666666666666665</v>
      </c>
      <c r="I43" s="128">
        <v>0.5625</v>
      </c>
      <c r="J43" s="128">
        <v>0.33333333333333331</v>
      </c>
      <c r="K43" s="128">
        <v>0.64583333333333337</v>
      </c>
    </row>
    <row r="44" spans="2:32" x14ac:dyDescent="0.25">
      <c r="B44" s="127" t="str">
        <v>Tx40</v>
      </c>
      <c r="C44" s="128">
        <v>3</v>
      </c>
      <c r="D44" s="128">
        <v>3.3333333333333335</v>
      </c>
      <c r="E44" s="128">
        <v>3</v>
      </c>
      <c r="F44" s="128">
        <v>0.29166666666666669</v>
      </c>
      <c r="G44" s="128">
        <v>0.58333333333333337</v>
      </c>
      <c r="H44" s="128">
        <v>2.6666666666666665</v>
      </c>
      <c r="I44" s="128">
        <v>0.5625</v>
      </c>
      <c r="J44" s="128">
        <v>0.33333333333333331</v>
      </c>
      <c r="K44" s="128">
        <v>0.64583333333333337</v>
      </c>
    </row>
    <row r="45" spans="2:32" x14ac:dyDescent="0.25">
      <c r="B45" s="127" t="str">
        <v>Tx46</v>
      </c>
      <c r="C45" s="128">
        <v>3</v>
      </c>
      <c r="D45" s="128">
        <v>3.8333333333333335</v>
      </c>
      <c r="E45" s="128">
        <v>3</v>
      </c>
      <c r="F45" s="128">
        <v>0.29166666666666669</v>
      </c>
      <c r="G45" s="128">
        <v>0.58333333333333337</v>
      </c>
      <c r="H45" s="128">
        <v>2.6666666666666665</v>
      </c>
      <c r="I45" s="128">
        <v>0.72916666666666663</v>
      </c>
      <c r="J45" s="128">
        <v>0.33333333333333331</v>
      </c>
      <c r="K45" s="128">
        <v>0.64583333333333337</v>
      </c>
    </row>
    <row r="46" spans="2:32" x14ac:dyDescent="0.25">
      <c r="B46" s="127" t="str">
        <v>Tx54</v>
      </c>
      <c r="C46" s="128">
        <v>3</v>
      </c>
      <c r="D46" s="128">
        <v>4.5</v>
      </c>
      <c r="E46" s="128">
        <v>3</v>
      </c>
      <c r="F46" s="128">
        <v>0.29166666666666669</v>
      </c>
      <c r="G46" s="128">
        <v>0.58333333333333337</v>
      </c>
      <c r="H46" s="128">
        <v>2.6666666666666665</v>
      </c>
      <c r="I46" s="128">
        <v>0.72916666666666663</v>
      </c>
      <c r="J46" s="128">
        <v>0.33333333333333331</v>
      </c>
      <c r="K46" s="128">
        <v>0.64583333333333337</v>
      </c>
    </row>
    <row r="47" spans="2:32" x14ac:dyDescent="0.25">
      <c r="B47" s="127" t="str">
        <v>Tx62</v>
      </c>
      <c r="C47" s="128">
        <v>3.5</v>
      </c>
      <c r="D47" s="128">
        <v>5.166666666666667</v>
      </c>
      <c r="E47" s="128">
        <v>3.5</v>
      </c>
      <c r="F47" s="128">
        <v>0.29166666666666669</v>
      </c>
      <c r="G47" s="128">
        <v>0.58333333333333337</v>
      </c>
      <c r="H47" s="128">
        <v>2.6666666666666665</v>
      </c>
      <c r="I47" s="128">
        <v>0.72916666666666663</v>
      </c>
      <c r="J47" s="128">
        <v>0.33333333333333331</v>
      </c>
      <c r="K47" s="128">
        <v>0.64583333333333337</v>
      </c>
    </row>
    <row r="48" spans="2:32" x14ac:dyDescent="0.25">
      <c r="B48" s="127" t="str">
        <v>Tx70</v>
      </c>
      <c r="C48" s="128">
        <v>3.5</v>
      </c>
      <c r="D48" s="128">
        <v>5.833333333333333</v>
      </c>
      <c r="E48" s="128">
        <v>3.5</v>
      </c>
      <c r="F48" s="128">
        <v>0.29166666666666669</v>
      </c>
      <c r="G48" s="128">
        <v>0.58333333333333337</v>
      </c>
      <c r="H48" s="128">
        <v>2.6666666666666665</v>
      </c>
      <c r="I48" s="128">
        <v>0.72916666666666663</v>
      </c>
      <c r="J48" s="128">
        <v>0.33333333333333331</v>
      </c>
      <c r="K48" s="128">
        <v>0.64583333333333337</v>
      </c>
    </row>
    <row r="51" spans="2:17" ht="45" x14ac:dyDescent="0.25">
      <c r="B51" s="130" t="s">
        <v>810</v>
      </c>
      <c r="C51" s="130" t="s">
        <v>747</v>
      </c>
      <c r="D51" s="130" t="s">
        <v>748</v>
      </c>
      <c r="E51" s="130" t="s">
        <v>749</v>
      </c>
      <c r="F51" s="130" t="s">
        <v>750</v>
      </c>
      <c r="G51" s="130" t="s">
        <v>751</v>
      </c>
      <c r="H51" s="130" t="s">
        <v>752</v>
      </c>
      <c r="I51" s="130" t="s">
        <v>753</v>
      </c>
      <c r="J51" s="130" t="s">
        <v>778</v>
      </c>
      <c r="K51" s="130" t="s">
        <v>779</v>
      </c>
    </row>
    <row r="52" spans="2:17" x14ac:dyDescent="0.25">
      <c r="B52" s="64" t="s">
        <v>70</v>
      </c>
      <c r="C52" s="128" cm="1">
        <f t="array" ref="C52:K52">_xlfn.XLOOKUP(B52,Table13[Girder Type],Table13[[Width (ft)]:[Bottom Taper Depth]])</f>
        <v>7.5</v>
      </c>
      <c r="D52" s="128">
        <v>3.3333333333333335</v>
      </c>
      <c r="E52" s="128">
        <v>2.625</v>
      </c>
      <c r="F52" s="128">
        <v>0.48958333333333331</v>
      </c>
      <c r="G52" s="128">
        <v>0.41666666666666669</v>
      </c>
      <c r="H52" s="128">
        <v>4.583333333333333</v>
      </c>
      <c r="I52" s="128">
        <v>0.6875</v>
      </c>
      <c r="J52" s="128">
        <v>7.2916666666666671E-2</v>
      </c>
      <c r="K52" s="128" t="str">
        <v>NA</v>
      </c>
    </row>
    <row r="55" spans="2:17" x14ac:dyDescent="0.25">
      <c r="C55" t="s">
        <v>771</v>
      </c>
      <c r="D55" t="s">
        <v>772</v>
      </c>
      <c r="G55" t="str">
        <f>B52 &amp; " Girder"</f>
        <v>U-40 Girder</v>
      </c>
      <c r="M55" t="s">
        <v>812</v>
      </c>
      <c r="N55" t="s">
        <v>813</v>
      </c>
      <c r="P55" t="s">
        <v>814</v>
      </c>
      <c r="Q55" t="s">
        <v>815</v>
      </c>
    </row>
    <row r="56" spans="2:17" x14ac:dyDescent="0.25">
      <c r="C56">
        <f>0</f>
        <v>0</v>
      </c>
      <c r="D56">
        <v>0</v>
      </c>
      <c r="J56" s="94"/>
      <c r="M56">
        <f>0</f>
        <v>0</v>
      </c>
      <c r="N56">
        <v>0</v>
      </c>
      <c r="P56">
        <f>0</f>
        <v>0</v>
      </c>
      <c r="Q56">
        <v>0</v>
      </c>
    </row>
    <row r="57" spans="2:17" x14ac:dyDescent="0.25">
      <c r="C57">
        <v>0</v>
      </c>
      <c r="D57" s="94">
        <f>-F52</f>
        <v>-0.48958333333333331</v>
      </c>
      <c r="M57">
        <v>0</v>
      </c>
      <c r="N57" s="94">
        <f>-F72</f>
        <v>-0.48958333333333331</v>
      </c>
      <c r="P57">
        <v>0</v>
      </c>
      <c r="Q57" s="94">
        <f>-F73</f>
        <v>-0.48958333333333331</v>
      </c>
    </row>
    <row r="58" spans="2:17" x14ac:dyDescent="0.25">
      <c r="C58">
        <f>(E52/2-G52)</f>
        <v>0.89583333333333326</v>
      </c>
      <c r="D58" s="94">
        <f>-F52-J52</f>
        <v>-0.5625</v>
      </c>
      <c r="M58">
        <f>(E72/2-G72)</f>
        <v>0.89583333333333326</v>
      </c>
      <c r="N58" s="94">
        <f>-F72-J72</f>
        <v>-0.5625</v>
      </c>
      <c r="P58">
        <f>(E73/2-G73)</f>
        <v>0.89583333333333326</v>
      </c>
      <c r="Q58" s="94">
        <f>-F73-J73</f>
        <v>-0.5625</v>
      </c>
    </row>
    <row r="59" spans="2:17" x14ac:dyDescent="0.25">
      <c r="C59">
        <f>(C52-H52)/2</f>
        <v>1.4583333333333335</v>
      </c>
      <c r="D59" s="94">
        <f>-D52</f>
        <v>-3.3333333333333335</v>
      </c>
      <c r="M59">
        <f>(C72-H72)/2</f>
        <v>1.4583333333333335</v>
      </c>
      <c r="N59" s="94">
        <f>-D72</f>
        <v>-3.3333333333333335</v>
      </c>
      <c r="P59">
        <f>(C73-H73)/2</f>
        <v>1.7083333333333335</v>
      </c>
      <c r="Q59" s="94">
        <f>-D73</f>
        <v>-4.5</v>
      </c>
    </row>
    <row r="60" spans="2:17" x14ac:dyDescent="0.25">
      <c r="C60">
        <f>(C52+H52)/2</f>
        <v>6.0416666666666661</v>
      </c>
      <c r="D60" s="94">
        <f>-D52</f>
        <v>-3.3333333333333335</v>
      </c>
      <c r="M60">
        <f>(C72+H72)/2</f>
        <v>6.0416666666666661</v>
      </c>
      <c r="N60" s="94">
        <f>-D72</f>
        <v>-3.3333333333333335</v>
      </c>
      <c r="P60">
        <f>(C73+H73)/2</f>
        <v>6.2916666666666661</v>
      </c>
      <c r="Q60" s="94">
        <f>-D73</f>
        <v>-4.5</v>
      </c>
    </row>
    <row r="61" spans="2:17" x14ac:dyDescent="0.25">
      <c r="C61">
        <f>(C52-E52/2+G52)</f>
        <v>6.604166666666667</v>
      </c>
      <c r="D61" s="94">
        <f>-F52-J52</f>
        <v>-0.5625</v>
      </c>
      <c r="M61">
        <f>(C72-E72/2+G72)</f>
        <v>6.604166666666667</v>
      </c>
      <c r="N61" s="94">
        <f>-F72-J72</f>
        <v>-0.5625</v>
      </c>
      <c r="P61">
        <f>(C73-E73/2+G73)</f>
        <v>7.104166666666667</v>
      </c>
      <c r="Q61" s="94">
        <f>-F73-J73</f>
        <v>-0.5625</v>
      </c>
    </row>
    <row r="62" spans="2:17" x14ac:dyDescent="0.25">
      <c r="C62" s="94">
        <f>C52</f>
        <v>7.5</v>
      </c>
      <c r="D62" s="94">
        <f>-F52</f>
        <v>-0.48958333333333331</v>
      </c>
      <c r="M62" s="94">
        <f>C72</f>
        <v>7.5</v>
      </c>
      <c r="N62" s="94">
        <f>-F72</f>
        <v>-0.48958333333333331</v>
      </c>
      <c r="P62" s="94">
        <f>C73</f>
        <v>8</v>
      </c>
      <c r="Q62" s="94">
        <f>-F73</f>
        <v>-0.48958333333333331</v>
      </c>
    </row>
    <row r="63" spans="2:17" x14ac:dyDescent="0.25">
      <c r="C63" s="94">
        <f>C52</f>
        <v>7.5</v>
      </c>
      <c r="D63" s="94">
        <v>0</v>
      </c>
      <c r="M63" s="94">
        <f>C72</f>
        <v>7.5</v>
      </c>
      <c r="N63" s="94">
        <v>0</v>
      </c>
      <c r="P63" s="94">
        <f>C73</f>
        <v>8</v>
      </c>
      <c r="Q63" s="94">
        <v>0</v>
      </c>
    </row>
    <row r="64" spans="2:17" x14ac:dyDescent="0.25">
      <c r="C64">
        <f>C52-E52/2</f>
        <v>6.1875</v>
      </c>
      <c r="D64" s="94">
        <v>0</v>
      </c>
      <c r="M64">
        <f>C72-E72/2</f>
        <v>6.1875</v>
      </c>
      <c r="N64" s="94">
        <v>0</v>
      </c>
      <c r="P64">
        <f>C73-E73/2</f>
        <v>6.6875</v>
      </c>
      <c r="Q64" s="94">
        <v>0</v>
      </c>
    </row>
    <row r="65" spans="2:17" x14ac:dyDescent="0.25">
      <c r="C65">
        <f>(C52+H52)/2-G52</f>
        <v>5.6249999999999991</v>
      </c>
      <c r="D65" s="94">
        <f>-D52+I52</f>
        <v>-2.6458333333333335</v>
      </c>
      <c r="M65">
        <f>(C72+H72)/2-G72</f>
        <v>5.6249999999999991</v>
      </c>
      <c r="N65" s="94">
        <f>-D72+I72</f>
        <v>-2.6458333333333335</v>
      </c>
      <c r="P65">
        <f>(C73+H73)/2-G73</f>
        <v>5.8749999999999991</v>
      </c>
      <c r="Q65" s="94">
        <f>-D73+I73</f>
        <v>-3.8125</v>
      </c>
    </row>
    <row r="66" spans="2:17" x14ac:dyDescent="0.25">
      <c r="C66">
        <f>(C52-H52)/2+G52</f>
        <v>1.8750000000000002</v>
      </c>
      <c r="D66" s="94">
        <f>-D52+I52</f>
        <v>-2.6458333333333335</v>
      </c>
      <c r="M66">
        <f>(C72-H72)/2+G72</f>
        <v>1.8750000000000002</v>
      </c>
      <c r="N66" s="94">
        <f>-D72+I72</f>
        <v>-2.6458333333333335</v>
      </c>
      <c r="P66">
        <f>(C73-H73)/2+G73</f>
        <v>2.125</v>
      </c>
      <c r="Q66" s="94">
        <f>-D73+I73</f>
        <v>-3.8125</v>
      </c>
    </row>
    <row r="67" spans="2:17" x14ac:dyDescent="0.25">
      <c r="C67" s="94">
        <f>E52/2</f>
        <v>1.3125</v>
      </c>
      <c r="D67">
        <v>0</v>
      </c>
      <c r="M67" s="94">
        <f>E72/2</f>
        <v>1.3125</v>
      </c>
      <c r="N67">
        <v>0</v>
      </c>
      <c r="P67" s="94">
        <f>E73/2</f>
        <v>1.3125</v>
      </c>
      <c r="Q67">
        <v>0</v>
      </c>
    </row>
    <row r="68" spans="2:17" x14ac:dyDescent="0.25">
      <c r="C68">
        <v>0</v>
      </c>
      <c r="D68">
        <v>0</v>
      </c>
      <c r="M68">
        <v>0</v>
      </c>
      <c r="N68">
        <v>0</v>
      </c>
      <c r="P68">
        <v>0</v>
      </c>
      <c r="Q68">
        <v>0</v>
      </c>
    </row>
    <row r="71" spans="2:17" ht="45" x14ac:dyDescent="0.25">
      <c r="B71" s="130" t="s">
        <v>746</v>
      </c>
      <c r="C71" s="130" t="s">
        <v>747</v>
      </c>
      <c r="D71" s="130" t="s">
        <v>748</v>
      </c>
      <c r="E71" s="130" t="s">
        <v>749</v>
      </c>
      <c r="F71" s="130" t="s">
        <v>750</v>
      </c>
      <c r="G71" s="130" t="s">
        <v>751</v>
      </c>
      <c r="H71" s="130" t="s">
        <v>752</v>
      </c>
      <c r="I71" s="130" t="s">
        <v>753</v>
      </c>
      <c r="J71" s="130" t="s">
        <v>778</v>
      </c>
      <c r="K71" s="130" t="s">
        <v>779</v>
      </c>
    </row>
    <row r="72" spans="2:17" x14ac:dyDescent="0.25">
      <c r="B72" t="str" cm="1">
        <f t="array" ref="B72:K72">B5:K5</f>
        <v>U-40</v>
      </c>
      <c r="C72" s="94">
        <v>7.5</v>
      </c>
      <c r="D72" s="94">
        <v>3.3333333333333335</v>
      </c>
      <c r="E72" s="94">
        <v>2.625</v>
      </c>
      <c r="F72" s="94">
        <v>0.48958333333333331</v>
      </c>
      <c r="G72" s="94">
        <v>0.41666666666666669</v>
      </c>
      <c r="H72" s="94">
        <v>4.583333333333333</v>
      </c>
      <c r="I72" s="94">
        <v>0.6875</v>
      </c>
      <c r="J72" s="94">
        <v>7.2916666666666671E-2</v>
      </c>
      <c r="K72" s="94" t="str">
        <v>NA</v>
      </c>
    </row>
    <row r="73" spans="2:17" x14ac:dyDescent="0.25">
      <c r="B73" t="str" cm="1">
        <f t="array" ref="B73:K73">B6:K6</f>
        <v>U-54</v>
      </c>
      <c r="C73" s="94">
        <v>8</v>
      </c>
      <c r="D73" s="94">
        <v>4.5</v>
      </c>
      <c r="E73" s="94">
        <v>2.625</v>
      </c>
      <c r="F73" s="94">
        <v>0.48958333333333331</v>
      </c>
      <c r="G73" s="94">
        <v>0.41666666666666669</v>
      </c>
      <c r="H73" s="94">
        <v>4.583333333333333</v>
      </c>
      <c r="I73" s="94">
        <v>0.6875</v>
      </c>
      <c r="J73" s="94">
        <v>7.2916666666666671E-2</v>
      </c>
      <c r="K73" s="94" t="str">
        <v>NA</v>
      </c>
    </row>
    <row r="77" spans="2:17" ht="45" x14ac:dyDescent="0.25">
      <c r="B77" s="135" t="s">
        <v>811</v>
      </c>
      <c r="C77" s="135" t="s">
        <v>747</v>
      </c>
      <c r="D77" s="135" t="s">
        <v>748</v>
      </c>
      <c r="E77" s="135" t="s">
        <v>749</v>
      </c>
      <c r="F77" s="135" t="s">
        <v>750</v>
      </c>
      <c r="G77" s="135" t="s">
        <v>751</v>
      </c>
      <c r="H77" s="135" t="s">
        <v>752</v>
      </c>
      <c r="I77" s="135" t="s">
        <v>753</v>
      </c>
      <c r="J77" s="135" t="s">
        <v>778</v>
      </c>
      <c r="K77" s="135" t="s">
        <v>779</v>
      </c>
    </row>
    <row r="78" spans="2:17" x14ac:dyDescent="0.25">
      <c r="B78" s="64" t="s">
        <v>63</v>
      </c>
      <c r="C78" s="128" cm="1">
        <f t="array" ref="C78:K78">_xlfn.XLOOKUP(B78,Table13[Girder Type],Table13[[Width (ft)]:[Bottom Taper Depth]])</f>
        <v>1</v>
      </c>
      <c r="D78" s="128">
        <v>2.3333333333333335</v>
      </c>
      <c r="E78" s="128">
        <v>1</v>
      </c>
      <c r="F78" s="128">
        <v>0.33333333333333331</v>
      </c>
      <c r="G78" s="128">
        <v>0.5</v>
      </c>
      <c r="H78" s="128">
        <v>1.3333333333333333</v>
      </c>
      <c r="I78" s="128">
        <v>0.41666666666666669</v>
      </c>
      <c r="J78" s="128">
        <v>0.25</v>
      </c>
      <c r="K78" s="128">
        <v>0.41666666666666669</v>
      </c>
    </row>
    <row r="81" spans="3:26" x14ac:dyDescent="0.25">
      <c r="C81" t="s">
        <v>797</v>
      </c>
      <c r="D81" t="s">
        <v>798</v>
      </c>
      <c r="M81" t="s">
        <v>773</v>
      </c>
      <c r="N81" t="s">
        <v>774</v>
      </c>
      <c r="P81" t="s">
        <v>799</v>
      </c>
      <c r="Q81" t="s">
        <v>800</v>
      </c>
      <c r="S81" t="s">
        <v>801</v>
      </c>
      <c r="T81" t="s">
        <v>802</v>
      </c>
      <c r="V81" t="s">
        <v>803</v>
      </c>
      <c r="W81" t="s">
        <v>804</v>
      </c>
      <c r="Y81" t="s">
        <v>931</v>
      </c>
      <c r="Z81" t="s">
        <v>932</v>
      </c>
    </row>
    <row r="82" spans="3:26" x14ac:dyDescent="0.25">
      <c r="C82">
        <f>0</f>
        <v>0</v>
      </c>
      <c r="D82">
        <v>0</v>
      </c>
      <c r="G82" t="str">
        <f>"Type " &amp; B78</f>
        <v>Type A</v>
      </c>
      <c r="M82">
        <f>0</f>
        <v>0</v>
      </c>
      <c r="N82">
        <v>0</v>
      </c>
      <c r="P82">
        <f>0</f>
        <v>0</v>
      </c>
      <c r="Q82">
        <v>0</v>
      </c>
      <c r="S82">
        <f>0</f>
        <v>0</v>
      </c>
      <c r="T82">
        <v>0</v>
      </c>
      <c r="V82">
        <f>0</f>
        <v>0</v>
      </c>
      <c r="W82">
        <v>0</v>
      </c>
      <c r="Y82" s="162">
        <f>0</f>
        <v>0</v>
      </c>
      <c r="Z82" s="163">
        <v>0</v>
      </c>
    </row>
    <row r="83" spans="3:26" x14ac:dyDescent="0.25">
      <c r="C83">
        <v>0</v>
      </c>
      <c r="D83" s="94">
        <f>-F78</f>
        <v>-0.33333333333333331</v>
      </c>
      <c r="M83">
        <v>0</v>
      </c>
      <c r="N83" s="94">
        <f>-F98</f>
        <v>-0.66666666666666663</v>
      </c>
      <c r="P83">
        <v>0</v>
      </c>
      <c r="Q83" s="94">
        <f>-F99</f>
        <v>-0.33333333333333331</v>
      </c>
      <c r="S83">
        <v>0</v>
      </c>
      <c r="T83" s="94">
        <f>-F100</f>
        <v>-0.45833333333333331</v>
      </c>
      <c r="V83">
        <v>0</v>
      </c>
      <c r="W83" s="94">
        <f>-F101</f>
        <v>-0.5</v>
      </c>
      <c r="Y83" s="164">
        <v>0</v>
      </c>
      <c r="Z83" s="165">
        <f>-$F$102</f>
        <v>-0.33333333333333331</v>
      </c>
    </row>
    <row r="84" spans="3:26" x14ac:dyDescent="0.25">
      <c r="C84">
        <f>(C78-G78)/2</f>
        <v>0.25</v>
      </c>
      <c r="D84" s="94">
        <f>-F78-J78</f>
        <v>-0.58333333333333326</v>
      </c>
      <c r="M84">
        <f>(C98-G98)/2</f>
        <v>0.49999999999999994</v>
      </c>
      <c r="N84" s="94">
        <f>-F98-J98</f>
        <v>-1.1666666666666665</v>
      </c>
      <c r="P84">
        <f>(C99-G99)/2</f>
        <v>0.25</v>
      </c>
      <c r="Q84" s="94">
        <f>-F99-J99</f>
        <v>-0.58333333333333326</v>
      </c>
      <c r="S84">
        <f>(C100-G100)/2</f>
        <v>0.22916666666666669</v>
      </c>
      <c r="T84" s="94">
        <f>-F100-J100</f>
        <v>-0.6875</v>
      </c>
      <c r="V84">
        <f>(C101-G101)/2</f>
        <v>0.29166666666666669</v>
      </c>
      <c r="W84" s="94">
        <f>-F101-J101</f>
        <v>-0.79166666666666674</v>
      </c>
      <c r="Y84" s="162">
        <f>($C$102-$G$102)/2</f>
        <v>0.41666666666666663</v>
      </c>
      <c r="Z84" s="166">
        <f>-$F$102-$J$102</f>
        <v>-0.75</v>
      </c>
    </row>
    <row r="85" spans="3:26" x14ac:dyDescent="0.25">
      <c r="C85">
        <f>(C78-G78)/2</f>
        <v>0.25</v>
      </c>
      <c r="D85" s="94">
        <f>-D78+I78+K78</f>
        <v>-1.5</v>
      </c>
      <c r="M85">
        <f>(C98-G98)/2</f>
        <v>0.49999999999999994</v>
      </c>
      <c r="N85" s="94">
        <f>-D98+I98+K98</f>
        <v>-3.0833333333333335</v>
      </c>
      <c r="P85">
        <f>(C99-G99)/2</f>
        <v>0.25</v>
      </c>
      <c r="Q85" s="94">
        <f>-D99+I99+K99</f>
        <v>-1.5</v>
      </c>
      <c r="S85">
        <f>(C100-G100)/2</f>
        <v>0.22916666666666669</v>
      </c>
      <c r="T85" s="94">
        <f>-D100+I100+K100</f>
        <v>-1.8541666666666667</v>
      </c>
      <c r="V85">
        <f>(C101-G101)/2</f>
        <v>0.29166666666666669</v>
      </c>
      <c r="W85" s="94">
        <f>-D101+I101+K101</f>
        <v>-2.125</v>
      </c>
      <c r="Y85" s="164">
        <f>($C$102-$G$102)/2</f>
        <v>0.41666666666666663</v>
      </c>
      <c r="Z85" s="165">
        <f>-$D$102+$I$102+$K$102</f>
        <v>-3.416666666666667</v>
      </c>
    </row>
    <row r="86" spans="3:26" x14ac:dyDescent="0.25">
      <c r="C86">
        <f>(C78-H78)/2</f>
        <v>-0.16666666666666663</v>
      </c>
      <c r="D86" s="94">
        <f>-D78+I78</f>
        <v>-1.9166666666666667</v>
      </c>
      <c r="M86">
        <f>(C98-H98)/2</f>
        <v>-0.25</v>
      </c>
      <c r="N86" s="94">
        <f>-D98+I98</f>
        <v>-3.8333333333333335</v>
      </c>
      <c r="P86">
        <f>(C99-H99)/2</f>
        <v>-0.16666666666666663</v>
      </c>
      <c r="Q86" s="94">
        <f>-D99+I99</f>
        <v>-1.9166666666666667</v>
      </c>
      <c r="S86">
        <f>(C100-H100)/2</f>
        <v>-0.25</v>
      </c>
      <c r="T86" s="94">
        <f>-D100+I100</f>
        <v>-2.3333333333333335</v>
      </c>
      <c r="V86">
        <f>(C101-H101)/2</f>
        <v>-0.33333333333333326</v>
      </c>
      <c r="W86" s="94">
        <f>-D101+I101</f>
        <v>-2.75</v>
      </c>
      <c r="Y86" s="162">
        <f>($C$102-$H$102)/2</f>
        <v>0</v>
      </c>
      <c r="Z86" s="166">
        <f>-$D$102+$I$102</f>
        <v>-3.8333333333333335</v>
      </c>
    </row>
    <row r="87" spans="3:26" x14ac:dyDescent="0.25">
      <c r="C87">
        <f>(C78-H78)/2</f>
        <v>-0.16666666666666663</v>
      </c>
      <c r="D87" s="94">
        <f>-D78</f>
        <v>-2.3333333333333335</v>
      </c>
      <c r="M87">
        <f>(C98-H98)/2</f>
        <v>-0.25</v>
      </c>
      <c r="N87" s="94">
        <f>-D98</f>
        <v>-4.5</v>
      </c>
      <c r="P87">
        <f>(C99-H99)/2</f>
        <v>-0.16666666666666663</v>
      </c>
      <c r="Q87" s="94">
        <f>-D99</f>
        <v>-2.3333333333333335</v>
      </c>
      <c r="S87">
        <f>(C100-H100)/2</f>
        <v>-0.25</v>
      </c>
      <c r="T87" s="94">
        <f>-D100</f>
        <v>-2.8333333333333335</v>
      </c>
      <c r="V87">
        <f>(C101-H101)/2</f>
        <v>-0.33333333333333326</v>
      </c>
      <c r="W87" s="94">
        <f>-D101</f>
        <v>-3.3333333333333335</v>
      </c>
      <c r="Y87" s="164">
        <f>($C$102-$H$102)/2</f>
        <v>0</v>
      </c>
      <c r="Z87" s="165">
        <f>-$D$102</f>
        <v>-4.5</v>
      </c>
    </row>
    <row r="88" spans="3:26" x14ac:dyDescent="0.25">
      <c r="C88" s="94">
        <f>C78-C86</f>
        <v>1.1666666666666665</v>
      </c>
      <c r="D88" s="94">
        <f>-D78</f>
        <v>-2.3333333333333335</v>
      </c>
      <c r="M88" s="94">
        <f>C98-M86</f>
        <v>1.9166666666666665</v>
      </c>
      <c r="N88" s="94">
        <f>-D98</f>
        <v>-4.5</v>
      </c>
      <c r="P88" s="94">
        <f>C99-P86</f>
        <v>1.1666666666666665</v>
      </c>
      <c r="Q88" s="94">
        <f>-D99</f>
        <v>-2.3333333333333335</v>
      </c>
      <c r="S88" s="94">
        <f>C100-S86</f>
        <v>1.25</v>
      </c>
      <c r="T88" s="94">
        <f>-D100</f>
        <v>-2.8333333333333335</v>
      </c>
      <c r="V88" s="94">
        <f>C101-V86</f>
        <v>1.5</v>
      </c>
      <c r="W88" s="94">
        <f>-D101</f>
        <v>-3.3333333333333335</v>
      </c>
      <c r="Y88" s="167">
        <f>$C$102-$Y$86</f>
        <v>1.3333333333333333</v>
      </c>
      <c r="Z88" s="166">
        <f>-$D$102</f>
        <v>-4.5</v>
      </c>
    </row>
    <row r="89" spans="3:26" x14ac:dyDescent="0.25">
      <c r="C89" s="94">
        <f>C78-C87</f>
        <v>1.1666666666666665</v>
      </c>
      <c r="D89" s="94">
        <f>-D78+I78</f>
        <v>-1.9166666666666667</v>
      </c>
      <c r="M89" s="94">
        <f>C98-M87</f>
        <v>1.9166666666666665</v>
      </c>
      <c r="N89" s="94">
        <f>-D98+I98</f>
        <v>-3.8333333333333335</v>
      </c>
      <c r="P89" s="94">
        <f>C99-P87</f>
        <v>1.1666666666666665</v>
      </c>
      <c r="Q89" s="94">
        <f>-D99+I99</f>
        <v>-1.9166666666666667</v>
      </c>
      <c r="S89" s="94">
        <f>C100-S87</f>
        <v>1.25</v>
      </c>
      <c r="T89" s="94">
        <f>-D100+I100</f>
        <v>-2.3333333333333335</v>
      </c>
      <c r="V89" s="94">
        <f>C101-V87</f>
        <v>1.5</v>
      </c>
      <c r="W89" s="94">
        <f>-D101+I101</f>
        <v>-2.75</v>
      </c>
      <c r="Y89" s="168">
        <f>$C$102-$Y$87</f>
        <v>1.3333333333333333</v>
      </c>
      <c r="Z89" s="165">
        <f>-$D$102+$I$102</f>
        <v>-3.8333333333333335</v>
      </c>
    </row>
    <row r="90" spans="3:26" x14ac:dyDescent="0.25">
      <c r="C90">
        <f>(C78+G78)/2</f>
        <v>0.75</v>
      </c>
      <c r="D90" s="94">
        <f>-D78+I78+K78</f>
        <v>-1.5</v>
      </c>
      <c r="M90">
        <f>(C98+G98)/2</f>
        <v>1.1666666666666665</v>
      </c>
      <c r="N90" s="94">
        <f>-D98+I98+K98</f>
        <v>-3.0833333333333335</v>
      </c>
      <c r="P90">
        <f>(C99+G99)/2</f>
        <v>0.75</v>
      </c>
      <c r="Q90" s="94">
        <f>-D99+I99+K99</f>
        <v>-1.5</v>
      </c>
      <c r="S90">
        <f>(C100+G100)/2</f>
        <v>0.77083333333333326</v>
      </c>
      <c r="T90" s="94">
        <f>-D100+I100+K100</f>
        <v>-1.8541666666666667</v>
      </c>
      <c r="V90">
        <f>(C101+G101)/2</f>
        <v>0.875</v>
      </c>
      <c r="W90" s="94">
        <f>-D101+I101+K101</f>
        <v>-2.125</v>
      </c>
      <c r="Y90" s="162">
        <f>($C$102+$G$102)/2</f>
        <v>0.91666666666666663</v>
      </c>
      <c r="Z90" s="166">
        <f>-$D$102+$I$102+$K$102</f>
        <v>-3.416666666666667</v>
      </c>
    </row>
    <row r="91" spans="3:26" x14ac:dyDescent="0.25">
      <c r="C91">
        <f>(C78+G78)/2</f>
        <v>0.75</v>
      </c>
      <c r="D91" s="94">
        <f>-F78-J78</f>
        <v>-0.58333333333333326</v>
      </c>
      <c r="M91">
        <f>(C98+G98)/2</f>
        <v>1.1666666666666665</v>
      </c>
      <c r="N91" s="94">
        <f>-F98-J98</f>
        <v>-1.1666666666666665</v>
      </c>
      <c r="P91">
        <f>(C99+G99)/2</f>
        <v>0.75</v>
      </c>
      <c r="Q91" s="94">
        <f>-F99-J99</f>
        <v>-0.58333333333333326</v>
      </c>
      <c r="S91">
        <f>(C100+G100)/2</f>
        <v>0.77083333333333326</v>
      </c>
      <c r="T91" s="94">
        <f>-F100-J100</f>
        <v>-0.6875</v>
      </c>
      <c r="V91">
        <f>(C101+G101)/2</f>
        <v>0.875</v>
      </c>
      <c r="W91" s="94">
        <f>-F101-J101</f>
        <v>-0.79166666666666674</v>
      </c>
      <c r="Y91" s="164">
        <f>($C$102+$G$102)/2</f>
        <v>0.91666666666666663</v>
      </c>
      <c r="Z91" s="165">
        <f>-$F$102-$J$102</f>
        <v>-0.75</v>
      </c>
    </row>
    <row r="92" spans="3:26" x14ac:dyDescent="0.25">
      <c r="C92" s="94">
        <f>C78</f>
        <v>1</v>
      </c>
      <c r="D92" s="94">
        <f>-F78</f>
        <v>-0.33333333333333331</v>
      </c>
      <c r="M92" s="94">
        <f>C98</f>
        <v>1.6666666666666665</v>
      </c>
      <c r="N92" s="94">
        <f>-F98</f>
        <v>-0.66666666666666663</v>
      </c>
      <c r="P92" s="94">
        <f>C99</f>
        <v>1</v>
      </c>
      <c r="Q92" s="94">
        <f>-F99</f>
        <v>-0.33333333333333331</v>
      </c>
      <c r="S92" s="94">
        <f>C100</f>
        <v>1</v>
      </c>
      <c r="T92" s="94">
        <f>-F100</f>
        <v>-0.45833333333333331</v>
      </c>
      <c r="V92" s="94">
        <f>C101</f>
        <v>1.1666666666666667</v>
      </c>
      <c r="W92" s="94">
        <f>-F101</f>
        <v>-0.5</v>
      </c>
      <c r="Y92" s="167">
        <f>$C$102</f>
        <v>1.3333333333333333</v>
      </c>
      <c r="Z92" s="166">
        <f>-$F$102</f>
        <v>-0.33333333333333331</v>
      </c>
    </row>
    <row r="93" spans="3:26" x14ac:dyDescent="0.25">
      <c r="C93" s="94">
        <f>C78</f>
        <v>1</v>
      </c>
      <c r="D93">
        <v>0</v>
      </c>
      <c r="M93" s="94">
        <f>C98</f>
        <v>1.6666666666666665</v>
      </c>
      <c r="N93">
        <v>0</v>
      </c>
      <c r="P93" s="94">
        <f>C99</f>
        <v>1</v>
      </c>
      <c r="Q93">
        <v>0</v>
      </c>
      <c r="S93" s="94">
        <f>C100</f>
        <v>1</v>
      </c>
      <c r="T93">
        <v>0</v>
      </c>
      <c r="V93" s="94">
        <f>C101</f>
        <v>1.1666666666666667</v>
      </c>
      <c r="W93">
        <v>0</v>
      </c>
      <c r="Y93" s="168">
        <f>$C$102</f>
        <v>1.3333333333333333</v>
      </c>
      <c r="Z93" s="169">
        <v>0</v>
      </c>
    </row>
    <row r="94" spans="3:26" x14ac:dyDescent="0.25">
      <c r="C94">
        <v>0</v>
      </c>
      <c r="D94">
        <v>0</v>
      </c>
      <c r="M94">
        <v>0</v>
      </c>
      <c r="N94">
        <v>0</v>
      </c>
      <c r="P94">
        <v>0</v>
      </c>
      <c r="Q94">
        <v>0</v>
      </c>
      <c r="S94">
        <v>0</v>
      </c>
      <c r="T94">
        <v>0</v>
      </c>
      <c r="V94">
        <v>0</v>
      </c>
      <c r="W94">
        <v>0</v>
      </c>
      <c r="Y94" s="170">
        <v>0</v>
      </c>
      <c r="Z94" s="171">
        <v>0</v>
      </c>
    </row>
    <row r="97" spans="2:44" ht="45" x14ac:dyDescent="0.25">
      <c r="B97" s="135" t="s">
        <v>746</v>
      </c>
      <c r="C97" s="135" t="s">
        <v>747</v>
      </c>
      <c r="D97" s="135" t="s">
        <v>748</v>
      </c>
      <c r="E97" s="135" t="s">
        <v>749</v>
      </c>
      <c r="F97" s="135" t="s">
        <v>750</v>
      </c>
      <c r="G97" s="135" t="s">
        <v>751</v>
      </c>
      <c r="H97" s="135" t="s">
        <v>752</v>
      </c>
      <c r="I97" s="135" t="s">
        <v>753</v>
      </c>
      <c r="J97" s="135" t="s">
        <v>778</v>
      </c>
      <c r="K97" s="135" t="s">
        <v>779</v>
      </c>
    </row>
    <row r="98" spans="2:44" x14ac:dyDescent="0.25">
      <c r="B98" s="127" t="str" cm="1">
        <f t="array" ref="B98:K98">$B$14:$K$14</f>
        <v>IV</v>
      </c>
      <c r="C98" s="128">
        <v>1.6666666666666665</v>
      </c>
      <c r="D98" s="128">
        <v>4.5</v>
      </c>
      <c r="E98" s="128">
        <v>1.6666666666666665</v>
      </c>
      <c r="F98" s="128">
        <v>0.66666666666666663</v>
      </c>
      <c r="G98" s="128">
        <v>0.66666666666666663</v>
      </c>
      <c r="H98" s="128">
        <v>2.1666666666666665</v>
      </c>
      <c r="I98" s="128">
        <v>0.66666666666666663</v>
      </c>
      <c r="J98" s="128">
        <v>0.5</v>
      </c>
      <c r="K98" s="128">
        <v>0.75</v>
      </c>
    </row>
    <row r="99" spans="2:44" x14ac:dyDescent="0.25">
      <c r="B99" s="127" t="str" cm="1">
        <f t="array" ref="B99:K99">$B$15:$K$15</f>
        <v>A</v>
      </c>
      <c r="C99" s="128">
        <v>1</v>
      </c>
      <c r="D99" s="128">
        <v>2.3333333333333335</v>
      </c>
      <c r="E99" s="128">
        <v>1</v>
      </c>
      <c r="F99" s="128">
        <v>0.33333333333333331</v>
      </c>
      <c r="G99" s="128">
        <v>0.5</v>
      </c>
      <c r="H99" s="128">
        <v>1.3333333333333333</v>
      </c>
      <c r="I99" s="128">
        <v>0.41666666666666669</v>
      </c>
      <c r="J99" s="128">
        <v>0.25</v>
      </c>
      <c r="K99" s="128">
        <v>0.41666666666666669</v>
      </c>
      <c r="N99" s="94"/>
      <c r="O99" s="94"/>
      <c r="P99" s="94"/>
      <c r="Q99" s="94"/>
      <c r="R99" s="94"/>
      <c r="S99" s="94"/>
      <c r="T99" s="94"/>
      <c r="U99" s="94"/>
      <c r="V99" s="94"/>
      <c r="Y99" s="94"/>
      <c r="Z99" s="94"/>
      <c r="AA99" s="94"/>
      <c r="AB99" s="94"/>
      <c r="AC99" s="94"/>
      <c r="AD99" s="94"/>
      <c r="AE99" s="94"/>
      <c r="AF99" s="94"/>
      <c r="AG99" s="94"/>
      <c r="AJ99" s="94"/>
      <c r="AK99" s="94"/>
      <c r="AL99" s="94"/>
      <c r="AM99" s="94"/>
      <c r="AN99" s="94"/>
      <c r="AO99" s="94"/>
      <c r="AP99" s="94"/>
      <c r="AQ99" s="94"/>
      <c r="AR99" s="94"/>
    </row>
    <row r="100" spans="2:44" x14ac:dyDescent="0.25">
      <c r="B100" s="127" t="str" cm="1">
        <f t="array" ref="B100:K100">$B$16:$K$16</f>
        <v>B</v>
      </c>
      <c r="C100" s="128">
        <v>1</v>
      </c>
      <c r="D100" s="128">
        <v>2.8333333333333335</v>
      </c>
      <c r="E100" s="128">
        <v>1</v>
      </c>
      <c r="F100" s="128">
        <v>0.45833333333333331</v>
      </c>
      <c r="G100" s="128">
        <v>0.54166666666666663</v>
      </c>
      <c r="H100" s="128">
        <v>1.5</v>
      </c>
      <c r="I100" s="128">
        <v>0.5</v>
      </c>
      <c r="J100" s="128">
        <v>0.22916666666666666</v>
      </c>
      <c r="K100" s="128">
        <v>0.47916666666666669</v>
      </c>
    </row>
    <row r="101" spans="2:44" x14ac:dyDescent="0.25">
      <c r="B101" s="127" t="str" cm="1">
        <f t="array" ref="B101:K101">$B$17:$K$17</f>
        <v>C</v>
      </c>
      <c r="C101" s="128">
        <v>1.1666666666666667</v>
      </c>
      <c r="D101" s="128">
        <v>3.3333333333333335</v>
      </c>
      <c r="E101" s="128">
        <v>1.1666666666666667</v>
      </c>
      <c r="F101" s="128">
        <v>0.5</v>
      </c>
      <c r="G101" s="128">
        <v>0.58333333333333337</v>
      </c>
      <c r="H101" s="128">
        <v>1.8333333333333333</v>
      </c>
      <c r="I101" s="128">
        <v>0.58333333333333337</v>
      </c>
      <c r="J101" s="128">
        <v>0.29166666666666669</v>
      </c>
      <c r="K101" s="128">
        <v>0.625</v>
      </c>
    </row>
    <row r="102" spans="2:44" x14ac:dyDescent="0.25">
      <c r="B102" s="127" t="str" cm="1">
        <f t="array" ref="B102:K102">$B$18:$K$18</f>
        <v>Type_54</v>
      </c>
      <c r="C102" s="128">
        <v>1.3333333333333333</v>
      </c>
      <c r="D102" s="128">
        <v>4.5</v>
      </c>
      <c r="E102" s="128">
        <v>1.3333333333333333</v>
      </c>
      <c r="F102" s="128">
        <v>0.33333333333333331</v>
      </c>
      <c r="G102" s="128">
        <v>0.5</v>
      </c>
      <c r="H102" s="128">
        <v>1.3333333333333333</v>
      </c>
      <c r="I102" s="128">
        <v>0.66666666666666663</v>
      </c>
      <c r="J102" s="128">
        <v>0.41666666666666669</v>
      </c>
      <c r="K102" s="128">
        <v>0.41666666666666669</v>
      </c>
    </row>
    <row r="120" spans="3:16" x14ac:dyDescent="0.25">
      <c r="C120" t="s">
        <v>756</v>
      </c>
      <c r="D120" s="119">
        <v>38.3125</v>
      </c>
      <c r="E120" t="s">
        <v>757</v>
      </c>
      <c r="O120" s="120"/>
      <c r="P120" s="120"/>
    </row>
    <row r="121" spans="3:16" x14ac:dyDescent="0.25">
      <c r="C121" t="s">
        <v>758</v>
      </c>
      <c r="D121" s="119">
        <v>7.5</v>
      </c>
      <c r="E121" t="s">
        <v>759</v>
      </c>
      <c r="O121" s="94"/>
      <c r="P121" s="94"/>
    </row>
    <row r="122" spans="3:16" x14ac:dyDescent="0.25">
      <c r="C122" t="s">
        <v>760</v>
      </c>
      <c r="D122" s="121" t="s">
        <v>1</v>
      </c>
      <c r="O122" s="94"/>
      <c r="P122" s="94"/>
    </row>
    <row r="123" spans="3:16" x14ac:dyDescent="0.25">
      <c r="C123" t="s">
        <v>761</v>
      </c>
      <c r="D123" s="119">
        <v>5</v>
      </c>
    </row>
    <row r="124" spans="3:16" x14ac:dyDescent="0.25">
      <c r="C124" t="s">
        <v>762</v>
      </c>
      <c r="D124" s="122">
        <v>3.6145833333333299</v>
      </c>
      <c r="E124" t="s">
        <v>757</v>
      </c>
    </row>
    <row r="125" spans="3:16" x14ac:dyDescent="0.25">
      <c r="C125" t="s">
        <v>763</v>
      </c>
      <c r="D125" s="122">
        <v>3.6145833333333299</v>
      </c>
      <c r="E125" t="s">
        <v>757</v>
      </c>
    </row>
    <row r="126" spans="3:16" x14ac:dyDescent="0.25">
      <c r="C126" t="s">
        <v>764</v>
      </c>
      <c r="D126" s="123">
        <f>(D120-2*D124)/(D123-1)</f>
        <v>7.7708333333333348</v>
      </c>
      <c r="E126" t="s">
        <v>757</v>
      </c>
    </row>
    <row r="127" spans="3:16" x14ac:dyDescent="0.25">
      <c r="C127" t="s">
        <v>765</v>
      </c>
      <c r="D127" s="123">
        <f>D126-_xlfn.XLOOKUP(D122,Table13[Girder Type],Table13[Width (ft)])</f>
        <v>6.1041666666666679</v>
      </c>
      <c r="E127" t="s">
        <v>757</v>
      </c>
    </row>
    <row r="128" spans="3:16" x14ac:dyDescent="0.25">
      <c r="C128" t="s">
        <v>766</v>
      </c>
      <c r="D128" s="123">
        <f>(D120-2*D125)/(D123-1)</f>
        <v>7.7708333333333348</v>
      </c>
      <c r="E128" t="s">
        <v>757</v>
      </c>
    </row>
    <row r="129" spans="3:30" x14ac:dyDescent="0.25">
      <c r="C129" t="s">
        <v>767</v>
      </c>
      <c r="D129" s="123">
        <f>D128-_xlfn.XLOOKUP(D122,Table13[Girder Type],Table13[Width (ft)])</f>
        <v>6.1041666666666679</v>
      </c>
      <c r="E129" t="s">
        <v>757</v>
      </c>
    </row>
    <row r="135" spans="3:30" x14ac:dyDescent="0.25">
      <c r="Q135" t="str" cm="1">
        <f t="array" ref="Q135:AD135">_xlfn.HSTACK(Tx54_Points9[[#Headers],[Tx28_x]],Tx34_Points[[#Headers],[Tx34_x]],Tx40_Points[[#Headers],[Tx40_x]],Tx46_Points[[#Headers],[Tx46_x]],Tx54_Points[[#Headers],[Tx54_x]],Tx62_Points[[#Headers],[Tx62_x]],Tx70_Points[[#Headers],[Tx70_x]],U40_Points[[#Headers],[U-40_x]],U54_Points[[#Headers],[U-54_x]],IV_Points[[#Headers],[IV_x]],A_Points[[#Headers],[A_x]],B_Points[[#Headers],[B_x]],C_Points[[#Headers],[C_x]],Table5[[#Headers],[Type_54_x]])</f>
        <v>Tx28_x</v>
      </c>
      <c r="R135" t="str">
        <v>Tx34_x</v>
      </c>
      <c r="S135" t="str">
        <v>Tx40_x</v>
      </c>
      <c r="T135" t="str">
        <v>Tx46_x</v>
      </c>
      <c r="U135" t="str">
        <v>Tx54_x</v>
      </c>
      <c r="V135" t="str">
        <v>Tx62_x</v>
      </c>
      <c r="W135" t="str">
        <v>Tx70_x</v>
      </c>
      <c r="X135" t="str">
        <v>U-40_x</v>
      </c>
      <c r="Y135" t="str">
        <v>U-54_x</v>
      </c>
      <c r="Z135" t="str">
        <v>IV_x</v>
      </c>
      <c r="AA135" t="str">
        <v>A_x</v>
      </c>
      <c r="AB135" t="str">
        <v>B_x</v>
      </c>
      <c r="AC135" t="str">
        <v>C_x</v>
      </c>
      <c r="AD135" t="str">
        <v>Type_54_x</v>
      </c>
    </row>
    <row r="136" spans="3:30" x14ac:dyDescent="0.25">
      <c r="Q136" cm="1">
        <f t="array" ref="Q136:AD148">_xlfn.HSTACK(Tx54_Points9[Tx28_x],Tx34_Points[Tx34_x],Tx40_Points[Tx40_x],Tx46_Points[Tx46_x],Tx54_Points[Tx54_x],Tx62_Points[Tx62_x],Tx70_Points[Tx70_x],U40_Points[U-40_x],U54_Points[U-54_x],IV_Points[IV_x],A_Points[A_x],B_Points[B_x],C_Points[C_x],Table5[Type_54_x])</f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</row>
    <row r="137" spans="3:30" x14ac:dyDescent="0.25"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</row>
    <row r="138" spans="3:30" x14ac:dyDescent="0.25">
      <c r="D138" t="str">
        <f>"Bent i "&amp;D122&amp;" Girder Spa."</f>
        <v>Bent i IV Girder Spa.</v>
      </c>
      <c r="Q138">
        <v>1.2083333333333333</v>
      </c>
      <c r="R138">
        <v>1.2083333333333333</v>
      </c>
      <c r="S138">
        <v>1.2083333333333333</v>
      </c>
      <c r="T138">
        <v>1.2083333333333333</v>
      </c>
      <c r="U138">
        <v>1.2083333333333333</v>
      </c>
      <c r="V138">
        <v>1.4583333333333333</v>
      </c>
      <c r="W138">
        <v>1.4583333333333333</v>
      </c>
      <c r="X138">
        <v>0.89583333333333326</v>
      </c>
      <c r="Y138">
        <v>0.89583333333333326</v>
      </c>
      <c r="Z138">
        <v>0.49999999999999994</v>
      </c>
      <c r="AA138">
        <v>0.25</v>
      </c>
      <c r="AB138">
        <v>0.22916666666666669</v>
      </c>
      <c r="AC138">
        <v>0.29166666666666669</v>
      </c>
      <c r="AD138">
        <v>0.41666666666666663</v>
      </c>
    </row>
    <row r="139" spans="3:30" x14ac:dyDescent="0.25">
      <c r="Q139">
        <v>1.2083333333333333</v>
      </c>
      <c r="R139">
        <v>1.2083333333333333</v>
      </c>
      <c r="S139">
        <v>1.2083333333333333</v>
      </c>
      <c r="T139">
        <v>1.2083333333333333</v>
      </c>
      <c r="U139">
        <v>1.2083333333333333</v>
      </c>
      <c r="V139">
        <v>1.4583333333333333</v>
      </c>
      <c r="W139">
        <v>1.4583333333333333</v>
      </c>
      <c r="X139">
        <v>1.4583333333333335</v>
      </c>
      <c r="Y139">
        <v>1.7083333333333335</v>
      </c>
      <c r="Z139">
        <v>0.49999999999999994</v>
      </c>
      <c r="AA139">
        <v>0.25</v>
      </c>
      <c r="AB139">
        <v>0.22916666666666669</v>
      </c>
      <c r="AC139">
        <v>0.29166666666666669</v>
      </c>
      <c r="AD139">
        <v>0.41666666666666663</v>
      </c>
    </row>
    <row r="140" spans="3:30" x14ac:dyDescent="0.25">
      <c r="Q140">
        <v>0.16666666666666674</v>
      </c>
      <c r="R140">
        <v>0.16666666666666674</v>
      </c>
      <c r="S140">
        <v>0.16666666666666674</v>
      </c>
      <c r="T140">
        <v>0.16666666666666674</v>
      </c>
      <c r="U140">
        <v>0.16666666666666674</v>
      </c>
      <c r="V140">
        <v>0.41666666666666674</v>
      </c>
      <c r="W140">
        <v>0.41666666666666674</v>
      </c>
      <c r="X140">
        <v>6.0416666666666661</v>
      </c>
      <c r="Y140">
        <v>6.2916666666666661</v>
      </c>
      <c r="Z140">
        <v>-0.25</v>
      </c>
      <c r="AA140">
        <v>-0.16666666666666663</v>
      </c>
      <c r="AB140">
        <v>-0.25</v>
      </c>
      <c r="AC140">
        <v>-0.33333333333333326</v>
      </c>
      <c r="AD140">
        <v>0</v>
      </c>
    </row>
    <row r="141" spans="3:30" x14ac:dyDescent="0.25">
      <c r="Q141">
        <v>0.16666666666666674</v>
      </c>
      <c r="R141">
        <v>0.16666666666666674</v>
      </c>
      <c r="S141">
        <v>0.16666666666666674</v>
      </c>
      <c r="T141">
        <v>0.16666666666666674</v>
      </c>
      <c r="U141">
        <v>0.16666666666666674</v>
      </c>
      <c r="V141">
        <v>0.41666666666666674</v>
      </c>
      <c r="W141">
        <v>0.41666666666666674</v>
      </c>
      <c r="X141">
        <v>6.604166666666667</v>
      </c>
      <c r="Y141">
        <v>7.104166666666667</v>
      </c>
      <c r="Z141">
        <v>-0.25</v>
      </c>
      <c r="AA141">
        <v>-0.16666666666666663</v>
      </c>
      <c r="AB141">
        <v>-0.25</v>
      </c>
      <c r="AC141">
        <v>-0.33333333333333326</v>
      </c>
      <c r="AD141">
        <v>0</v>
      </c>
    </row>
    <row r="142" spans="3:30" x14ac:dyDescent="0.25">
      <c r="Q142">
        <v>2.833333333333333</v>
      </c>
      <c r="R142">
        <v>2.833333333333333</v>
      </c>
      <c r="S142">
        <v>2.833333333333333</v>
      </c>
      <c r="T142">
        <v>2.833333333333333</v>
      </c>
      <c r="U142">
        <v>2.833333333333333</v>
      </c>
      <c r="V142">
        <v>3.083333333333333</v>
      </c>
      <c r="W142">
        <v>3.083333333333333</v>
      </c>
      <c r="X142">
        <v>7.5</v>
      </c>
      <c r="Y142">
        <v>8</v>
      </c>
      <c r="Z142">
        <v>1.9166666666666665</v>
      </c>
      <c r="AA142">
        <v>1.1666666666666665</v>
      </c>
      <c r="AB142">
        <v>1.25</v>
      </c>
      <c r="AC142">
        <v>1.5</v>
      </c>
      <c r="AD142">
        <v>1.3333333333333333</v>
      </c>
    </row>
    <row r="143" spans="3:30" x14ac:dyDescent="0.25">
      <c r="Q143">
        <v>2.833333333333333</v>
      </c>
      <c r="R143">
        <v>2.833333333333333</v>
      </c>
      <c r="S143">
        <v>2.833333333333333</v>
      </c>
      <c r="T143">
        <v>2.833333333333333</v>
      </c>
      <c r="U143">
        <v>2.833333333333333</v>
      </c>
      <c r="V143">
        <v>3.083333333333333</v>
      </c>
      <c r="W143">
        <v>3.083333333333333</v>
      </c>
      <c r="X143">
        <v>7.5</v>
      </c>
      <c r="Y143">
        <v>8</v>
      </c>
      <c r="Z143">
        <v>1.9166666666666665</v>
      </c>
      <c r="AA143">
        <v>1.1666666666666665</v>
      </c>
      <c r="AB143">
        <v>1.25</v>
      </c>
      <c r="AC143">
        <v>1.5</v>
      </c>
      <c r="AD143">
        <v>1.3333333333333333</v>
      </c>
    </row>
    <row r="144" spans="3:30" x14ac:dyDescent="0.25">
      <c r="D144" cm="1">
        <f t="array" ref="D144:H156">MMULT(_xlfn.CHOOSECOLS(_xlfn.ANCHORARRAY(Q136),MATCH(D122 &amp; "_x",_xlfn.ANCHORARRAY(Q135),0)),_xlfn.SEQUENCE(1,D123,1,0))</f>
        <v>0</v>
      </c>
      <c r="E144">
        <v>0</v>
      </c>
      <c r="F144">
        <v>0</v>
      </c>
      <c r="G144">
        <v>0</v>
      </c>
      <c r="H144">
        <v>0</v>
      </c>
      <c r="Q144">
        <v>1.7916666666666667</v>
      </c>
      <c r="R144">
        <v>1.7916666666666667</v>
      </c>
      <c r="S144">
        <v>1.7916666666666667</v>
      </c>
      <c r="T144">
        <v>1.7916666666666667</v>
      </c>
      <c r="U144">
        <v>1.7916666666666667</v>
      </c>
      <c r="V144">
        <v>2.0416666666666665</v>
      </c>
      <c r="W144">
        <v>2.0416666666666665</v>
      </c>
      <c r="X144">
        <v>6.1875</v>
      </c>
      <c r="Y144">
        <v>6.6875</v>
      </c>
      <c r="Z144">
        <v>1.1666666666666665</v>
      </c>
      <c r="AA144">
        <v>0.75</v>
      </c>
      <c r="AB144">
        <v>0.77083333333333326</v>
      </c>
      <c r="AC144">
        <v>0.875</v>
      </c>
      <c r="AD144">
        <v>0.91666666666666663</v>
      </c>
    </row>
    <row r="145" spans="4:30" x14ac:dyDescent="0.25">
      <c r="D145">
        <v>0</v>
      </c>
      <c r="E145">
        <v>0</v>
      </c>
      <c r="F145">
        <v>0</v>
      </c>
      <c r="G145">
        <v>0</v>
      </c>
      <c r="H145">
        <v>0</v>
      </c>
      <c r="Q145">
        <v>1.7916666666666667</v>
      </c>
      <c r="R145">
        <v>1.7916666666666667</v>
      </c>
      <c r="S145">
        <v>1.7916666666666667</v>
      </c>
      <c r="T145">
        <v>1.7916666666666667</v>
      </c>
      <c r="U145">
        <v>1.7916666666666667</v>
      </c>
      <c r="V145">
        <v>2.0416666666666665</v>
      </c>
      <c r="W145">
        <v>2.0416666666666665</v>
      </c>
      <c r="X145">
        <v>5.6249999999999991</v>
      </c>
      <c r="Y145">
        <v>5.8749999999999991</v>
      </c>
      <c r="Z145">
        <v>1.1666666666666665</v>
      </c>
      <c r="AA145">
        <v>0.75</v>
      </c>
      <c r="AB145">
        <v>0.77083333333333326</v>
      </c>
      <c r="AC145">
        <v>0.875</v>
      </c>
      <c r="AD145">
        <v>0.91666666666666663</v>
      </c>
    </row>
    <row r="146" spans="4:30" x14ac:dyDescent="0.25">
      <c r="D146">
        <v>0.49999999999999994</v>
      </c>
      <c r="E146">
        <v>0.49999999999999994</v>
      </c>
      <c r="F146">
        <v>0.49999999999999994</v>
      </c>
      <c r="G146">
        <v>0.49999999999999994</v>
      </c>
      <c r="H146">
        <v>0.49999999999999994</v>
      </c>
      <c r="Q146">
        <v>3</v>
      </c>
      <c r="R146">
        <v>3</v>
      </c>
      <c r="S146">
        <v>3</v>
      </c>
      <c r="T146">
        <v>3</v>
      </c>
      <c r="U146">
        <v>3</v>
      </c>
      <c r="V146">
        <v>3.5</v>
      </c>
      <c r="W146">
        <v>3.5</v>
      </c>
      <c r="X146">
        <v>1.8750000000000002</v>
      </c>
      <c r="Y146">
        <v>2.125</v>
      </c>
      <c r="Z146">
        <v>1.6666666666666665</v>
      </c>
      <c r="AA146">
        <v>1</v>
      </c>
      <c r="AB146">
        <v>1</v>
      </c>
      <c r="AC146">
        <v>1.1666666666666667</v>
      </c>
      <c r="AD146">
        <v>1.3333333333333333</v>
      </c>
    </row>
    <row r="147" spans="4:30" x14ac:dyDescent="0.25">
      <c r="D147">
        <v>0.49999999999999994</v>
      </c>
      <c r="E147">
        <v>0.49999999999999994</v>
      </c>
      <c r="F147">
        <v>0.49999999999999994</v>
      </c>
      <c r="G147">
        <v>0.49999999999999994</v>
      </c>
      <c r="H147">
        <v>0.49999999999999994</v>
      </c>
      <c r="Q147">
        <v>3</v>
      </c>
      <c r="R147">
        <v>3</v>
      </c>
      <c r="S147">
        <v>3</v>
      </c>
      <c r="T147">
        <v>3</v>
      </c>
      <c r="U147">
        <v>3</v>
      </c>
      <c r="V147">
        <v>3.5</v>
      </c>
      <c r="W147">
        <v>3.5</v>
      </c>
      <c r="X147">
        <v>1.3125</v>
      </c>
      <c r="Y147">
        <v>1.3125</v>
      </c>
      <c r="Z147">
        <v>1.6666666666666665</v>
      </c>
      <c r="AA147">
        <v>1</v>
      </c>
      <c r="AB147">
        <v>1</v>
      </c>
      <c r="AC147">
        <v>1.1666666666666667</v>
      </c>
      <c r="AD147">
        <v>1.3333333333333333</v>
      </c>
    </row>
    <row r="148" spans="4:30" x14ac:dyDescent="0.25">
      <c r="D148">
        <v>-0.25</v>
      </c>
      <c r="E148">
        <v>-0.25</v>
      </c>
      <c r="F148">
        <v>-0.25</v>
      </c>
      <c r="G148">
        <v>-0.25</v>
      </c>
      <c r="H148">
        <v>-0.25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</row>
    <row r="149" spans="4:30" x14ac:dyDescent="0.25">
      <c r="D149">
        <v>-0.25</v>
      </c>
      <c r="E149">
        <v>-0.25</v>
      </c>
      <c r="F149">
        <v>-0.25</v>
      </c>
      <c r="G149">
        <v>-0.25</v>
      </c>
      <c r="H149">
        <v>-0.25</v>
      </c>
    </row>
    <row r="150" spans="4:30" x14ac:dyDescent="0.25">
      <c r="D150">
        <v>1.9166666666666665</v>
      </c>
      <c r="E150">
        <v>1.9166666666666665</v>
      </c>
      <c r="F150">
        <v>1.9166666666666665</v>
      </c>
      <c r="G150">
        <v>1.9166666666666665</v>
      </c>
      <c r="H150">
        <v>1.9166666666666665</v>
      </c>
    </row>
    <row r="151" spans="4:30" x14ac:dyDescent="0.25">
      <c r="D151">
        <v>1.9166666666666665</v>
      </c>
      <c r="E151">
        <v>1.9166666666666665</v>
      </c>
      <c r="F151">
        <v>1.9166666666666665</v>
      </c>
      <c r="G151">
        <v>1.9166666666666665</v>
      </c>
      <c r="H151">
        <v>1.9166666666666665</v>
      </c>
      <c r="Q151" t="str" cm="1">
        <f t="array" ref="Q151:AD151">_xlfn.HSTACK(Tx54_Points9[[#Headers],[Tx28_y]],Tx34_Points[[#Headers],[Tx34_y]],Tx40_Points[[#Headers],[Tx40_y]],Tx46_Points[[#Headers],[Tx46_y]],Tx54_Points[[#Headers],[Tx54_y]],Tx62_Points[[#Headers],[Tx62_y]],Tx70_Points[[#Headers],[Tx70_y]],U40_Points[[#Headers],[U-40_y]],U54_Points[[#Headers],[U-54_y]],IV_Points[[#Headers],[IV_y]],A_Points[[#Headers],[A_y]],B_Points[[#Headers],[B_y]],C_Points[[#Headers],[C_y]],Table5[[#Headers],[Type_54_y]])</f>
        <v>Tx28_y</v>
      </c>
      <c r="R151" t="str">
        <v>Tx34_y</v>
      </c>
      <c r="S151" t="str">
        <v>Tx40_y</v>
      </c>
      <c r="T151" t="str">
        <v>Tx46_y</v>
      </c>
      <c r="U151" t="str">
        <v>Tx54_y</v>
      </c>
      <c r="V151" t="str">
        <v>Tx62_y</v>
      </c>
      <c r="W151" t="str">
        <v>Tx70_y</v>
      </c>
      <c r="X151" t="str">
        <v>U-40_y</v>
      </c>
      <c r="Y151" t="str">
        <v>U-54_y</v>
      </c>
      <c r="Z151" t="str">
        <v>IV_y</v>
      </c>
      <c r="AA151" t="str">
        <v>A_y</v>
      </c>
      <c r="AB151" t="str">
        <v>B_y</v>
      </c>
      <c r="AC151" t="str">
        <v>C_y</v>
      </c>
      <c r="AD151" t="str">
        <v>Type_54_y</v>
      </c>
    </row>
    <row r="152" spans="4:30" x14ac:dyDescent="0.25">
      <c r="D152">
        <v>1.1666666666666665</v>
      </c>
      <c r="E152">
        <v>1.1666666666666665</v>
      </c>
      <c r="F152">
        <v>1.1666666666666665</v>
      </c>
      <c r="G152">
        <v>1.1666666666666665</v>
      </c>
      <c r="H152">
        <v>1.1666666666666665</v>
      </c>
      <c r="Q152" cm="1">
        <f t="array" ref="Q152:AD164">_xlfn.HSTACK(Tx54_Points9[Tx28_y],Tx34_Points[Tx34_y],Tx40_Points[Tx40_y],Tx46_Points[Tx46_y],Tx54_Points[Tx54_y],Tx62_Points[Tx62_y],Tx70_Points[Tx70_y],U40_Points[U-40_y],U54_Points[U-54_y],IV_Points[IV_y],A_Points[A_y],B_Points[B_y],C_Points[C_y],Table5[Type_54_y])</f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</row>
    <row r="153" spans="4:30" x14ac:dyDescent="0.25">
      <c r="D153">
        <v>1.1666666666666665</v>
      </c>
      <c r="E153">
        <v>1.1666666666666665</v>
      </c>
      <c r="F153">
        <v>1.1666666666666665</v>
      </c>
      <c r="G153">
        <v>1.1666666666666665</v>
      </c>
      <c r="H153">
        <v>1.1666666666666665</v>
      </c>
      <c r="Q153">
        <v>-0.29166666666666669</v>
      </c>
      <c r="R153">
        <v>-0.29166666666666669</v>
      </c>
      <c r="S153">
        <v>-0.29166666666666669</v>
      </c>
      <c r="T153">
        <v>-0.29166666666666669</v>
      </c>
      <c r="U153">
        <v>-0.29166666666666669</v>
      </c>
      <c r="V153">
        <v>-0.29166666666666669</v>
      </c>
      <c r="W153">
        <v>-0.29166666666666669</v>
      </c>
      <c r="X153">
        <v>-0.48958333333333331</v>
      </c>
      <c r="Y153">
        <v>-0.48958333333333331</v>
      </c>
      <c r="Z153">
        <v>-0.66666666666666663</v>
      </c>
      <c r="AA153">
        <v>-0.33333333333333331</v>
      </c>
      <c r="AB153">
        <v>-0.45833333333333331</v>
      </c>
      <c r="AC153">
        <v>-0.5</v>
      </c>
      <c r="AD153">
        <v>-0.33333333333333331</v>
      </c>
    </row>
    <row r="154" spans="4:30" x14ac:dyDescent="0.25">
      <c r="D154">
        <v>1.6666666666666665</v>
      </c>
      <c r="E154">
        <v>1.6666666666666665</v>
      </c>
      <c r="F154">
        <v>1.6666666666666665</v>
      </c>
      <c r="G154">
        <v>1.6666666666666665</v>
      </c>
      <c r="H154">
        <v>1.6666666666666665</v>
      </c>
      <c r="Q154" s="94">
        <v>-0.625</v>
      </c>
      <c r="R154">
        <v>-0.625</v>
      </c>
      <c r="S154">
        <v>-0.625</v>
      </c>
      <c r="T154">
        <v>-0.625</v>
      </c>
      <c r="U154">
        <v>-0.625</v>
      </c>
      <c r="V154">
        <v>-0.625</v>
      </c>
      <c r="W154">
        <v>-0.625</v>
      </c>
      <c r="X154">
        <v>-0.5625</v>
      </c>
      <c r="Y154">
        <v>-0.5625</v>
      </c>
      <c r="Z154">
        <v>-1.1666666666666665</v>
      </c>
      <c r="AA154">
        <v>-0.58333333333333326</v>
      </c>
      <c r="AB154">
        <v>-0.6875</v>
      </c>
      <c r="AC154">
        <v>-0.79166666666666674</v>
      </c>
      <c r="AD154">
        <v>-0.75</v>
      </c>
    </row>
    <row r="155" spans="4:30" x14ac:dyDescent="0.25">
      <c r="D155">
        <v>1.6666666666666665</v>
      </c>
      <c r="E155">
        <v>1.6666666666666665</v>
      </c>
      <c r="F155">
        <v>1.6666666666666665</v>
      </c>
      <c r="G155">
        <v>1.6666666666666665</v>
      </c>
      <c r="H155">
        <v>1.6666666666666665</v>
      </c>
      <c r="Q155" s="94">
        <v>-1.125</v>
      </c>
      <c r="R155">
        <v>-1.625</v>
      </c>
      <c r="S155">
        <v>-2.125</v>
      </c>
      <c r="T155">
        <v>-2.4583333333333335</v>
      </c>
      <c r="U155">
        <v>-3.125</v>
      </c>
      <c r="V155">
        <v>-3.7916666666666665</v>
      </c>
      <c r="W155">
        <v>-4.458333333333333</v>
      </c>
      <c r="X155">
        <v>-3.3333333333333335</v>
      </c>
      <c r="Y155">
        <v>-4.5</v>
      </c>
      <c r="Z155">
        <v>-3.0833333333333335</v>
      </c>
      <c r="AA155">
        <v>-1.5</v>
      </c>
      <c r="AB155">
        <v>-1.8541666666666667</v>
      </c>
      <c r="AC155">
        <v>-2.125</v>
      </c>
      <c r="AD155">
        <v>-3.416666666666667</v>
      </c>
    </row>
    <row r="156" spans="4:30" x14ac:dyDescent="0.25">
      <c r="D156">
        <v>0</v>
      </c>
      <c r="E156">
        <v>0</v>
      </c>
      <c r="F156">
        <v>0</v>
      </c>
      <c r="G156">
        <v>0</v>
      </c>
      <c r="H156">
        <v>0</v>
      </c>
      <c r="Q156">
        <v>-1.7708333333333335</v>
      </c>
      <c r="R156">
        <v>-2.2708333333333335</v>
      </c>
      <c r="S156">
        <v>-2.7708333333333335</v>
      </c>
      <c r="T156">
        <v>-3.104166666666667</v>
      </c>
      <c r="U156">
        <v>-3.7708333333333335</v>
      </c>
      <c r="V156">
        <v>-4.4375</v>
      </c>
      <c r="W156">
        <v>-5.1041666666666661</v>
      </c>
      <c r="X156">
        <v>-3.3333333333333335</v>
      </c>
      <c r="Y156">
        <v>-4.5</v>
      </c>
      <c r="Z156">
        <v>-3.8333333333333335</v>
      </c>
      <c r="AA156">
        <v>-1.9166666666666667</v>
      </c>
      <c r="AB156">
        <v>-2.3333333333333335</v>
      </c>
      <c r="AC156">
        <v>-2.75</v>
      </c>
      <c r="AD156">
        <v>-3.8333333333333335</v>
      </c>
    </row>
    <row r="157" spans="4:30" x14ac:dyDescent="0.25">
      <c r="Q157">
        <v>-2.3333333333333335</v>
      </c>
      <c r="R157">
        <v>-2.8333333333333335</v>
      </c>
      <c r="S157">
        <v>-3.3333333333333335</v>
      </c>
      <c r="T157">
        <v>-3.8333333333333335</v>
      </c>
      <c r="U157">
        <v>-4.5</v>
      </c>
      <c r="V157">
        <v>-5.166666666666667</v>
      </c>
      <c r="W157">
        <v>-5.833333333333333</v>
      </c>
      <c r="X157">
        <v>-0.5625</v>
      </c>
      <c r="Y157">
        <v>-0.5625</v>
      </c>
      <c r="Z157">
        <v>-4.5</v>
      </c>
      <c r="AA157">
        <v>-2.3333333333333335</v>
      </c>
      <c r="AB157">
        <v>-2.8333333333333335</v>
      </c>
      <c r="AC157">
        <v>-3.3333333333333335</v>
      </c>
      <c r="AD157">
        <v>-4.5</v>
      </c>
    </row>
    <row r="158" spans="4:30" x14ac:dyDescent="0.25">
      <c r="Q158">
        <v>-2.3333333333333335</v>
      </c>
      <c r="R158">
        <v>-2.8333333333333335</v>
      </c>
      <c r="S158">
        <v>-3.3333333333333335</v>
      </c>
      <c r="T158">
        <v>-3.8333333333333335</v>
      </c>
      <c r="U158">
        <v>-4.5</v>
      </c>
      <c r="V158">
        <v>-5.166666666666667</v>
      </c>
      <c r="W158">
        <v>-5.833333333333333</v>
      </c>
      <c r="X158">
        <v>-0.48958333333333331</v>
      </c>
      <c r="Y158">
        <v>-0.48958333333333331</v>
      </c>
      <c r="Z158">
        <v>-4.5</v>
      </c>
      <c r="AA158">
        <v>-2.3333333333333335</v>
      </c>
      <c r="AB158">
        <v>-2.8333333333333335</v>
      </c>
      <c r="AC158">
        <v>-3.3333333333333335</v>
      </c>
      <c r="AD158">
        <v>-4.5</v>
      </c>
    </row>
    <row r="159" spans="4:30" x14ac:dyDescent="0.25">
      <c r="D159" cm="1">
        <f t="array" ref="D159:H171">_xlfn.LET(_xlpm.num_x,COUNTA(_xlfn.CHOOSECOLS(_xlfn.ANCHORARRAY(D144),1)),_xlpm.edge_offset,D124-_xlfn.XLOOKUP(D122,Table13[Girder Type],Table13[Width (ft)])/2,_xlpm.num_gir,D123,_xlpm.spa,D126,_xlfn.SEQUENCE(_xlpm.num_x,_xlpm.num_gir,1,0)*_xlpm.edge_offset+MMULT(_xlfn.SEQUENCE(_xlpm.num_x,,1,0),_xlfn.SEQUENCE(,_xlpm.num_gir,0))*_xlpm.spa)</f>
        <v>2.7812499999999964</v>
      </c>
      <c r="E159">
        <v>10.552083333333332</v>
      </c>
      <c r="F159">
        <v>18.322916666666664</v>
      </c>
      <c r="G159">
        <v>26.09375</v>
      </c>
      <c r="H159">
        <v>33.864583333333336</v>
      </c>
      <c r="Q159">
        <v>-1.7708333333333335</v>
      </c>
      <c r="R159">
        <v>-2.2708333333333335</v>
      </c>
      <c r="S159">
        <v>-2.7708333333333335</v>
      </c>
      <c r="T159">
        <v>-3.104166666666667</v>
      </c>
      <c r="U159">
        <v>-3.7708333333333335</v>
      </c>
      <c r="V159">
        <v>-4.4375</v>
      </c>
      <c r="W159">
        <v>-5.1041666666666661</v>
      </c>
      <c r="X159">
        <v>0</v>
      </c>
      <c r="Y159">
        <v>0</v>
      </c>
      <c r="Z159">
        <v>-3.8333333333333335</v>
      </c>
      <c r="AA159">
        <v>-1.9166666666666667</v>
      </c>
      <c r="AB159">
        <v>-2.3333333333333335</v>
      </c>
      <c r="AC159">
        <v>-2.75</v>
      </c>
      <c r="AD159">
        <v>-3.8333333333333335</v>
      </c>
    </row>
    <row r="160" spans="4:30" x14ac:dyDescent="0.25">
      <c r="D160">
        <v>2.7812499999999964</v>
      </c>
      <c r="E160">
        <v>10.552083333333332</v>
      </c>
      <c r="F160">
        <v>18.322916666666664</v>
      </c>
      <c r="G160">
        <v>26.09375</v>
      </c>
      <c r="H160">
        <v>33.864583333333336</v>
      </c>
      <c r="Q160">
        <v>-1.125</v>
      </c>
      <c r="R160">
        <v>-1.625</v>
      </c>
      <c r="S160">
        <v>-2.125</v>
      </c>
      <c r="T160">
        <v>-2.4583333333333335</v>
      </c>
      <c r="U160">
        <v>-3.125</v>
      </c>
      <c r="V160">
        <v>-3.7916666666666665</v>
      </c>
      <c r="W160">
        <v>-4.458333333333333</v>
      </c>
      <c r="X160">
        <v>0</v>
      </c>
      <c r="Y160">
        <v>0</v>
      </c>
      <c r="Z160">
        <v>-3.0833333333333335</v>
      </c>
      <c r="AA160">
        <v>-1.5</v>
      </c>
      <c r="AB160">
        <v>-1.8541666666666667</v>
      </c>
      <c r="AC160">
        <v>-2.125</v>
      </c>
      <c r="AD160">
        <v>-3.416666666666667</v>
      </c>
    </row>
    <row r="161" spans="4:30" x14ac:dyDescent="0.25">
      <c r="D161">
        <v>2.7812499999999964</v>
      </c>
      <c r="E161">
        <v>10.552083333333332</v>
      </c>
      <c r="F161">
        <v>18.322916666666664</v>
      </c>
      <c r="G161">
        <v>26.09375</v>
      </c>
      <c r="H161">
        <v>33.864583333333336</v>
      </c>
      <c r="Q161">
        <v>-0.625</v>
      </c>
      <c r="R161">
        <v>-0.625</v>
      </c>
      <c r="S161">
        <v>-0.625</v>
      </c>
      <c r="T161">
        <v>-0.625</v>
      </c>
      <c r="U161">
        <v>-0.625</v>
      </c>
      <c r="V161">
        <v>-0.625</v>
      </c>
      <c r="W161">
        <v>-0.625</v>
      </c>
      <c r="X161">
        <v>-2.6458333333333335</v>
      </c>
      <c r="Y161">
        <v>-3.8125</v>
      </c>
      <c r="Z161">
        <v>-1.1666666666666665</v>
      </c>
      <c r="AA161">
        <v>-0.58333333333333326</v>
      </c>
      <c r="AB161">
        <v>-0.6875</v>
      </c>
      <c r="AC161">
        <v>-0.79166666666666674</v>
      </c>
      <c r="AD161">
        <v>-0.75</v>
      </c>
    </row>
    <row r="162" spans="4:30" x14ac:dyDescent="0.25">
      <c r="D162">
        <v>2.7812499999999964</v>
      </c>
      <c r="E162">
        <v>10.552083333333332</v>
      </c>
      <c r="F162">
        <v>18.322916666666664</v>
      </c>
      <c r="G162">
        <v>26.09375</v>
      </c>
      <c r="H162">
        <v>33.864583333333336</v>
      </c>
      <c r="Q162">
        <v>-0.29166666666666669</v>
      </c>
      <c r="R162">
        <v>-0.29166666666666669</v>
      </c>
      <c r="S162">
        <v>-0.29166666666666669</v>
      </c>
      <c r="T162">
        <v>-0.29166666666666669</v>
      </c>
      <c r="U162">
        <v>-0.29166666666666669</v>
      </c>
      <c r="V162">
        <v>-0.29166666666666669</v>
      </c>
      <c r="W162">
        <v>-0.29166666666666669</v>
      </c>
      <c r="X162">
        <v>-2.6458333333333335</v>
      </c>
      <c r="Y162">
        <v>-3.8125</v>
      </c>
      <c r="Z162">
        <v>-0.66666666666666663</v>
      </c>
      <c r="AA162">
        <v>-0.33333333333333331</v>
      </c>
      <c r="AB162">
        <v>-0.45833333333333331</v>
      </c>
      <c r="AC162">
        <v>-0.5</v>
      </c>
      <c r="AD162">
        <v>-0.33333333333333331</v>
      </c>
    </row>
    <row r="163" spans="4:30" x14ac:dyDescent="0.25">
      <c r="D163">
        <v>2.7812499999999964</v>
      </c>
      <c r="E163">
        <v>10.552083333333332</v>
      </c>
      <c r="F163">
        <v>18.322916666666664</v>
      </c>
      <c r="G163">
        <v>26.09375</v>
      </c>
      <c r="H163">
        <v>33.864583333333336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</row>
    <row r="164" spans="4:30" x14ac:dyDescent="0.25">
      <c r="D164">
        <v>2.7812499999999964</v>
      </c>
      <c r="E164">
        <v>10.552083333333332</v>
      </c>
      <c r="F164">
        <v>18.322916666666664</v>
      </c>
      <c r="G164">
        <v>26.09375</v>
      </c>
      <c r="H164">
        <v>33.864583333333336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</row>
    <row r="165" spans="4:30" x14ac:dyDescent="0.25">
      <c r="D165">
        <v>2.7812499999999964</v>
      </c>
      <c r="E165">
        <v>10.552083333333332</v>
      </c>
      <c r="F165">
        <v>18.322916666666664</v>
      </c>
      <c r="G165">
        <v>26.09375</v>
      </c>
      <c r="H165">
        <v>33.864583333333336</v>
      </c>
    </row>
    <row r="166" spans="4:30" x14ac:dyDescent="0.25">
      <c r="D166">
        <v>2.7812499999999964</v>
      </c>
      <c r="E166">
        <v>10.552083333333332</v>
      </c>
      <c r="F166">
        <v>18.322916666666664</v>
      </c>
      <c r="G166">
        <v>26.09375</v>
      </c>
      <c r="H166">
        <v>33.864583333333336</v>
      </c>
    </row>
    <row r="167" spans="4:30" x14ac:dyDescent="0.25">
      <c r="D167">
        <v>2.7812499999999964</v>
      </c>
      <c r="E167">
        <v>10.552083333333332</v>
      </c>
      <c r="F167">
        <v>18.322916666666664</v>
      </c>
      <c r="G167">
        <v>26.09375</v>
      </c>
      <c r="H167">
        <v>33.864583333333336</v>
      </c>
    </row>
    <row r="168" spans="4:30" x14ac:dyDescent="0.25">
      <c r="D168">
        <v>2.7812499999999964</v>
      </c>
      <c r="E168">
        <v>10.552083333333332</v>
      </c>
      <c r="F168">
        <v>18.322916666666664</v>
      </c>
      <c r="G168">
        <v>26.09375</v>
      </c>
      <c r="H168">
        <v>33.864583333333336</v>
      </c>
    </row>
    <row r="169" spans="4:30" x14ac:dyDescent="0.25">
      <c r="D169">
        <v>2.7812499999999964</v>
      </c>
      <c r="E169">
        <v>10.552083333333332</v>
      </c>
      <c r="F169">
        <v>18.322916666666664</v>
      </c>
      <c r="G169">
        <v>26.09375</v>
      </c>
      <c r="H169">
        <v>33.864583333333336</v>
      </c>
    </row>
    <row r="170" spans="4:30" x14ac:dyDescent="0.25">
      <c r="D170">
        <v>2.7812499999999964</v>
      </c>
      <c r="E170">
        <v>10.552083333333332</v>
      </c>
      <c r="F170">
        <v>18.322916666666664</v>
      </c>
      <c r="G170">
        <v>26.09375</v>
      </c>
      <c r="H170">
        <v>33.864583333333336</v>
      </c>
    </row>
    <row r="171" spans="4:30" x14ac:dyDescent="0.25">
      <c r="D171">
        <v>2.7812499999999964</v>
      </c>
      <c r="E171">
        <v>10.552083333333332</v>
      </c>
      <c r="F171">
        <v>18.322916666666664</v>
      </c>
      <c r="G171">
        <v>26.09375</v>
      </c>
      <c r="H171">
        <v>33.864583333333336</v>
      </c>
    </row>
    <row r="173" spans="4:30" x14ac:dyDescent="0.25">
      <c r="D173" s="124" cm="1">
        <f t="array" ref="D173:H173">_xlfn.SEQUENCE(,D123)</f>
        <v>1</v>
      </c>
      <c r="E173" s="124">
        <v>2</v>
      </c>
      <c r="F173" s="124">
        <v>3</v>
      </c>
      <c r="G173" s="124">
        <v>4</v>
      </c>
      <c r="H173" s="124">
        <v>5</v>
      </c>
      <c r="I173" s="124"/>
      <c r="J173" s="124"/>
      <c r="K173" s="124"/>
      <c r="L173" s="124"/>
      <c r="M173" s="124"/>
      <c r="N173" s="124"/>
      <c r="O173" s="124"/>
      <c r="P173" s="124"/>
      <c r="Q173" s="124"/>
      <c r="R173" s="124"/>
      <c r="S173" s="124"/>
      <c r="T173" s="124"/>
    </row>
    <row r="174" spans="4:30" x14ac:dyDescent="0.25">
      <c r="D174" cm="1">
        <f t="array" ref="D174:H186">_xlfn.ANCHORARRAY(D144)+_xlfn.ANCHORARRAY(D159)</f>
        <v>2.7812499999999964</v>
      </c>
      <c r="E174">
        <v>10.552083333333332</v>
      </c>
      <c r="F174">
        <v>18.322916666666664</v>
      </c>
      <c r="G174">
        <v>26.09375</v>
      </c>
      <c r="H174">
        <v>33.864583333333336</v>
      </c>
    </row>
    <row r="175" spans="4:30" x14ac:dyDescent="0.25">
      <c r="D175">
        <v>2.7812499999999964</v>
      </c>
      <c r="E175">
        <v>10.552083333333332</v>
      </c>
      <c r="F175">
        <v>18.322916666666664</v>
      </c>
      <c r="G175">
        <v>26.09375</v>
      </c>
      <c r="H175">
        <v>33.864583333333336</v>
      </c>
    </row>
    <row r="176" spans="4:30" x14ac:dyDescent="0.25">
      <c r="D176">
        <v>3.2812499999999964</v>
      </c>
      <c r="E176">
        <v>11.052083333333332</v>
      </c>
      <c r="F176">
        <v>18.822916666666664</v>
      </c>
      <c r="G176">
        <v>26.59375</v>
      </c>
      <c r="H176">
        <v>34.364583333333336</v>
      </c>
    </row>
    <row r="177" spans="4:20" x14ac:dyDescent="0.25">
      <c r="D177">
        <v>3.2812499999999964</v>
      </c>
      <c r="E177">
        <v>11.052083333333332</v>
      </c>
      <c r="F177">
        <v>18.822916666666664</v>
      </c>
      <c r="G177">
        <v>26.59375</v>
      </c>
      <c r="H177">
        <v>34.364583333333336</v>
      </c>
    </row>
    <row r="178" spans="4:20" x14ac:dyDescent="0.25">
      <c r="D178">
        <v>2.5312499999999964</v>
      </c>
      <c r="E178">
        <v>10.302083333333332</v>
      </c>
      <c r="F178">
        <v>18.072916666666664</v>
      </c>
      <c r="G178">
        <v>25.84375</v>
      </c>
      <c r="H178">
        <v>33.614583333333336</v>
      </c>
    </row>
    <row r="179" spans="4:20" x14ac:dyDescent="0.25">
      <c r="D179">
        <v>2.5312499999999964</v>
      </c>
      <c r="E179">
        <v>10.302083333333332</v>
      </c>
      <c r="F179">
        <v>18.072916666666664</v>
      </c>
      <c r="G179">
        <v>25.84375</v>
      </c>
      <c r="H179">
        <v>33.614583333333336</v>
      </c>
    </row>
    <row r="180" spans="4:20" x14ac:dyDescent="0.25">
      <c r="D180">
        <v>4.6979166666666625</v>
      </c>
      <c r="E180">
        <v>12.468749999999998</v>
      </c>
      <c r="F180">
        <v>20.239583333333332</v>
      </c>
      <c r="G180">
        <v>28.010416666666668</v>
      </c>
      <c r="H180">
        <v>35.78125</v>
      </c>
    </row>
    <row r="181" spans="4:20" x14ac:dyDescent="0.25">
      <c r="D181">
        <v>4.6979166666666625</v>
      </c>
      <c r="E181">
        <v>12.468749999999998</v>
      </c>
      <c r="F181">
        <v>20.239583333333332</v>
      </c>
      <c r="G181">
        <v>28.010416666666668</v>
      </c>
      <c r="H181">
        <v>35.78125</v>
      </c>
    </row>
    <row r="182" spans="4:20" x14ac:dyDescent="0.25">
      <c r="D182">
        <v>3.947916666666663</v>
      </c>
      <c r="E182">
        <v>11.718749999999998</v>
      </c>
      <c r="F182">
        <v>19.489583333333332</v>
      </c>
      <c r="G182">
        <v>27.260416666666668</v>
      </c>
      <c r="H182">
        <v>35.03125</v>
      </c>
    </row>
    <row r="183" spans="4:20" x14ac:dyDescent="0.25">
      <c r="D183">
        <v>3.947916666666663</v>
      </c>
      <c r="E183">
        <v>11.718749999999998</v>
      </c>
      <c r="F183">
        <v>19.489583333333332</v>
      </c>
      <c r="G183">
        <v>27.260416666666668</v>
      </c>
      <c r="H183">
        <v>35.03125</v>
      </c>
    </row>
    <row r="184" spans="4:20" x14ac:dyDescent="0.25">
      <c r="D184">
        <v>4.4479166666666625</v>
      </c>
      <c r="E184">
        <v>12.218749999999998</v>
      </c>
      <c r="F184">
        <v>19.989583333333332</v>
      </c>
      <c r="G184">
        <v>27.760416666666668</v>
      </c>
      <c r="H184">
        <v>35.53125</v>
      </c>
    </row>
    <row r="185" spans="4:20" x14ac:dyDescent="0.25">
      <c r="D185">
        <v>4.4479166666666625</v>
      </c>
      <c r="E185">
        <v>12.218749999999998</v>
      </c>
      <c r="F185">
        <v>19.989583333333332</v>
      </c>
      <c r="G185">
        <v>27.760416666666668</v>
      </c>
      <c r="H185">
        <v>35.53125</v>
      </c>
    </row>
    <row r="186" spans="4:20" x14ac:dyDescent="0.25">
      <c r="D186">
        <v>2.7812499999999964</v>
      </c>
      <c r="E186">
        <v>10.552083333333332</v>
      </c>
      <c r="F186">
        <v>18.322916666666664</v>
      </c>
      <c r="G186">
        <v>26.09375</v>
      </c>
      <c r="H186">
        <v>33.864583333333336</v>
      </c>
    </row>
    <row r="188" spans="4:20" x14ac:dyDescent="0.25">
      <c r="D188" s="125" cm="1">
        <f t="array" ref="D188:H188">_xlfn.SEQUENCE(,D123)</f>
        <v>1</v>
      </c>
      <c r="E188" s="125">
        <v>2</v>
      </c>
      <c r="F188" s="125">
        <v>3</v>
      </c>
      <c r="G188" s="125">
        <v>4</v>
      </c>
      <c r="H188" s="125">
        <v>5</v>
      </c>
      <c r="I188" s="125"/>
      <c r="J188" s="125"/>
      <c r="K188" s="125"/>
      <c r="L188" s="125"/>
      <c r="M188" s="125"/>
      <c r="N188" s="125"/>
      <c r="O188" s="125"/>
      <c r="P188" s="125"/>
      <c r="Q188" s="125"/>
      <c r="R188" s="125"/>
      <c r="S188" s="125"/>
      <c r="T188" s="124"/>
    </row>
    <row r="189" spans="4:20" x14ac:dyDescent="0.25">
      <c r="D189" cm="1">
        <f t="array" ref="D189:H201">MMULT(_xlfn.CHOOSECOLS(_xlfn.ANCHORARRAY(Q152),MATCH(D122&amp;"_y",_xlfn.ANCHORARRAY(Q151),0)),_xlfn.SEQUENCE(1,D123,1,0))</f>
        <v>0</v>
      </c>
      <c r="E189">
        <v>0</v>
      </c>
      <c r="F189">
        <v>0</v>
      </c>
      <c r="G189">
        <v>0</v>
      </c>
      <c r="H189">
        <v>0</v>
      </c>
    </row>
    <row r="190" spans="4:20" x14ac:dyDescent="0.25">
      <c r="D190">
        <v>-0.66666666666666663</v>
      </c>
      <c r="E190">
        <v>-0.66666666666666663</v>
      </c>
      <c r="F190">
        <v>-0.66666666666666663</v>
      </c>
      <c r="G190">
        <v>-0.66666666666666663</v>
      </c>
      <c r="H190">
        <v>-0.66666666666666663</v>
      </c>
    </row>
    <row r="191" spans="4:20" x14ac:dyDescent="0.25">
      <c r="D191">
        <v>-1.1666666666666665</v>
      </c>
      <c r="E191">
        <v>-1.1666666666666665</v>
      </c>
      <c r="F191">
        <v>-1.1666666666666665</v>
      </c>
      <c r="G191">
        <v>-1.1666666666666665</v>
      </c>
      <c r="H191">
        <v>-1.1666666666666665</v>
      </c>
    </row>
    <row r="192" spans="4:20" x14ac:dyDescent="0.25">
      <c r="D192">
        <v>-3.0833333333333335</v>
      </c>
      <c r="E192">
        <v>-3.0833333333333335</v>
      </c>
      <c r="F192">
        <v>-3.0833333333333335</v>
      </c>
      <c r="G192">
        <v>-3.0833333333333335</v>
      </c>
      <c r="H192">
        <v>-3.0833333333333335</v>
      </c>
    </row>
    <row r="193" spans="4:8" x14ac:dyDescent="0.25">
      <c r="D193">
        <v>-3.8333333333333335</v>
      </c>
      <c r="E193">
        <v>-3.8333333333333335</v>
      </c>
      <c r="F193">
        <v>-3.8333333333333335</v>
      </c>
      <c r="G193">
        <v>-3.8333333333333335</v>
      </c>
      <c r="H193">
        <v>-3.8333333333333335</v>
      </c>
    </row>
    <row r="194" spans="4:8" x14ac:dyDescent="0.25">
      <c r="D194">
        <v>-4.5</v>
      </c>
      <c r="E194">
        <v>-4.5</v>
      </c>
      <c r="F194">
        <v>-4.5</v>
      </c>
      <c r="G194">
        <v>-4.5</v>
      </c>
      <c r="H194">
        <v>-4.5</v>
      </c>
    </row>
    <row r="195" spans="4:8" x14ac:dyDescent="0.25">
      <c r="D195">
        <v>-4.5</v>
      </c>
      <c r="E195">
        <v>-4.5</v>
      </c>
      <c r="F195">
        <v>-4.5</v>
      </c>
      <c r="G195">
        <v>-4.5</v>
      </c>
      <c r="H195">
        <v>-4.5</v>
      </c>
    </row>
    <row r="196" spans="4:8" x14ac:dyDescent="0.25">
      <c r="D196">
        <v>-3.8333333333333335</v>
      </c>
      <c r="E196">
        <v>-3.8333333333333335</v>
      </c>
      <c r="F196">
        <v>-3.8333333333333335</v>
      </c>
      <c r="G196">
        <v>-3.8333333333333335</v>
      </c>
      <c r="H196">
        <v>-3.8333333333333335</v>
      </c>
    </row>
    <row r="197" spans="4:8" x14ac:dyDescent="0.25">
      <c r="D197">
        <v>-3.0833333333333335</v>
      </c>
      <c r="E197">
        <v>-3.0833333333333335</v>
      </c>
      <c r="F197">
        <v>-3.0833333333333335</v>
      </c>
      <c r="G197">
        <v>-3.0833333333333335</v>
      </c>
      <c r="H197">
        <v>-3.0833333333333335</v>
      </c>
    </row>
    <row r="198" spans="4:8" x14ac:dyDescent="0.25">
      <c r="D198">
        <v>-1.1666666666666665</v>
      </c>
      <c r="E198">
        <v>-1.1666666666666665</v>
      </c>
      <c r="F198">
        <v>-1.1666666666666665</v>
      </c>
      <c r="G198">
        <v>-1.1666666666666665</v>
      </c>
      <c r="H198">
        <v>-1.1666666666666665</v>
      </c>
    </row>
    <row r="199" spans="4:8" x14ac:dyDescent="0.25">
      <c r="D199">
        <v>-0.66666666666666663</v>
      </c>
      <c r="E199">
        <v>-0.66666666666666663</v>
      </c>
      <c r="F199">
        <v>-0.66666666666666663</v>
      </c>
      <c r="G199">
        <v>-0.66666666666666663</v>
      </c>
      <c r="H199">
        <v>-0.66666666666666663</v>
      </c>
    </row>
    <row r="200" spans="4:8" x14ac:dyDescent="0.25">
      <c r="D200">
        <v>0</v>
      </c>
      <c r="E200">
        <v>0</v>
      </c>
      <c r="F200">
        <v>0</v>
      </c>
      <c r="G200">
        <v>0</v>
      </c>
      <c r="H200">
        <v>0</v>
      </c>
    </row>
    <row r="201" spans="4:8" x14ac:dyDescent="0.25">
      <c r="D201">
        <v>0</v>
      </c>
      <c r="E201">
        <v>0</v>
      </c>
      <c r="F201">
        <v>0</v>
      </c>
      <c r="G201">
        <v>0</v>
      </c>
      <c r="H201">
        <v>0</v>
      </c>
    </row>
    <row r="204" spans="4:8" x14ac:dyDescent="0.25">
      <c r="D204" t="s">
        <v>768</v>
      </c>
    </row>
    <row r="205" spans="4:8" x14ac:dyDescent="0.25">
      <c r="D205" t="s">
        <v>754</v>
      </c>
      <c r="E205" t="s">
        <v>755</v>
      </c>
    </row>
    <row r="206" spans="4:8" x14ac:dyDescent="0.25">
      <c r="D206">
        <v>0</v>
      </c>
      <c r="E206">
        <v>0</v>
      </c>
    </row>
    <row r="207" spans="4:8" x14ac:dyDescent="0.25">
      <c r="D207">
        <v>0</v>
      </c>
      <c r="E207">
        <f>$D$121/12</f>
        <v>0.625</v>
      </c>
    </row>
    <row r="208" spans="4:8" x14ac:dyDescent="0.25">
      <c r="D208">
        <f>$D$120</f>
        <v>38.3125</v>
      </c>
      <c r="E208">
        <f>$D$121/12</f>
        <v>0.625</v>
      </c>
    </row>
    <row r="209" spans="4:8" x14ac:dyDescent="0.25">
      <c r="D209">
        <f>$D$120</f>
        <v>38.3125</v>
      </c>
      <c r="E209">
        <v>0</v>
      </c>
    </row>
    <row r="210" spans="4:8" x14ac:dyDescent="0.25">
      <c r="D210">
        <v>0</v>
      </c>
      <c r="E210">
        <v>0</v>
      </c>
    </row>
    <row r="213" spans="4:8" x14ac:dyDescent="0.25">
      <c r="D213" cm="1">
        <f t="array" ref="D213:H225">MMULT(_xlfn.CHOOSECOLS(_xlfn.ANCHORARRAY(Q136),MATCH(D122 &amp; "_x",_xlfn.ANCHORARRAY(Q135),0)),_xlfn.SEQUENCE(1,D123,1,0))+_xlfn.LET(_xlpm.num_x,COUNTA(_xlfn.CHOOSECOLS(_xlfn.ANCHORARRAY(D144),1)),_xlpm.edge_offset,D124-_xlfn.XLOOKUP(D122,Table13[Girder Type],Table13[Width (ft)])/2,_xlpm.num_gir,D123,_xlpm.spa,D126,_xlfn.SEQUENCE(_xlpm.num_x,_xlpm.num_gir,1,0)*_xlpm.edge_offset+MMULT(_xlfn.SEQUENCE(_xlpm.num_x,,1,0),_xlfn.SEQUENCE(,_xlpm.num_gir,0))*_xlpm.spa)</f>
        <v>2.7812499999999964</v>
      </c>
      <c r="E213">
        <v>10.552083333333332</v>
      </c>
      <c r="F213">
        <v>18.322916666666664</v>
      </c>
      <c r="G213">
        <v>26.09375</v>
      </c>
      <c r="H213">
        <v>33.864583333333336</v>
      </c>
    </row>
    <row r="214" spans="4:8" x14ac:dyDescent="0.25">
      <c r="D214">
        <v>2.7812499999999964</v>
      </c>
      <c r="E214">
        <v>10.552083333333332</v>
      </c>
      <c r="F214">
        <v>18.322916666666664</v>
      </c>
      <c r="G214">
        <v>26.09375</v>
      </c>
      <c r="H214">
        <v>33.864583333333336</v>
      </c>
    </row>
    <row r="215" spans="4:8" x14ac:dyDescent="0.25">
      <c r="D215">
        <v>3.2812499999999964</v>
      </c>
      <c r="E215">
        <v>11.052083333333332</v>
      </c>
      <c r="F215">
        <v>18.822916666666664</v>
      </c>
      <c r="G215">
        <v>26.59375</v>
      </c>
      <c r="H215">
        <v>34.364583333333336</v>
      </c>
    </row>
    <row r="216" spans="4:8" x14ac:dyDescent="0.25">
      <c r="D216">
        <v>3.2812499999999964</v>
      </c>
      <c r="E216">
        <v>11.052083333333332</v>
      </c>
      <c r="F216">
        <v>18.822916666666664</v>
      </c>
      <c r="G216">
        <v>26.59375</v>
      </c>
      <c r="H216">
        <v>34.364583333333336</v>
      </c>
    </row>
    <row r="217" spans="4:8" x14ac:dyDescent="0.25">
      <c r="D217">
        <v>2.5312499999999964</v>
      </c>
      <c r="E217">
        <v>10.302083333333332</v>
      </c>
      <c r="F217">
        <v>18.072916666666664</v>
      </c>
      <c r="G217">
        <v>25.84375</v>
      </c>
      <c r="H217">
        <v>33.614583333333336</v>
      </c>
    </row>
    <row r="218" spans="4:8" x14ac:dyDescent="0.25">
      <c r="D218">
        <v>2.5312499999999964</v>
      </c>
      <c r="E218">
        <v>10.302083333333332</v>
      </c>
      <c r="F218">
        <v>18.072916666666664</v>
      </c>
      <c r="G218">
        <v>25.84375</v>
      </c>
      <c r="H218">
        <v>33.614583333333336</v>
      </c>
    </row>
    <row r="219" spans="4:8" x14ac:dyDescent="0.25">
      <c r="D219">
        <v>4.6979166666666625</v>
      </c>
      <c r="E219">
        <v>12.468749999999998</v>
      </c>
      <c r="F219">
        <v>20.239583333333332</v>
      </c>
      <c r="G219">
        <v>28.010416666666668</v>
      </c>
      <c r="H219">
        <v>35.78125</v>
      </c>
    </row>
    <row r="220" spans="4:8" x14ac:dyDescent="0.25">
      <c r="D220">
        <v>4.6979166666666625</v>
      </c>
      <c r="E220">
        <v>12.468749999999998</v>
      </c>
      <c r="F220">
        <v>20.239583333333332</v>
      </c>
      <c r="G220">
        <v>28.010416666666668</v>
      </c>
      <c r="H220">
        <v>35.78125</v>
      </c>
    </row>
    <row r="221" spans="4:8" x14ac:dyDescent="0.25">
      <c r="D221">
        <v>3.947916666666663</v>
      </c>
      <c r="E221">
        <v>11.718749999999998</v>
      </c>
      <c r="F221">
        <v>19.489583333333332</v>
      </c>
      <c r="G221">
        <v>27.260416666666668</v>
      </c>
      <c r="H221">
        <v>35.03125</v>
      </c>
    </row>
    <row r="222" spans="4:8" x14ac:dyDescent="0.25">
      <c r="D222">
        <v>3.947916666666663</v>
      </c>
      <c r="E222">
        <v>11.718749999999998</v>
      </c>
      <c r="F222">
        <v>19.489583333333332</v>
      </c>
      <c r="G222">
        <v>27.260416666666668</v>
      </c>
      <c r="H222">
        <v>35.03125</v>
      </c>
    </row>
    <row r="223" spans="4:8" x14ac:dyDescent="0.25">
      <c r="D223">
        <v>4.4479166666666625</v>
      </c>
      <c r="E223">
        <v>12.218749999999998</v>
      </c>
      <c r="F223">
        <v>19.989583333333332</v>
      </c>
      <c r="G223">
        <v>27.760416666666668</v>
      </c>
      <c r="H223">
        <v>35.53125</v>
      </c>
    </row>
    <row r="224" spans="4:8" x14ac:dyDescent="0.25">
      <c r="D224">
        <v>4.4479166666666625</v>
      </c>
      <c r="E224">
        <v>12.218749999999998</v>
      </c>
      <c r="F224">
        <v>19.989583333333332</v>
      </c>
      <c r="G224">
        <v>27.760416666666668</v>
      </c>
      <c r="H224">
        <v>35.53125</v>
      </c>
    </row>
    <row r="225" spans="4:8" x14ac:dyDescent="0.25">
      <c r="D225">
        <v>2.7812499999999964</v>
      </c>
      <c r="E225">
        <v>10.552083333333332</v>
      </c>
      <c r="F225">
        <v>18.322916666666664</v>
      </c>
      <c r="G225">
        <v>26.09375</v>
      </c>
      <c r="H225">
        <v>33.864583333333336</v>
      </c>
    </row>
  </sheetData>
  <conditionalFormatting sqref="B22">
    <cfRule type="expression" dxfId="32" priority="3">
      <formula>$A$4</formula>
    </cfRule>
  </conditionalFormatting>
  <conditionalFormatting sqref="B52">
    <cfRule type="expression" dxfId="31" priority="2">
      <formula>$A$4</formula>
    </cfRule>
  </conditionalFormatting>
  <conditionalFormatting sqref="B78">
    <cfRule type="expression" dxfId="30" priority="1">
      <formula>$A$4</formula>
    </cfRule>
  </conditionalFormatting>
  <dataValidations count="5">
    <dataValidation type="list" allowBlank="1" showInputMessage="1" showErrorMessage="1" sqref="D122" xr:uid="{CD76351B-FCA7-4A06-A2A8-22FAC15765AC}">
      <formula1>$B$5:$B$18</formula1>
    </dataValidation>
    <dataValidation type="list" allowBlank="1" showInputMessage="1" showErrorMessage="1" sqref="D123" xr:uid="{095BDC9F-4386-4F96-90F9-BE3811D9FD0B}">
      <formula1>"2,3,4,5,6,7,8,9,10"</formula1>
    </dataValidation>
    <dataValidation type="list" allowBlank="1" showInputMessage="1" showErrorMessage="1" sqref="B22" xr:uid="{5CAD52C3-D743-4B3F-AE77-3E4E2C261925}">
      <formula1>_xlfn.ANCHORARRAY($S$5)</formula1>
    </dataValidation>
    <dataValidation type="list" allowBlank="1" showInputMessage="1" showErrorMessage="1" sqref="B52" xr:uid="{64BF5D28-8E38-4E63-8B78-DC6110FFCD4A}">
      <formula1>_xlfn.ANCHORARRAY($T$5)</formula1>
    </dataValidation>
    <dataValidation type="list" allowBlank="1" showInputMessage="1" showErrorMessage="1" sqref="B78" xr:uid="{9D16ED8F-54E5-48E9-9469-F23C6414E057}">
      <formula1>_xlfn.ANCHORARRAY($U$5)</formula1>
    </dataValidation>
  </dataValidations>
  <pageMargins left="0.7" right="0.7" top="0.75" bottom="0.75" header="0.3" footer="0.3"/>
  <drawing r:id="rId1"/>
  <tableParts count="18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AACC1-12FF-4DBE-942C-FFCBA872F3D1}">
  <sheetPr codeName="Sheet6">
    <tabColor theme="6"/>
  </sheetPr>
  <dimension ref="A5:W286"/>
  <sheetViews>
    <sheetView workbookViewId="0"/>
  </sheetViews>
  <sheetFormatPr defaultRowHeight="15" x14ac:dyDescent="0.25"/>
  <cols>
    <col min="2" max="2" width="23.85546875" bestFit="1" customWidth="1"/>
    <col min="4" max="4" width="21" bestFit="1" customWidth="1"/>
    <col min="9" max="9" width="23.85546875" bestFit="1" customWidth="1"/>
    <col min="11" max="11" width="21" bestFit="1" customWidth="1"/>
    <col min="16" max="16" width="57.85546875" bestFit="1" customWidth="1"/>
    <col min="18" max="18" width="18.42578125" bestFit="1" customWidth="1"/>
    <col min="19" max="19" width="107.85546875" bestFit="1" customWidth="1"/>
    <col min="23" max="23" width="108.85546875" bestFit="1" customWidth="1"/>
  </cols>
  <sheetData>
    <row r="5" spans="1:23" x14ac:dyDescent="0.25">
      <c r="A5" s="360" t="s">
        <v>729</v>
      </c>
      <c r="B5" s="360"/>
      <c r="C5" s="360"/>
      <c r="D5" s="360"/>
      <c r="E5" s="360"/>
      <c r="H5" s="360" t="s">
        <v>725</v>
      </c>
      <c r="I5" s="360"/>
      <c r="J5" s="360"/>
      <c r="K5" s="360"/>
      <c r="L5" s="360"/>
      <c r="P5" s="98" t="s">
        <v>727</v>
      </c>
      <c r="R5" s="360" t="s">
        <v>728</v>
      </c>
      <c r="S5" s="360"/>
      <c r="V5" s="360" t="s">
        <v>848</v>
      </c>
      <c r="W5" s="360"/>
    </row>
    <row r="6" spans="1:23" x14ac:dyDescent="0.25">
      <c r="A6" s="96" t="s">
        <v>720</v>
      </c>
      <c r="B6" s="96" t="s">
        <v>721</v>
      </c>
      <c r="C6" s="96" t="s">
        <v>722</v>
      </c>
      <c r="D6" s="97" t="s">
        <v>723</v>
      </c>
      <c r="E6" s="96" t="s">
        <v>724</v>
      </c>
      <c r="H6" s="96" t="s">
        <v>720</v>
      </c>
      <c r="I6" s="96" t="s">
        <v>721</v>
      </c>
      <c r="J6" s="96" t="s">
        <v>722</v>
      </c>
      <c r="K6" s="97" t="s">
        <v>723</v>
      </c>
      <c r="L6" s="96" t="s">
        <v>724</v>
      </c>
      <c r="P6" s="96" t="s">
        <v>726</v>
      </c>
      <c r="R6" s="96" t="s">
        <v>730</v>
      </c>
      <c r="S6" s="96" t="s">
        <v>726</v>
      </c>
      <c r="V6" s="96" t="s">
        <v>730</v>
      </c>
      <c r="W6" s="96" t="s">
        <v>726</v>
      </c>
    </row>
    <row r="7" spans="1:23" x14ac:dyDescent="0.25">
      <c r="A7">
        <v>1</v>
      </c>
      <c r="B7" t="s">
        <v>1074</v>
      </c>
      <c r="C7">
        <f>'Bent Search'!$G$229</f>
        <v>0</v>
      </c>
      <c r="D7" s="93" t="s">
        <v>1075</v>
      </c>
      <c r="E7" cm="1">
        <f t="array" ref="E7:E263">_xlfn.NUMBERVALUE(SUBSTITUTE(D7:D263,"Bent Search'!$G$",""))</f>
        <v>229</v>
      </c>
      <c r="H7" cm="1">
        <f t="array" ref="H7:L263">_xlfn._xlws.SORT(A7:E263,5,)</f>
        <v>237</v>
      </c>
      <c r="I7" t="str">
        <v>ProjectSubject</v>
      </c>
      <c r="J7" t="str">
        <v>Bent 75R</v>
      </c>
      <c r="K7" t="str">
        <v>Bent Search'!$G$4</v>
      </c>
      <c r="L7">
        <v>4</v>
      </c>
      <c r="P7" t="str" cm="1">
        <f t="array" ref="P7:P263">_xlfn.CHOOSECOLS(_xlfn.ANCHORARRAY(H7),2) &amp; " = Range(""" &amp; _xlfn.CHOOSECOLS(_xlfn.ANCHORARRAY(H7),2) &amp; """)"</f>
        <v>ProjectSubject = Range("ProjectSubject")</v>
      </c>
      <c r="R7" t="s">
        <v>731</v>
      </c>
      <c r="S7" t="str" cm="1">
        <f t="array" ref="S7:S263">_xlfn.LET(_xlpm.list,_xlfn.CHOOSECOLS(_xlfn.ANCHORARRAY(H7),2),"Range("""&amp;_xlpm.list&amp;""") = wb2.Worksheets(""" &amp; R7:R246 &amp; """).Range(""" &amp;_xlpm.list&amp; """)" )</f>
        <v>Range("ProjectSubject") = wb2.Worksheets("Geometry").Range("ProjectSubject")</v>
      </c>
      <c r="V7" t="s">
        <v>731</v>
      </c>
      <c r="W7" t="str" cm="1">
        <f t="array" ref="W7:W263">_xlfn.LET(_xlpm.list,_xlfn.CHOOSECOLS(_xlfn.ANCHORARRAY(H7),2),"wb2.Worksheets(""" &amp; V7:V246 &amp; """).Range(""" &amp;_xlpm.list&amp; """) = " &amp; _xlpm.list)</f>
        <v>wb2.Worksheets("Geometry").Range("ProjectSubject") = ProjectSubject</v>
      </c>
    </row>
    <row r="8" spans="1:23" x14ac:dyDescent="0.25">
      <c r="A8">
        <v>2</v>
      </c>
      <c r="B8" t="s">
        <v>1076</v>
      </c>
      <c r="C8">
        <f>'Bent Search'!$G$230</f>
        <v>0</v>
      </c>
      <c r="D8" s="93" t="s">
        <v>1077</v>
      </c>
      <c r="E8">
        <v>230</v>
      </c>
      <c r="H8">
        <v>172</v>
      </c>
      <c r="I8" t="str">
        <v>ComplexGeom</v>
      </c>
      <c r="J8" t="b">
        <v>1</v>
      </c>
      <c r="K8" t="str">
        <v>Bent Search'!$G$5</v>
      </c>
      <c r="L8">
        <v>5</v>
      </c>
      <c r="P8" t="str">
        <v>ComplexGeom = Range("ComplexGeom")</v>
      </c>
      <c r="R8" t="s">
        <v>209</v>
      </c>
      <c r="S8" t="str">
        <v>Range("ComplexGeom") = wb2.Worksheets("Complex Geometry").Range("ComplexGeom")</v>
      </c>
      <c r="V8" t="s">
        <v>209</v>
      </c>
      <c r="W8" t="str">
        <v>wb2.Worksheets("Complex Geometry").Range("ComplexGeom") = ComplexGeom</v>
      </c>
    </row>
    <row r="9" spans="1:23" x14ac:dyDescent="0.25">
      <c r="A9">
        <v>3</v>
      </c>
      <c r="B9" t="s">
        <v>1078</v>
      </c>
      <c r="C9">
        <f>'Bent Search'!$G$228</f>
        <v>0</v>
      </c>
      <c r="D9" s="93" t="s">
        <v>1079</v>
      </c>
      <c r="E9">
        <v>228</v>
      </c>
      <c r="H9">
        <v>175</v>
      </c>
      <c r="I9" t="str">
        <v>DeckWidth</v>
      </c>
      <c r="J9">
        <v>43.182291666666664</v>
      </c>
      <c r="K9" t="str">
        <v>Bent Search'!$G$6</v>
      </c>
      <c r="L9">
        <v>6</v>
      </c>
      <c r="P9" t="str">
        <v>DeckWidth = Range("DeckWidth")</v>
      </c>
      <c r="R9" t="s">
        <v>731</v>
      </c>
      <c r="S9" t="str">
        <v>Range("DeckWidth") = wb2.Worksheets("Geometry").Range("DeckWidth")</v>
      </c>
      <c r="V9" t="s">
        <v>731</v>
      </c>
      <c r="W9" t="str">
        <v>wb2.Worksheets("Geometry").Range("DeckWidth") = DeckWidth</v>
      </c>
    </row>
    <row r="10" spans="1:23" x14ac:dyDescent="0.25">
      <c r="A10">
        <v>4</v>
      </c>
      <c r="B10" t="s">
        <v>1080</v>
      </c>
      <c r="C10">
        <f>'Bent Search'!$G$239</f>
        <v>0</v>
      </c>
      <c r="D10" s="93" t="s">
        <v>1081</v>
      </c>
      <c r="E10">
        <v>239</v>
      </c>
      <c r="H10">
        <v>174</v>
      </c>
      <c r="I10" t="str">
        <v>crossslope</v>
      </c>
      <c r="J10">
        <v>0.02</v>
      </c>
      <c r="K10" t="str">
        <v>Bent Search'!$G$7</v>
      </c>
      <c r="L10">
        <v>7</v>
      </c>
      <c r="P10" t="str">
        <v>crossslope = Range("crossslope")</v>
      </c>
      <c r="R10" t="s">
        <v>731</v>
      </c>
      <c r="S10" t="str">
        <v>Range("crossslope") = wb2.Worksheets("Geometry").Range("crossslope")</v>
      </c>
      <c r="V10" t="s">
        <v>731</v>
      </c>
      <c r="W10" t="str">
        <v>wb2.Worksheets("Geometry").Range("crossslope") = crossslope</v>
      </c>
    </row>
    <row r="11" spans="1:23" x14ac:dyDescent="0.25">
      <c r="A11">
        <v>5</v>
      </c>
      <c r="B11" t="s">
        <v>1082</v>
      </c>
      <c r="C11">
        <f>'Bent Search'!$G$238</f>
        <v>0</v>
      </c>
      <c r="D11" s="93" t="s">
        <v>1083</v>
      </c>
      <c r="E11">
        <v>238</v>
      </c>
      <c r="H11">
        <v>251</v>
      </c>
      <c r="I11" t="str">
        <v>slabthickness</v>
      </c>
      <c r="J11">
        <v>7</v>
      </c>
      <c r="K11" t="str">
        <v>Bent Search'!$G$8</v>
      </c>
      <c r="L11">
        <v>8</v>
      </c>
      <c r="P11" t="str">
        <v>slabthickness = Range("slabthickness")</v>
      </c>
      <c r="R11" t="s">
        <v>731</v>
      </c>
      <c r="S11" t="str">
        <v>Range("slabthickness") = wb2.Worksheets("Geometry").Range("slabthickness")</v>
      </c>
      <c r="V11" t="s">
        <v>731</v>
      </c>
      <c r="W11" t="str">
        <v>wb2.Worksheets("Geometry").Range("slabthickness") = slabthickness</v>
      </c>
    </row>
    <row r="12" spans="1:23" x14ac:dyDescent="0.25">
      <c r="A12">
        <v>6</v>
      </c>
      <c r="B12" t="s">
        <v>1084</v>
      </c>
      <c r="C12">
        <f>'Bent Search'!$G$237</f>
        <v>0</v>
      </c>
      <c r="D12" s="93" t="s">
        <v>1085</v>
      </c>
      <c r="E12">
        <v>237</v>
      </c>
      <c r="H12">
        <v>212</v>
      </c>
      <c r="I12" t="str">
        <v>FWSthickness</v>
      </c>
      <c r="J12">
        <v>0</v>
      </c>
      <c r="K12" t="str">
        <v>Bent Search'!$G$9</v>
      </c>
      <c r="L12">
        <v>9</v>
      </c>
      <c r="P12" t="str">
        <v>FWSthickness = Range("FWSthickness")</v>
      </c>
      <c r="R12" t="s">
        <v>731</v>
      </c>
      <c r="S12" t="str">
        <v>Range("FWSthickness") = wb2.Worksheets("Geometry").Range("FWSthickness")</v>
      </c>
      <c r="V12" t="s">
        <v>731</v>
      </c>
      <c r="W12" t="str">
        <v>wb2.Worksheets("Geometry").Range("FWSthickness") = FWSthickness</v>
      </c>
    </row>
    <row r="13" spans="1:23" x14ac:dyDescent="0.25">
      <c r="A13">
        <v>7</v>
      </c>
      <c r="B13" t="s">
        <v>1086</v>
      </c>
      <c r="C13" s="94" t="b">
        <f>'Bent Search'!$G$79</f>
        <v>0</v>
      </c>
      <c r="D13" s="93" t="s">
        <v>556</v>
      </c>
      <c r="E13">
        <v>79</v>
      </c>
      <c r="H13">
        <v>213</v>
      </c>
      <c r="I13" t="str">
        <v>FWSwt</v>
      </c>
      <c r="J13">
        <v>0.14000000000000001</v>
      </c>
      <c r="K13" t="str">
        <v>Bent Search'!$G$10</v>
      </c>
      <c r="L13">
        <v>10</v>
      </c>
      <c r="P13" t="str">
        <v>FWSwt = Range("FWSwt")</v>
      </c>
      <c r="R13" t="s">
        <v>731</v>
      </c>
      <c r="S13" t="str">
        <v>Range("FWSwt") = wb2.Worksheets("Geometry").Range("FWSwt")</v>
      </c>
      <c r="V13" t="s">
        <v>731</v>
      </c>
      <c r="W13" t="str">
        <v>wb2.Worksheets("Geometry").Range("FWSwt") = FWSwt</v>
      </c>
    </row>
    <row r="14" spans="1:23" x14ac:dyDescent="0.25">
      <c r="A14">
        <v>8</v>
      </c>
      <c r="B14" t="s">
        <v>283</v>
      </c>
      <c r="C14">
        <f>'Bent Search'!$G$66</f>
        <v>10</v>
      </c>
      <c r="D14" s="93" t="s">
        <v>288</v>
      </c>
      <c r="E14">
        <v>66</v>
      </c>
      <c r="H14">
        <v>257</v>
      </c>
      <c r="I14" t="str">
        <v>utilities</v>
      </c>
      <c r="J14">
        <v>0</v>
      </c>
      <c r="K14" t="str">
        <v>Bent Search'!$G$11</v>
      </c>
      <c r="L14">
        <v>11</v>
      </c>
      <c r="P14" t="str">
        <v>utilities = Range("utilities")</v>
      </c>
      <c r="R14" t="s">
        <v>731</v>
      </c>
      <c r="S14" t="str">
        <v>Range("utilities") = wb2.Worksheets("Geometry").Range("utilities")</v>
      </c>
      <c r="V14" t="s">
        <v>731</v>
      </c>
      <c r="W14" t="str">
        <v>wb2.Worksheets("Geometry").Range("utilities") = utilities</v>
      </c>
    </row>
    <row r="15" spans="1:23" x14ac:dyDescent="0.25">
      <c r="A15">
        <v>9</v>
      </c>
      <c r="B15" t="s">
        <v>285</v>
      </c>
      <c r="C15">
        <f>'Bent Search'!$G$67</f>
        <v>10</v>
      </c>
      <c r="D15" s="93" t="s">
        <v>300</v>
      </c>
      <c r="E15">
        <v>67</v>
      </c>
      <c r="H15">
        <v>54</v>
      </c>
      <c r="I15" t="str">
        <v>bkspangirder</v>
      </c>
      <c r="J15" t="str">
        <v>IV</v>
      </c>
      <c r="K15" t="str">
        <v>Bent Search'!$G$12</v>
      </c>
      <c r="L15">
        <v>12</v>
      </c>
      <c r="P15" t="str">
        <v>bkspangirder = Range("bkspangirder")</v>
      </c>
      <c r="R15" t="s">
        <v>731</v>
      </c>
      <c r="S15" t="str">
        <v>Range("bkspangirder") = wb2.Worksheets("Geometry").Range("bkspangirder")</v>
      </c>
      <c r="V15" t="s">
        <v>731</v>
      </c>
      <c r="W15" t="str">
        <v>wb2.Worksheets("Geometry").Range("bkspangirder") = bkspangirder</v>
      </c>
    </row>
    <row r="16" spans="1:23" x14ac:dyDescent="0.25">
      <c r="A16">
        <v>10</v>
      </c>
      <c r="B16" t="s">
        <v>287</v>
      </c>
      <c r="C16" t="str">
        <f>'Bent Search'!$G$68</f>
        <v/>
      </c>
      <c r="D16" s="93" t="s">
        <v>302</v>
      </c>
      <c r="E16">
        <v>68</v>
      </c>
      <c r="H16">
        <v>55</v>
      </c>
      <c r="I16" t="str">
        <v>bkspanhaunch</v>
      </c>
      <c r="J16">
        <v>1.75</v>
      </c>
      <c r="K16" t="str">
        <v>Bent Search'!$G$13</v>
      </c>
      <c r="L16">
        <v>13</v>
      </c>
      <c r="P16" t="str">
        <v>bkspanhaunch = Range("bkspanhaunch")</v>
      </c>
      <c r="R16" t="s">
        <v>731</v>
      </c>
      <c r="S16" t="str">
        <v>Range("bkspanhaunch") = wb2.Worksheets("Geometry").Range("bkspanhaunch")</v>
      </c>
      <c r="V16" t="s">
        <v>731</v>
      </c>
      <c r="W16" t="str">
        <v>wb2.Worksheets("Geometry").Range("bkspanhaunch") = bkspanhaunch</v>
      </c>
    </row>
    <row r="17" spans="1:23" x14ac:dyDescent="0.25">
      <c r="A17">
        <v>11</v>
      </c>
      <c r="B17" t="s">
        <v>289</v>
      </c>
      <c r="C17">
        <f>'Bent Search'!$G$53</f>
        <v>0</v>
      </c>
      <c r="D17" s="93" t="s">
        <v>668</v>
      </c>
      <c r="E17">
        <v>53</v>
      </c>
      <c r="H17">
        <v>53</v>
      </c>
      <c r="I17" t="str">
        <v>bkbrgpad</v>
      </c>
      <c r="J17">
        <v>1.75</v>
      </c>
      <c r="K17" t="str">
        <v>Bent Search'!$G$14</v>
      </c>
      <c r="L17">
        <v>14</v>
      </c>
      <c r="P17" t="str">
        <v>bkbrgpad = Range("bkbrgpad")</v>
      </c>
      <c r="R17" t="s">
        <v>731</v>
      </c>
      <c r="S17" t="str">
        <v>Range("bkbrgpad") = wb2.Worksheets("Geometry").Range("bkbrgpad")</v>
      </c>
      <c r="V17" t="s">
        <v>731</v>
      </c>
      <c r="W17" t="str">
        <v>wb2.Worksheets("Geometry").Range("bkbrgpad") = bkbrgpad</v>
      </c>
    </row>
    <row r="18" spans="1:23" x14ac:dyDescent="0.25">
      <c r="A18">
        <v>12</v>
      </c>
      <c r="B18" t="s">
        <v>291</v>
      </c>
      <c r="C18" t="str">
        <f>'Bent Search'!$G$76</f>
        <v>#5</v>
      </c>
      <c r="D18" s="93" t="s">
        <v>580</v>
      </c>
      <c r="E18">
        <v>76</v>
      </c>
      <c r="H18">
        <v>233</v>
      </c>
      <c r="I18" t="str">
        <v>PedestalHt</v>
      </c>
      <c r="J18">
        <v>1</v>
      </c>
      <c r="K18" t="str">
        <v>Bent Search'!$G$15</v>
      </c>
      <c r="L18">
        <v>15</v>
      </c>
      <c r="P18" t="str">
        <v>PedestalHt = Range("PedestalHt")</v>
      </c>
      <c r="R18" t="s">
        <v>731</v>
      </c>
      <c r="S18" t="str">
        <v>Range("PedestalHt") = wb2.Worksheets("Geometry").Range("PedestalHt")</v>
      </c>
      <c r="V18" t="s">
        <v>731</v>
      </c>
      <c r="W18" t="str">
        <v>wb2.Worksheets("Geometry").Range("PedestalHt") = PedestalHt</v>
      </c>
    </row>
    <row r="19" spans="1:23" x14ac:dyDescent="0.25">
      <c r="A19">
        <v>13</v>
      </c>
      <c r="B19" t="s">
        <v>293</v>
      </c>
      <c r="C19" t="str">
        <f>'Bent Search'!$G$64</f>
        <v>#11</v>
      </c>
      <c r="D19" s="93" t="s">
        <v>284</v>
      </c>
      <c r="E19">
        <v>64</v>
      </c>
      <c r="H19">
        <v>208</v>
      </c>
      <c r="I19" t="str">
        <v>fdspangirder</v>
      </c>
      <c r="J19" t="str">
        <v>IV</v>
      </c>
      <c r="K19" t="str">
        <v>Bent Search'!$G$16</v>
      </c>
      <c r="L19">
        <v>16</v>
      </c>
      <c r="P19" t="str">
        <v>fdspangirder = Range("fdspangirder")</v>
      </c>
      <c r="R19" t="s">
        <v>731</v>
      </c>
      <c r="S19" t="str">
        <v>Range("fdspangirder") = wb2.Worksheets("Geometry").Range("fdspangirder")</v>
      </c>
      <c r="V19" t="s">
        <v>731</v>
      </c>
      <c r="W19" t="str">
        <v>wb2.Worksheets("Geometry").Range("fdspangirder") = fdspangirder</v>
      </c>
    </row>
    <row r="20" spans="1:23" x14ac:dyDescent="0.25">
      <c r="A20">
        <v>14</v>
      </c>
      <c r="B20" t="s">
        <v>295</v>
      </c>
      <c r="C20">
        <f>'Bent Search'!$G$65</f>
        <v>3.75</v>
      </c>
      <c r="D20" s="93" t="s">
        <v>286</v>
      </c>
      <c r="E20">
        <v>65</v>
      </c>
      <c r="H20">
        <v>209</v>
      </c>
      <c r="I20" t="str">
        <v>fdspanhaunch</v>
      </c>
      <c r="J20">
        <v>1</v>
      </c>
      <c r="K20" t="str">
        <v>Bent Search'!$G$17</v>
      </c>
      <c r="L20">
        <v>17</v>
      </c>
      <c r="P20" t="str">
        <v>fdspanhaunch = Range("fdspanhaunch")</v>
      </c>
      <c r="R20" t="s">
        <v>731</v>
      </c>
      <c r="S20" t="str">
        <v>Range("fdspanhaunch") = wb2.Worksheets("Geometry").Range("fdspanhaunch")</v>
      </c>
      <c r="V20" t="s">
        <v>731</v>
      </c>
      <c r="W20" t="str">
        <v>wb2.Worksheets("Geometry").Range("fdspanhaunch") = fdspanhaunch</v>
      </c>
    </row>
    <row r="21" spans="1:23" x14ac:dyDescent="0.25">
      <c r="A21">
        <v>15</v>
      </c>
      <c r="B21" t="s">
        <v>297</v>
      </c>
      <c r="C21" t="str">
        <f>'Bent Search'!$G$75</f>
        <v>Double</v>
      </c>
      <c r="D21" s="93" t="s">
        <v>664</v>
      </c>
      <c r="E21">
        <v>75</v>
      </c>
      <c r="H21">
        <v>207</v>
      </c>
      <c r="I21" t="str">
        <v>fdbrgpad</v>
      </c>
      <c r="J21">
        <v>1.75</v>
      </c>
      <c r="K21" t="str">
        <v>Bent Search'!$G$18</v>
      </c>
      <c r="L21">
        <v>18</v>
      </c>
      <c r="P21" t="str">
        <v>fdbrgpad = Range("fdbrgpad")</v>
      </c>
      <c r="R21" t="s">
        <v>731</v>
      </c>
      <c r="S21" t="str">
        <v>Range("fdbrgpad") = wb2.Worksheets("Geometry").Range("fdbrgpad")</v>
      </c>
      <c r="V21" t="s">
        <v>731</v>
      </c>
      <c r="W21" t="str">
        <v>wb2.Worksheets("Geometry").Range("fdbrgpad") = fdbrgpad</v>
      </c>
    </row>
    <row r="22" spans="1:23" x14ac:dyDescent="0.25">
      <c r="A22">
        <v>16</v>
      </c>
      <c r="B22" t="s">
        <v>299</v>
      </c>
      <c r="C22" t="str">
        <f>'Bent Search'!$G$69</f>
        <v>#9</v>
      </c>
      <c r="D22" s="93" t="s">
        <v>366</v>
      </c>
      <c r="E22">
        <v>69</v>
      </c>
      <c r="H22">
        <v>235</v>
      </c>
      <c r="I22" t="str">
        <v>PGLradius</v>
      </c>
      <c r="J22">
        <v>0</v>
      </c>
      <c r="K22" t="str">
        <v>Bent Search'!$G$19</v>
      </c>
      <c r="L22">
        <v>19</v>
      </c>
      <c r="P22" t="str">
        <v>PGLradius = Range("PGLradius")</v>
      </c>
      <c r="R22" t="s">
        <v>731</v>
      </c>
      <c r="S22" t="str">
        <v>Range("PGLradius") = wb2.Worksheets("Geometry").Range("PGLradius")</v>
      </c>
      <c r="V22" t="s">
        <v>731</v>
      </c>
      <c r="W22" t="str">
        <v>wb2.Worksheets("Geometry").Range("PGLradius") = PGLradius</v>
      </c>
    </row>
    <row r="23" spans="1:23" x14ac:dyDescent="0.25">
      <c r="A23">
        <v>17</v>
      </c>
      <c r="B23" t="s">
        <v>301</v>
      </c>
      <c r="C23">
        <f>'Bent Search'!$G$70</f>
        <v>4</v>
      </c>
      <c r="D23" s="93" t="s">
        <v>368</v>
      </c>
      <c r="E23">
        <v>70</v>
      </c>
      <c r="H23">
        <v>234</v>
      </c>
      <c r="I23" t="str">
        <v>PGLdist</v>
      </c>
      <c r="J23">
        <v>-6.833333333333333</v>
      </c>
      <c r="K23" t="str">
        <v>Bent Search'!$G$20</v>
      </c>
      <c r="L23">
        <v>20</v>
      </c>
      <c r="P23" t="str">
        <v>PGLdist = Range("PGLdist")</v>
      </c>
      <c r="R23" t="s">
        <v>731</v>
      </c>
      <c r="S23" t="str">
        <v>Range("PGLdist") = wb2.Worksheets("Geometry").Range("PGLdist")</v>
      </c>
      <c r="V23" t="s">
        <v>731</v>
      </c>
      <c r="W23" t="str">
        <v>wb2.Worksheets("Geometry").Range("PGLdist") = PGLdist</v>
      </c>
    </row>
    <row r="24" spans="1:23" x14ac:dyDescent="0.25">
      <c r="A24">
        <v>18</v>
      </c>
      <c r="B24" t="s">
        <v>303</v>
      </c>
      <c r="C24" t="str">
        <f>'Bent Search'!$G$77</f>
        <v>#5</v>
      </c>
      <c r="D24" s="93" t="s">
        <v>666</v>
      </c>
      <c r="E24">
        <v>77</v>
      </c>
      <c r="H24">
        <v>230</v>
      </c>
      <c r="I24" t="str">
        <v>OSOHBack</v>
      </c>
      <c r="J24">
        <v>2.8333333333333335</v>
      </c>
      <c r="K24" t="str">
        <v>Bent Search'!$G$21</v>
      </c>
      <c r="L24">
        <v>21</v>
      </c>
      <c r="P24" t="str">
        <v>OSOHBack = Range("OSOHBack")</v>
      </c>
      <c r="R24" t="s">
        <v>731</v>
      </c>
      <c r="S24" t="str">
        <v>Range("OSOHBack") = wb2.Worksheets("Geometry").Range("OSOHBack")</v>
      </c>
      <c r="V24" t="s">
        <v>731</v>
      </c>
      <c r="W24" t="str">
        <v>wb2.Worksheets("Geometry").Range("OSOHBack") = OSOHBack</v>
      </c>
    </row>
    <row r="25" spans="1:23" x14ac:dyDescent="0.25">
      <c r="A25">
        <v>19</v>
      </c>
      <c r="B25" t="s">
        <v>852</v>
      </c>
      <c r="C25">
        <f>'Bent Search'!$G$246</f>
        <v>2</v>
      </c>
      <c r="D25" s="93" t="s">
        <v>1087</v>
      </c>
      <c r="E25">
        <v>246</v>
      </c>
      <c r="H25">
        <v>231</v>
      </c>
      <c r="I25" t="str">
        <v>OSOHBackRT</v>
      </c>
      <c r="J25">
        <v>2.8333333333333335</v>
      </c>
      <c r="K25" t="str">
        <v>Bent Search'!$G$22</v>
      </c>
      <c r="L25">
        <v>22</v>
      </c>
      <c r="P25" t="str">
        <v>OSOHBackRT = Range("OSOHBackRT")</v>
      </c>
      <c r="R25" t="s">
        <v>731</v>
      </c>
      <c r="S25" t="str">
        <v>Range("OSOHBackRT") = wb2.Worksheets("Geometry").Range("OSOHBackRT")</v>
      </c>
      <c r="V25" t="s">
        <v>731</v>
      </c>
      <c r="W25" t="str">
        <v>wb2.Worksheets("Geometry").Range("OSOHBackRT") = OSOHBackRT</v>
      </c>
    </row>
    <row r="26" spans="1:23" x14ac:dyDescent="0.25">
      <c r="A26">
        <v>20</v>
      </c>
      <c r="B26" t="s">
        <v>853</v>
      </c>
      <c r="C26" t="str">
        <f>'Bent Search'!$G$248</f>
        <v>#9</v>
      </c>
      <c r="D26" s="93" t="s">
        <v>1088</v>
      </c>
      <c r="E26">
        <v>248</v>
      </c>
      <c r="H26">
        <v>229</v>
      </c>
      <c r="I26" t="str">
        <v>OSOH</v>
      </c>
      <c r="J26">
        <v>2.8333333333333335</v>
      </c>
      <c r="K26" t="str">
        <v>Bent Search'!$G$23</v>
      </c>
      <c r="L26">
        <v>23</v>
      </c>
      <c r="P26" t="str">
        <v>OSOH = Range("OSOH")</v>
      </c>
      <c r="R26" t="s">
        <v>731</v>
      </c>
      <c r="S26" t="str">
        <v>Range("OSOH") = wb2.Worksheets("Geometry").Range("OSOH")</v>
      </c>
      <c r="V26" t="s">
        <v>731</v>
      </c>
      <c r="W26" t="str">
        <v>wb2.Worksheets("Geometry").Range("OSOH") = OSOH</v>
      </c>
    </row>
    <row r="27" spans="1:23" x14ac:dyDescent="0.25">
      <c r="A27">
        <v>21</v>
      </c>
      <c r="B27" t="s">
        <v>854</v>
      </c>
      <c r="C27" t="str">
        <f>'Bent Search'!$G$249</f>
        <v>EVERY</v>
      </c>
      <c r="D27" s="93" t="s">
        <v>1089</v>
      </c>
      <c r="E27">
        <v>249</v>
      </c>
      <c r="H27">
        <v>232</v>
      </c>
      <c r="I27" t="str">
        <v>OSOHRT</v>
      </c>
      <c r="J27">
        <v>2.8333333333333335</v>
      </c>
      <c r="K27" t="str">
        <v>Bent Search'!$G$24</v>
      </c>
      <c r="L27">
        <v>24</v>
      </c>
      <c r="P27" t="str">
        <v>OSOHRT = Range("OSOHRT")</v>
      </c>
      <c r="R27" t="s">
        <v>731</v>
      </c>
      <c r="S27" t="str">
        <v>Range("OSOHRT") = wb2.Worksheets("Geometry").Range("OSOHRT")</v>
      </c>
      <c r="V27" t="s">
        <v>731</v>
      </c>
      <c r="W27" t="str">
        <v>wb2.Worksheets("Geometry").Range("OSOHRT") = OSOHRT</v>
      </c>
    </row>
    <row r="28" spans="1:23" x14ac:dyDescent="0.25">
      <c r="A28">
        <v>22</v>
      </c>
      <c r="B28" t="s">
        <v>855</v>
      </c>
      <c r="C28" t="str">
        <f>'Bent Search'!$G$250</f>
        <v>#5</v>
      </c>
      <c r="D28" s="93" t="s">
        <v>1090</v>
      </c>
      <c r="E28">
        <v>250</v>
      </c>
      <c r="H28">
        <v>252</v>
      </c>
      <c r="I28" t="str">
        <v>super?</v>
      </c>
      <c r="J28" t="str">
        <v>Yes</v>
      </c>
      <c r="K28" t="str">
        <v>Bent Search'!$G$25</v>
      </c>
      <c r="L28">
        <v>25</v>
      </c>
      <c r="P28" t="str">
        <v>super? = Range("super?")</v>
      </c>
      <c r="R28" t="s">
        <v>731</v>
      </c>
      <c r="S28" t="str">
        <v>Range("super?") = wb2.Worksheets("Geometry").Range("super?")</v>
      </c>
      <c r="V28" t="s">
        <v>731</v>
      </c>
      <c r="W28" t="str">
        <v>wb2.Worksheets("Geometry").Range("super?") = super?</v>
      </c>
    </row>
    <row r="29" spans="1:23" x14ac:dyDescent="0.25">
      <c r="A29">
        <v>23</v>
      </c>
      <c r="B29" t="s">
        <v>856</v>
      </c>
      <c r="C29" t="str">
        <f>'Bent Search'!$G$251</f>
        <v>EVERY</v>
      </c>
      <c r="D29" s="93" t="s">
        <v>1091</v>
      </c>
      <c r="E29">
        <v>251</v>
      </c>
      <c r="H29">
        <v>177</v>
      </c>
      <c r="I29" t="str">
        <v>dsgnspeed</v>
      </c>
      <c r="J29">
        <v>50</v>
      </c>
      <c r="K29" t="str">
        <v>Bent Search'!$G$26</v>
      </c>
      <c r="L29">
        <v>26</v>
      </c>
      <c r="P29" t="str">
        <v>dsgnspeed = Range("dsgnspeed")</v>
      </c>
      <c r="R29" t="s">
        <v>731</v>
      </c>
      <c r="S29" t="str">
        <v>Range("dsgnspeed") = wb2.Worksheets("Geometry").Range("dsgnspeed")</v>
      </c>
      <c r="V29" t="s">
        <v>731</v>
      </c>
      <c r="W29" t="str">
        <v>wb2.Worksheets("Geometry").Range("dsgnspeed") = dsgnspeed</v>
      </c>
    </row>
    <row r="30" spans="1:23" x14ac:dyDescent="0.25">
      <c r="A30">
        <v>24</v>
      </c>
      <c r="B30" t="s">
        <v>851</v>
      </c>
      <c r="C30">
        <f>'Bent Search'!$G$247</f>
        <v>6</v>
      </c>
      <c r="D30" s="93" t="s">
        <v>1092</v>
      </c>
      <c r="E30">
        <v>247</v>
      </c>
      <c r="H30">
        <v>56</v>
      </c>
      <c r="I30" t="str">
        <v>bkspanpgl</v>
      </c>
      <c r="J30">
        <v>125</v>
      </c>
      <c r="K30" t="str">
        <v>Bent Search'!$G$27</v>
      </c>
      <c r="L30">
        <v>27</v>
      </c>
      <c r="P30" t="str">
        <v>bkspanpgl = Range("bkspanpgl")</v>
      </c>
      <c r="R30" t="s">
        <v>731</v>
      </c>
      <c r="S30" t="str">
        <v>Range("bkspanpgl") = wb2.Worksheets("Geometry").Range("bkspanpgl")</v>
      </c>
      <c r="V30" t="s">
        <v>731</v>
      </c>
      <c r="W30" t="str">
        <v>wb2.Worksheets("Geometry").Range("bkspanpgl") = bkspanpgl</v>
      </c>
    </row>
    <row r="31" spans="1:23" x14ac:dyDescent="0.25">
      <c r="A31">
        <v>25</v>
      </c>
      <c r="B31" t="s">
        <v>859</v>
      </c>
      <c r="C31">
        <f>'Bent Search'!$G$254</f>
        <v>3</v>
      </c>
      <c r="D31" s="93" t="s">
        <v>1093</v>
      </c>
      <c r="E31">
        <v>254</v>
      </c>
      <c r="H31">
        <v>210</v>
      </c>
      <c r="I31" t="str">
        <v>fdspanpgl</v>
      </c>
      <c r="J31">
        <v>115</v>
      </c>
      <c r="K31" t="str">
        <v>Bent Search'!$G$28</v>
      </c>
      <c r="L31">
        <v>28</v>
      </c>
      <c r="P31" t="str">
        <v>fdspanpgl = Range("fdspanpgl")</v>
      </c>
      <c r="R31" t="s">
        <v>731</v>
      </c>
      <c r="S31" t="str">
        <v>Range("fdspanpgl") = wb2.Worksheets("Geometry").Range("fdspanpgl")</v>
      </c>
      <c r="V31" t="s">
        <v>731</v>
      </c>
      <c r="W31" t="str">
        <v>wb2.Worksheets("Geometry").Range("fdspanpgl") = fdspanpgl</v>
      </c>
    </row>
    <row r="32" spans="1:23" x14ac:dyDescent="0.25">
      <c r="A32">
        <v>26</v>
      </c>
      <c r="B32" t="s">
        <v>857</v>
      </c>
      <c r="C32" t="str">
        <f>'Bent Search'!$G$252</f>
        <v>#5</v>
      </c>
      <c r="D32" s="93" t="s">
        <v>1094</v>
      </c>
      <c r="E32">
        <v>252</v>
      </c>
      <c r="H32">
        <v>243</v>
      </c>
      <c r="I32" t="str">
        <v>RailDistribution</v>
      </c>
      <c r="J32" t="b">
        <v>0</v>
      </c>
      <c r="K32" t="str">
        <v>Bent Search'!$G$29</v>
      </c>
      <c r="L32">
        <v>29</v>
      </c>
      <c r="P32" t="str">
        <v>RailDistribution = Range("RailDistribution")</v>
      </c>
      <c r="R32" t="s">
        <v>731</v>
      </c>
      <c r="S32" t="str">
        <v>Range("RailDistribution") = wb2.Worksheets("Geometry").Range("RailDistribution")</v>
      </c>
      <c r="V32" t="s">
        <v>731</v>
      </c>
      <c r="W32" t="str">
        <v>wb2.Worksheets("Geometry").Range("RailDistribution") = RailDistribution</v>
      </c>
    </row>
    <row r="33" spans="1:23" x14ac:dyDescent="0.25">
      <c r="A33">
        <v>27</v>
      </c>
      <c r="B33" t="s">
        <v>858</v>
      </c>
      <c r="C33">
        <f>'Bent Search'!$G$253</f>
        <v>3</v>
      </c>
      <c r="D33" s="93" t="s">
        <v>1095</v>
      </c>
      <c r="E33">
        <v>253</v>
      </c>
      <c r="H33">
        <v>244</v>
      </c>
      <c r="I33" t="str">
        <v>railLeft</v>
      </c>
      <c r="J33" t="str">
        <v>T4</v>
      </c>
      <c r="K33" t="str">
        <v>Bent Search'!$G$30</v>
      </c>
      <c r="L33">
        <v>30</v>
      </c>
      <c r="P33" t="str">
        <v>railLeft = Range("railLeft")</v>
      </c>
      <c r="R33" t="s">
        <v>731</v>
      </c>
      <c r="S33" t="str">
        <v>Range("railLeft") = wb2.Worksheets("Geometry").Range("railLeft")</v>
      </c>
      <c r="V33" t="s">
        <v>731</v>
      </c>
      <c r="W33" t="str">
        <v>wb2.Worksheets("Geometry").Range("railLeft") = railLeft</v>
      </c>
    </row>
    <row r="34" spans="1:23" x14ac:dyDescent="0.25">
      <c r="A34">
        <v>28</v>
      </c>
      <c r="B34" t="s">
        <v>1096</v>
      </c>
      <c r="C34">
        <f>'Bent Search'!$G$255</f>
        <v>2</v>
      </c>
      <c r="D34" s="93" t="s">
        <v>1097</v>
      </c>
      <c r="E34">
        <v>255</v>
      </c>
      <c r="H34">
        <v>245</v>
      </c>
      <c r="I34" t="str">
        <v>railRight</v>
      </c>
      <c r="J34" t="str">
        <v>T4</v>
      </c>
      <c r="K34" t="str">
        <v>Bent Search'!$G$31</v>
      </c>
      <c r="L34">
        <v>31</v>
      </c>
      <c r="P34" t="str">
        <v>railRight = Range("railRight")</v>
      </c>
      <c r="R34" t="s">
        <v>731</v>
      </c>
      <c r="S34" t="str">
        <v>Range("railRight") = wb2.Worksheets("Geometry").Range("railRight")</v>
      </c>
      <c r="V34" t="s">
        <v>731</v>
      </c>
      <c r="W34" t="str">
        <v>wb2.Worksheets("Geometry").Range("railRight") = railRight</v>
      </c>
    </row>
    <row r="35" spans="1:23" x14ac:dyDescent="0.25">
      <c r="A35">
        <v>29</v>
      </c>
      <c r="B35" t="s">
        <v>305</v>
      </c>
      <c r="C35">
        <f>'Bent Search'!$G$99</f>
        <v>2.8333333333333335</v>
      </c>
      <c r="D35" s="93" t="s">
        <v>336</v>
      </c>
      <c r="E35">
        <v>99</v>
      </c>
      <c r="H35">
        <v>238</v>
      </c>
      <c r="I35" t="str">
        <v>rail3rd</v>
      </c>
      <c r="J35" t="str">
        <v>None</v>
      </c>
      <c r="K35" t="str">
        <v>Bent Search'!$G$32</v>
      </c>
      <c r="L35">
        <v>32</v>
      </c>
      <c r="P35" t="str">
        <v>rail3rd = Range("rail3rd")</v>
      </c>
      <c r="R35" t="s">
        <v>731</v>
      </c>
      <c r="S35" t="str">
        <v>Range("rail3rd") = wb2.Worksheets("Geometry").Range("rail3rd")</v>
      </c>
      <c r="V35" t="s">
        <v>731</v>
      </c>
      <c r="W35" t="str">
        <v>wb2.Worksheets("Geometry").Range("rail3rd") = rail3rd</v>
      </c>
    </row>
    <row r="36" spans="1:23" x14ac:dyDescent="0.25">
      <c r="A36">
        <v>30</v>
      </c>
      <c r="B36" t="s">
        <v>307</v>
      </c>
      <c r="C36" t="str">
        <f>'Bent Search'!$G$108</f>
        <v/>
      </c>
      <c r="D36" s="93" t="s">
        <v>316</v>
      </c>
      <c r="E36">
        <v>108</v>
      </c>
      <c r="H36">
        <v>240</v>
      </c>
      <c r="I36" t="str">
        <v>RailDistributeBackStart</v>
      </c>
      <c r="J36" t="str">
        <v/>
      </c>
      <c r="K36" t="str">
        <v>Bent Search'!$G$33</v>
      </c>
      <c r="L36">
        <v>33</v>
      </c>
      <c r="P36" t="str">
        <v>RailDistributeBackStart = Range("RailDistributeBackStart")</v>
      </c>
      <c r="R36" t="s">
        <v>731</v>
      </c>
      <c r="S36" t="str">
        <v>Range("RailDistributeBackStart") = wb2.Worksheets("Geometry").Range("RailDistributeBackStart")</v>
      </c>
      <c r="V36" t="s">
        <v>731</v>
      </c>
      <c r="W36" t="str">
        <v>wb2.Worksheets("Geometry").Range("RailDistributeBackStart") = RailDistributeBackStart</v>
      </c>
    </row>
    <row r="37" spans="1:23" x14ac:dyDescent="0.25">
      <c r="A37">
        <v>31</v>
      </c>
      <c r="B37" t="s">
        <v>309</v>
      </c>
      <c r="C37" t="str">
        <f>'Bent Search'!$G$109</f>
        <v/>
      </c>
      <c r="D37" s="93" t="s">
        <v>318</v>
      </c>
      <c r="E37">
        <v>109</v>
      </c>
      <c r="H37">
        <v>239</v>
      </c>
      <c r="I37" t="str">
        <v>RailDistributeBackEnd</v>
      </c>
      <c r="J37" t="str">
        <v/>
      </c>
      <c r="K37" t="str">
        <v>Bent Search'!$G$34</v>
      </c>
      <c r="L37">
        <v>34</v>
      </c>
      <c r="P37" t="str">
        <v>RailDistributeBackEnd = Range("RailDistributeBackEnd")</v>
      </c>
      <c r="R37" t="s">
        <v>731</v>
      </c>
      <c r="S37" t="str">
        <v>Range("RailDistributeBackEnd") = wb2.Worksheets("Geometry").Range("RailDistributeBackEnd")</v>
      </c>
      <c r="V37" t="s">
        <v>731</v>
      </c>
      <c r="W37" t="str">
        <v>wb2.Worksheets("Geometry").Range("RailDistributeBackEnd") = RailDistributeBackEnd</v>
      </c>
    </row>
    <row r="38" spans="1:23" x14ac:dyDescent="0.25">
      <c r="A38">
        <v>32</v>
      </c>
      <c r="B38" t="s">
        <v>311</v>
      </c>
      <c r="C38" s="94" t="str">
        <f>'Bent Search'!$G$110</f>
        <v/>
      </c>
      <c r="D38" s="93" t="s">
        <v>320</v>
      </c>
      <c r="E38">
        <v>110</v>
      </c>
      <c r="H38">
        <v>242</v>
      </c>
      <c r="I38" t="str">
        <v>RailDistributeFwdStart</v>
      </c>
      <c r="J38" t="str">
        <v/>
      </c>
      <c r="K38" t="str">
        <v>Bent Search'!$G$35</v>
      </c>
      <c r="L38">
        <v>35</v>
      </c>
      <c r="P38" t="str">
        <v>RailDistributeFwdStart = Range("RailDistributeFwdStart")</v>
      </c>
      <c r="R38" t="s">
        <v>731</v>
      </c>
      <c r="S38" t="str">
        <v>Range("RailDistributeFwdStart") = wb2.Worksheets("Geometry").Range("RailDistributeFwdStart")</v>
      </c>
      <c r="V38" t="s">
        <v>731</v>
      </c>
      <c r="W38" t="str">
        <v>wb2.Worksheets("Geometry").Range("RailDistributeFwdStart") = RailDistributeFwdStart</v>
      </c>
    </row>
    <row r="39" spans="1:23" x14ac:dyDescent="0.25">
      <c r="A39">
        <v>33</v>
      </c>
      <c r="B39" t="s">
        <v>313</v>
      </c>
      <c r="C39" s="94" t="str">
        <f>'Bent Search'!$G$111</f>
        <v/>
      </c>
      <c r="D39" s="93" t="s">
        <v>322</v>
      </c>
      <c r="E39">
        <v>111</v>
      </c>
      <c r="H39">
        <v>241</v>
      </c>
      <c r="I39" t="str">
        <v>RailDistributeFwdEnd</v>
      </c>
      <c r="J39" t="str">
        <v/>
      </c>
      <c r="K39" t="str">
        <v>Bent Search'!$G$36</v>
      </c>
      <c r="L39">
        <v>36</v>
      </c>
      <c r="P39" t="str">
        <v>RailDistributeFwdEnd = Range("RailDistributeFwdEnd")</v>
      </c>
      <c r="R39" t="s">
        <v>731</v>
      </c>
      <c r="S39" t="str">
        <v>Range("RailDistributeFwdEnd") = wb2.Worksheets("Geometry").Range("RailDistributeFwdEnd")</v>
      </c>
      <c r="V39" t="s">
        <v>731</v>
      </c>
      <c r="W39" t="str">
        <v>wb2.Worksheets("Geometry").Range("RailDistributeFwdEnd") = RailDistributeFwdEnd</v>
      </c>
    </row>
    <row r="40" spans="1:23" x14ac:dyDescent="0.25">
      <c r="A40">
        <v>34</v>
      </c>
      <c r="B40" t="s">
        <v>315</v>
      </c>
      <c r="C40" s="94" t="str">
        <f>'Bent Search'!$G$112</f>
        <v/>
      </c>
      <c r="D40" s="93" t="s">
        <v>324</v>
      </c>
      <c r="E40">
        <v>112</v>
      </c>
      <c r="H40">
        <v>249</v>
      </c>
      <c r="I40" t="str">
        <v>sdwkwidth</v>
      </c>
      <c r="J40">
        <v>0</v>
      </c>
      <c r="K40" t="str">
        <v>Bent Search'!$G$37</v>
      </c>
      <c r="L40">
        <v>37</v>
      </c>
      <c r="P40" t="str">
        <v>sdwkwidth = Range("sdwkwidth")</v>
      </c>
      <c r="R40" t="s">
        <v>731</v>
      </c>
      <c r="S40" t="str">
        <v>Range("sdwkwidth") = wb2.Worksheets("Geometry").Range("sdwkwidth")</v>
      </c>
      <c r="V40" t="s">
        <v>731</v>
      </c>
      <c r="W40" t="str">
        <v>wb2.Worksheets("Geometry").Range("sdwkwidth") = sdwkwidth</v>
      </c>
    </row>
    <row r="41" spans="1:23" x14ac:dyDescent="0.25">
      <c r="A41">
        <v>35</v>
      </c>
      <c r="B41" t="s">
        <v>317</v>
      </c>
      <c r="C41" s="94" t="str">
        <f>'Bent Search'!$G$113</f>
        <v/>
      </c>
      <c r="D41" s="93" t="s">
        <v>326</v>
      </c>
      <c r="E41">
        <v>113</v>
      </c>
      <c r="H41">
        <v>248</v>
      </c>
      <c r="I41" t="str">
        <v>sdwkthickness</v>
      </c>
      <c r="J41">
        <v>0</v>
      </c>
      <c r="K41" t="str">
        <v>Bent Search'!$G$38</v>
      </c>
      <c r="L41">
        <v>38</v>
      </c>
      <c r="P41" t="str">
        <v>sdwkthickness = Range("sdwkthickness")</v>
      </c>
      <c r="R41" t="s">
        <v>731</v>
      </c>
      <c r="S41" t="str">
        <v>Range("sdwkthickness") = wb2.Worksheets("Geometry").Range("sdwkthickness")</v>
      </c>
      <c r="V41" t="s">
        <v>731</v>
      </c>
      <c r="W41" t="str">
        <v>wb2.Worksheets("Geometry").Range("sdwkthickness") = sdwkthickness</v>
      </c>
    </row>
    <row r="42" spans="1:23" x14ac:dyDescent="0.25">
      <c r="A42">
        <v>36</v>
      </c>
      <c r="B42" t="s">
        <v>319</v>
      </c>
      <c r="C42" s="94" t="str">
        <f>'Bent Search'!$G$114</f>
        <v/>
      </c>
      <c r="D42" s="93" t="s">
        <v>330</v>
      </c>
      <c r="E42">
        <v>114</v>
      </c>
      <c r="H42">
        <v>247</v>
      </c>
      <c r="I42" t="str">
        <v>sdwkdensity</v>
      </c>
      <c r="J42">
        <v>0.15</v>
      </c>
      <c r="K42" t="str">
        <v>Bent Search'!$G$39</v>
      </c>
      <c r="L42">
        <v>39</v>
      </c>
      <c r="P42" t="str">
        <v>sdwkdensity = Range("sdwkdensity")</v>
      </c>
      <c r="R42" t="s">
        <v>731</v>
      </c>
      <c r="S42" t="str">
        <v>Range("sdwkdensity") = wb2.Worksheets("Geometry").Range("sdwkdensity")</v>
      </c>
      <c r="V42" t="s">
        <v>731</v>
      </c>
      <c r="W42" t="str">
        <v>wb2.Worksheets("Geometry").Range("sdwkdensity") = sdwkdensity</v>
      </c>
    </row>
    <row r="43" spans="1:23" x14ac:dyDescent="0.25">
      <c r="A43">
        <v>37</v>
      </c>
      <c r="B43" t="s">
        <v>321</v>
      </c>
      <c r="C43" s="94" t="str">
        <f>'Bent Search'!$G$115</f>
        <v/>
      </c>
      <c r="D43" s="93" t="s">
        <v>644</v>
      </c>
      <c r="E43">
        <v>115</v>
      </c>
      <c r="H43">
        <v>254</v>
      </c>
      <c r="I43" t="str">
        <v>SWalkDistributeBackStart</v>
      </c>
      <c r="J43" t="str">
        <v/>
      </c>
      <c r="K43" t="str">
        <v>Bent Search'!$G$40</v>
      </c>
      <c r="L43">
        <v>40</v>
      </c>
      <c r="P43" t="str">
        <v>SWalkDistributeBackStart = Range("SWalkDistributeBackStart")</v>
      </c>
      <c r="R43" t="s">
        <v>731</v>
      </c>
      <c r="S43" t="str">
        <v>Range("SWalkDistributeBackStart") = wb2.Worksheets("Geometry").Range("SWalkDistributeBackStart")</v>
      </c>
      <c r="V43" t="s">
        <v>731</v>
      </c>
      <c r="W43" t="str">
        <v>wb2.Worksheets("Geometry").Range("SWalkDistributeBackStart") = SWalkDistributeBackStart</v>
      </c>
    </row>
    <row r="44" spans="1:23" x14ac:dyDescent="0.25">
      <c r="A44">
        <v>38</v>
      </c>
      <c r="B44" t="s">
        <v>323</v>
      </c>
      <c r="C44" t="str">
        <f>'Bent Search'!$G$116</f>
        <v/>
      </c>
      <c r="D44" s="93" t="s">
        <v>602</v>
      </c>
      <c r="E44">
        <v>116</v>
      </c>
      <c r="H44">
        <v>253</v>
      </c>
      <c r="I44" t="str">
        <v>SWalkDistributeBackEnd</v>
      </c>
      <c r="J44" t="str">
        <v/>
      </c>
      <c r="K44" t="str">
        <v>Bent Search'!$G$41</v>
      </c>
      <c r="L44">
        <v>41</v>
      </c>
      <c r="P44" t="str">
        <v>SWalkDistributeBackEnd = Range("SWalkDistributeBackEnd")</v>
      </c>
      <c r="R44" t="s">
        <v>731</v>
      </c>
      <c r="S44" t="str">
        <v>Range("SWalkDistributeBackEnd") = wb2.Worksheets("Geometry").Range("SWalkDistributeBackEnd")</v>
      </c>
      <c r="V44" t="s">
        <v>731</v>
      </c>
      <c r="W44" t="str">
        <v>wb2.Worksheets("Geometry").Range("SWalkDistributeBackEnd") = SWalkDistributeBackEnd</v>
      </c>
    </row>
    <row r="45" spans="1:23" x14ac:dyDescent="0.25">
      <c r="A45">
        <v>39</v>
      </c>
      <c r="B45" t="s">
        <v>325</v>
      </c>
      <c r="C45" s="94" t="str">
        <f>'Bent Search'!$G$117</f>
        <v/>
      </c>
      <c r="D45" s="93" t="s">
        <v>624</v>
      </c>
      <c r="E45">
        <v>117</v>
      </c>
      <c r="H45">
        <v>256</v>
      </c>
      <c r="I45" t="str">
        <v>SWalkDistributeFwdStart</v>
      </c>
      <c r="J45" t="str">
        <v/>
      </c>
      <c r="K45" t="str">
        <v>Bent Search'!$G$42</v>
      </c>
      <c r="L45">
        <v>42</v>
      </c>
      <c r="P45" t="str">
        <v>SWalkDistributeFwdStart = Range("SWalkDistributeFwdStart")</v>
      </c>
      <c r="R45" t="s">
        <v>731</v>
      </c>
      <c r="S45" t="str">
        <v>Range("SWalkDistributeFwdStart") = wb2.Worksheets("Geometry").Range("SWalkDistributeFwdStart")</v>
      </c>
      <c r="V45" t="s">
        <v>731</v>
      </c>
      <c r="W45" t="str">
        <v>wb2.Worksheets("Geometry").Range("SWalkDistributeFwdStart") = SWalkDistributeFwdStart</v>
      </c>
    </row>
    <row r="46" spans="1:23" x14ac:dyDescent="0.25">
      <c r="A46">
        <v>40</v>
      </c>
      <c r="B46" t="s">
        <v>327</v>
      </c>
      <c r="C46" s="94">
        <f>'Bent Search'!$G$100</f>
        <v>6</v>
      </c>
      <c r="D46" s="93" t="s">
        <v>338</v>
      </c>
      <c r="E46">
        <v>100</v>
      </c>
      <c r="H46">
        <v>255</v>
      </c>
      <c r="I46" t="str">
        <v>SWalkDistributeFwdEnd</v>
      </c>
      <c r="J46" t="str">
        <v/>
      </c>
      <c r="K46" t="str">
        <v>Bent Search'!$G$43</v>
      </c>
      <c r="L46">
        <v>43</v>
      </c>
      <c r="P46" t="str">
        <v>SWalkDistributeFwdEnd = Range("SWalkDistributeFwdEnd")</v>
      </c>
      <c r="R46" t="s">
        <v>731</v>
      </c>
      <c r="S46" t="str">
        <v>Range("SWalkDistributeFwdEnd") = wb2.Worksheets("Geometry").Range("SWalkDistributeFwdEnd")</v>
      </c>
      <c r="V46" t="s">
        <v>731</v>
      </c>
      <c r="W46" t="str">
        <v>wb2.Worksheets("Geometry").Range("SWalkDistributeFwdEnd") = SWalkDistributeFwdEnd</v>
      </c>
    </row>
    <row r="47" spans="1:23" x14ac:dyDescent="0.25">
      <c r="A47">
        <v>41</v>
      </c>
      <c r="B47" t="s">
        <v>329</v>
      </c>
      <c r="C47" s="94" t="str">
        <f>'Bent Search'!$G$118</f>
        <v/>
      </c>
      <c r="D47" s="93" t="s">
        <v>628</v>
      </c>
      <c r="E47">
        <v>118</v>
      </c>
      <c r="H47">
        <v>73</v>
      </c>
      <c r="I47" t="str">
        <v>CapType</v>
      </c>
      <c r="J47" t="str">
        <v>Inverted-Tee</v>
      </c>
      <c r="K47" t="str">
        <v>Bent Search'!$G$44</v>
      </c>
      <c r="L47">
        <v>44</v>
      </c>
      <c r="P47" t="str">
        <v>CapType = Range("CapType")</v>
      </c>
      <c r="R47" t="s">
        <v>731</v>
      </c>
      <c r="S47" t="str">
        <v>Range("CapType") = wb2.Worksheets("Geometry").Range("CapType")</v>
      </c>
      <c r="V47" t="s">
        <v>731</v>
      </c>
      <c r="W47" t="str">
        <v>wb2.Worksheets("Geometry").Range("CapType") = CapType</v>
      </c>
    </row>
    <row r="48" spans="1:23" x14ac:dyDescent="0.25">
      <c r="A48">
        <v>42</v>
      </c>
      <c r="B48" t="s">
        <v>331</v>
      </c>
      <c r="C48">
        <f>'Bent Search'!$G$101</f>
        <v>6</v>
      </c>
      <c r="D48" s="93" t="s">
        <v>340</v>
      </c>
      <c r="E48">
        <v>101</v>
      </c>
      <c r="H48">
        <v>66</v>
      </c>
      <c r="I48" t="str">
        <v>capdensity</v>
      </c>
      <c r="J48">
        <v>150</v>
      </c>
      <c r="K48" t="str">
        <v>Bent Search'!$G$45</v>
      </c>
      <c r="L48">
        <v>45</v>
      </c>
      <c r="P48" t="str">
        <v>capdensity = Range("capdensity")</v>
      </c>
      <c r="R48" t="s">
        <v>731</v>
      </c>
      <c r="S48" t="str">
        <v>Range("capdensity") = wb2.Worksheets("Geometry").Range("capdensity")</v>
      </c>
      <c r="V48" t="s">
        <v>731</v>
      </c>
      <c r="W48" t="str">
        <v>wb2.Worksheets("Geometry").Range("capdensity") = capdensity</v>
      </c>
    </row>
    <row r="49" spans="1:23" x14ac:dyDescent="0.25">
      <c r="A49">
        <v>43</v>
      </c>
      <c r="B49" t="s">
        <v>333</v>
      </c>
      <c r="C49">
        <f>'Bent Search'!$G$102</f>
        <v>6</v>
      </c>
      <c r="D49" s="93" t="s">
        <v>342</v>
      </c>
      <c r="E49">
        <v>102</v>
      </c>
      <c r="H49">
        <v>205</v>
      </c>
      <c r="I49" t="str">
        <v>fc</v>
      </c>
      <c r="J49">
        <v>3.6</v>
      </c>
      <c r="K49" t="str">
        <v>Bent Search'!$G$46</v>
      </c>
      <c r="L49">
        <v>46</v>
      </c>
      <c r="P49" t="str">
        <v>fc = Range("fc")</v>
      </c>
      <c r="R49" t="s">
        <v>731</v>
      </c>
      <c r="S49" t="str">
        <v>Range("fc") = wb2.Worksheets("Geometry").Range("fc")</v>
      </c>
      <c r="V49" t="s">
        <v>731</v>
      </c>
      <c r="W49" t="str">
        <v>wb2.Worksheets("Geometry").Range("fc") = fc</v>
      </c>
    </row>
    <row r="50" spans="1:23" x14ac:dyDescent="0.25">
      <c r="A50">
        <v>44</v>
      </c>
      <c r="B50" t="s">
        <v>335</v>
      </c>
      <c r="C50">
        <f>'Bent Search'!$G$103</f>
        <v>6</v>
      </c>
      <c r="D50" s="93" t="s">
        <v>344</v>
      </c>
      <c r="E50">
        <v>103</v>
      </c>
      <c r="H50">
        <v>214</v>
      </c>
      <c r="I50" t="str">
        <v>fy</v>
      </c>
      <c r="J50">
        <v>60</v>
      </c>
      <c r="K50" t="str">
        <v>Bent Search'!$G$47</v>
      </c>
      <c r="L50">
        <v>47</v>
      </c>
      <c r="P50" t="str">
        <v>fy = Range("fy")</v>
      </c>
      <c r="R50" t="s">
        <v>731</v>
      </c>
      <c r="S50" t="str">
        <v>Range("fy") = wb2.Worksheets("Geometry").Range("fy")</v>
      </c>
      <c r="V50" t="s">
        <v>731</v>
      </c>
      <c r="W50" t="str">
        <v>wb2.Worksheets("Geometry").Range("fy") = fy</v>
      </c>
    </row>
    <row r="51" spans="1:23" x14ac:dyDescent="0.25">
      <c r="A51">
        <v>45</v>
      </c>
      <c r="B51" t="s">
        <v>337</v>
      </c>
      <c r="C51">
        <f>'Bent Search'!$G$104</f>
        <v>6.7569999999999997</v>
      </c>
      <c r="D51" s="93" t="s">
        <v>308</v>
      </c>
      <c r="E51">
        <v>104</v>
      </c>
      <c r="H51">
        <v>184</v>
      </c>
      <c r="I51" t="str">
        <v>exposure</v>
      </c>
      <c r="J51" t="str">
        <v>Class 2</v>
      </c>
      <c r="K51" t="str">
        <v>Bent Search'!$G$48</v>
      </c>
      <c r="L51">
        <v>48</v>
      </c>
      <c r="P51" t="str">
        <v>exposure = Range("exposure")</v>
      </c>
      <c r="R51" t="s">
        <v>731</v>
      </c>
      <c r="S51" t="str">
        <v>Range("exposure") = wb2.Worksheets("Geometry").Range("exposure")</v>
      </c>
      <c r="V51" t="s">
        <v>731</v>
      </c>
      <c r="W51" t="str">
        <v>wb2.Worksheets("Geometry").Range("exposure") = exposure</v>
      </c>
    </row>
    <row r="52" spans="1:23" x14ac:dyDescent="0.25">
      <c r="A52">
        <v>46</v>
      </c>
      <c r="B52" t="s">
        <v>339</v>
      </c>
      <c r="C52" s="94">
        <f>'Bent Search'!$G$105</f>
        <v>6.7569999999999997</v>
      </c>
      <c r="D52" s="93" t="s">
        <v>310</v>
      </c>
      <c r="E52">
        <v>105</v>
      </c>
      <c r="H52">
        <v>50</v>
      </c>
      <c r="I52" t="str">
        <v>BentSkew</v>
      </c>
      <c r="J52">
        <v>0</v>
      </c>
      <c r="K52" t="str">
        <v>Bent Search'!$G$49</v>
      </c>
      <c r="L52">
        <v>49</v>
      </c>
      <c r="P52" t="str">
        <v>BentSkew = Range("BentSkew")</v>
      </c>
      <c r="R52" t="s">
        <v>731</v>
      </c>
      <c r="S52" t="str">
        <v>Range("BentSkew") = wb2.Worksheets("Geometry").Range("BentSkew")</v>
      </c>
      <c r="V52" t="s">
        <v>731</v>
      </c>
      <c r="W52" t="str">
        <v>wb2.Worksheets("Geometry").Range("BentSkew") = BentSkew</v>
      </c>
    </row>
    <row r="53" spans="1:23" x14ac:dyDescent="0.25">
      <c r="A53">
        <v>47</v>
      </c>
      <c r="B53" t="s">
        <v>341</v>
      </c>
      <c r="C53" s="94" t="str">
        <f>'Bent Search'!$G$106</f>
        <v/>
      </c>
      <c r="D53" s="93" t="s">
        <v>312</v>
      </c>
      <c r="E53">
        <v>106</v>
      </c>
      <c r="H53">
        <v>71</v>
      </c>
      <c r="I53" t="str">
        <v>caplength</v>
      </c>
      <c r="J53">
        <v>40.333333333333336</v>
      </c>
      <c r="K53" t="str">
        <v>Bent Search'!$G$50</v>
      </c>
      <c r="L53">
        <v>50</v>
      </c>
      <c r="P53" t="str">
        <v>caplength = Range("caplength")</v>
      </c>
      <c r="R53" t="s">
        <v>731</v>
      </c>
      <c r="S53" t="str">
        <v>Range("caplength") = wb2.Worksheets("Geometry").Range("caplength")</v>
      </c>
      <c r="V53" t="s">
        <v>731</v>
      </c>
      <c r="W53" t="str">
        <v>wb2.Worksheets("Geometry").Range("caplength") = caplength</v>
      </c>
    </row>
    <row r="54" spans="1:23" x14ac:dyDescent="0.25">
      <c r="A54">
        <v>48</v>
      </c>
      <c r="B54" t="s">
        <v>343</v>
      </c>
      <c r="C54" s="94" t="str">
        <f>'Bent Search'!$G$107</f>
        <v/>
      </c>
      <c r="D54" s="93" t="s">
        <v>314</v>
      </c>
      <c r="E54">
        <v>107</v>
      </c>
      <c r="H54">
        <v>51</v>
      </c>
      <c r="I54" t="str">
        <v>BkBm1toCapEnd</v>
      </c>
      <c r="J54">
        <v>1.3802083333333333</v>
      </c>
      <c r="K54" t="str">
        <v>Bent Search'!$G$51</v>
      </c>
      <c r="L54">
        <v>51</v>
      </c>
      <c r="P54" t="str">
        <v>BkBm1toCapEnd = Range("BkBm1toCapEnd")</v>
      </c>
      <c r="R54" t="s">
        <v>731</v>
      </c>
      <c r="S54" t="str">
        <v>Range("BkBm1toCapEnd") = wb2.Worksheets("Geometry").Range("BkBm1toCapEnd")</v>
      </c>
      <c r="V54" t="s">
        <v>731</v>
      </c>
      <c r="W54" t="str">
        <v>wb2.Worksheets("Geometry").Range("BkBm1toCapEnd") = BkBm1toCapEnd</v>
      </c>
    </row>
    <row r="55" spans="1:23" x14ac:dyDescent="0.25">
      <c r="A55">
        <v>49</v>
      </c>
      <c r="B55" t="s">
        <v>345</v>
      </c>
      <c r="C55" s="94">
        <f>'Bent Search'!$G$58</f>
        <v>22.5</v>
      </c>
      <c r="D55" s="93" t="s">
        <v>384</v>
      </c>
      <c r="E55">
        <v>58</v>
      </c>
      <c r="H55">
        <v>57</v>
      </c>
      <c r="I55" t="str">
        <v>Bm1toCapEnd</v>
      </c>
      <c r="J55">
        <v>1.3802083333333333</v>
      </c>
      <c r="K55" t="str">
        <v>Bent Search'!$G$52</v>
      </c>
      <c r="L55">
        <v>52</v>
      </c>
      <c r="P55" t="str">
        <v>Bm1toCapEnd = Range("Bm1toCapEnd")</v>
      </c>
      <c r="R55" t="s">
        <v>731</v>
      </c>
      <c r="S55" t="str">
        <v>Range("Bm1toCapEnd") = wb2.Worksheets("Geometry").Range("Bm1toCapEnd")</v>
      </c>
      <c r="V55" t="s">
        <v>731</v>
      </c>
      <c r="W55" t="str">
        <v>wb2.Worksheets("Geometry").Range("Bm1toCapEnd") = Bm1toCapEnd</v>
      </c>
    </row>
    <row r="56" spans="1:23" x14ac:dyDescent="0.25">
      <c r="A56">
        <v>50</v>
      </c>
      <c r="B56" t="s">
        <v>347</v>
      </c>
      <c r="C56" s="94">
        <f>'Bent Search'!$G$49</f>
        <v>0</v>
      </c>
      <c r="D56" s="93" t="s">
        <v>350</v>
      </c>
      <c r="E56">
        <v>49</v>
      </c>
      <c r="H56">
        <v>11</v>
      </c>
      <c r="I56" t="str">
        <v>BackBentSkew</v>
      </c>
      <c r="J56">
        <v>0</v>
      </c>
      <c r="K56" t="str">
        <v>Bent Search'!$G$53</v>
      </c>
      <c r="L56">
        <v>53</v>
      </c>
      <c r="P56" t="str">
        <v>BackBentSkew = Range("BackBentSkew")</v>
      </c>
      <c r="R56" t="s">
        <v>731</v>
      </c>
      <c r="S56" t="str">
        <v>Range("BackBentSkew") = wb2.Worksheets("Geometry").Range("BackBentSkew")</v>
      </c>
      <c r="V56" t="s">
        <v>731</v>
      </c>
      <c r="W56" t="str">
        <v>wb2.Worksheets("Geometry").Range("BackBentSkew") = BackBentSkew</v>
      </c>
    </row>
    <row r="57" spans="1:23" x14ac:dyDescent="0.25">
      <c r="A57">
        <v>51</v>
      </c>
      <c r="B57" t="s">
        <v>349</v>
      </c>
      <c r="C57" s="94">
        <f>'Bent Search'!$G$51</f>
        <v>1.3802083333333333</v>
      </c>
      <c r="D57" s="93" t="s">
        <v>290</v>
      </c>
      <c r="E57">
        <v>51</v>
      </c>
      <c r="H57">
        <v>211</v>
      </c>
      <c r="I57" t="str">
        <v>FwdBentSkew</v>
      </c>
      <c r="J57">
        <v>0</v>
      </c>
      <c r="K57" t="str">
        <v>Bent Search'!$G$54</v>
      </c>
      <c r="L57">
        <v>54</v>
      </c>
      <c r="P57" t="str">
        <v>FwdBentSkew = Range("FwdBentSkew")</v>
      </c>
      <c r="R57" t="s">
        <v>731</v>
      </c>
      <c r="S57" t="str">
        <v>Range("FwdBentSkew") = wb2.Worksheets("Geometry").Range("FwdBentSkew")</v>
      </c>
      <c r="V57" t="s">
        <v>731</v>
      </c>
      <c r="W57" t="str">
        <v>wb2.Worksheets("Geometry").Range("FwdBentSkew") = FwdBentSkew</v>
      </c>
    </row>
    <row r="58" spans="1:23" x14ac:dyDescent="0.25">
      <c r="A58">
        <v>52</v>
      </c>
      <c r="B58" t="s">
        <v>351</v>
      </c>
      <c r="C58" s="94">
        <f>'Bent Search'!$G$98</f>
        <v>7</v>
      </c>
      <c r="D58" s="93" t="s">
        <v>334</v>
      </c>
      <c r="E58">
        <v>98</v>
      </c>
      <c r="H58">
        <v>228</v>
      </c>
      <c r="I58" t="str">
        <v>offsettolevelingpad</v>
      </c>
      <c r="J58">
        <v>0</v>
      </c>
      <c r="K58" t="str">
        <v>Bent Search'!$G$55</v>
      </c>
      <c r="L58">
        <v>55</v>
      </c>
      <c r="P58" t="str">
        <v>offsettolevelingpad = Range("offsettolevelingpad")</v>
      </c>
      <c r="R58" t="s">
        <v>731</v>
      </c>
      <c r="S58" t="str">
        <v>Range("offsettolevelingpad") = wb2.Worksheets("Geometry").Range("offsettolevelingpad")</v>
      </c>
      <c r="V58" t="s">
        <v>731</v>
      </c>
      <c r="W58" t="str">
        <v>wb2.Worksheets("Geometry").Range("offsettolevelingpad") = offsettolevelingpad</v>
      </c>
    </row>
    <row r="59" spans="1:23" x14ac:dyDescent="0.25">
      <c r="A59">
        <v>53</v>
      </c>
      <c r="B59" t="s">
        <v>353</v>
      </c>
      <c r="C59" s="94">
        <f>'Bent Search'!$G$14</f>
        <v>1.75</v>
      </c>
      <c r="D59" s="93" t="s">
        <v>678</v>
      </c>
      <c r="E59">
        <v>14</v>
      </c>
      <c r="H59">
        <v>70</v>
      </c>
      <c r="I59" t="str">
        <v>CapLedgeDepth</v>
      </c>
      <c r="J59">
        <v>20</v>
      </c>
      <c r="K59" t="str">
        <v>Bent Search'!$G$56</v>
      </c>
      <c r="L59">
        <v>56</v>
      </c>
      <c r="P59" t="str">
        <v>CapLedgeDepth = Range("CapLedgeDepth")</v>
      </c>
      <c r="R59" t="s">
        <v>731</v>
      </c>
      <c r="S59" t="str">
        <v>Range("CapLedgeDepth") = wb2.Worksheets("Geometry").Range("CapLedgeDepth")</v>
      </c>
      <c r="V59" t="s">
        <v>731</v>
      </c>
      <c r="W59" t="str">
        <v>wb2.Worksheets("Geometry").Range("CapLedgeDepth") = CapLedgeDepth</v>
      </c>
    </row>
    <row r="60" spans="1:23" x14ac:dyDescent="0.25">
      <c r="A60">
        <v>54</v>
      </c>
      <c r="B60" t="s">
        <v>355</v>
      </c>
      <c r="C60" t="str">
        <f>'Bent Search'!$G$12</f>
        <v>IV</v>
      </c>
      <c r="D60" s="93" t="s">
        <v>358</v>
      </c>
      <c r="E60">
        <v>12</v>
      </c>
      <c r="H60">
        <v>220</v>
      </c>
      <c r="I60" t="str">
        <v>InvTeeBotWidth</v>
      </c>
      <c r="J60">
        <v>63</v>
      </c>
      <c r="K60" t="str">
        <v>Bent Search'!$G$57</v>
      </c>
      <c r="L60">
        <v>57</v>
      </c>
      <c r="P60" t="str">
        <v>InvTeeBotWidth = Range("InvTeeBotWidth")</v>
      </c>
      <c r="R60" t="s">
        <v>731</v>
      </c>
      <c r="S60" t="str">
        <v>Range("InvTeeBotWidth") = wb2.Worksheets("Geometry").Range("InvTeeBotWidth")</v>
      </c>
      <c r="V60" t="s">
        <v>731</v>
      </c>
      <c r="W60" t="str">
        <v>wb2.Worksheets("Geometry").Range("InvTeeBotWidth") = InvTeeBotWidth</v>
      </c>
    </row>
    <row r="61" spans="1:23" x14ac:dyDescent="0.25">
      <c r="A61">
        <v>55</v>
      </c>
      <c r="B61" t="s">
        <v>357</v>
      </c>
      <c r="C61" s="94">
        <f>'Bent Search'!$G$13</f>
        <v>1.75</v>
      </c>
      <c r="D61" s="93" t="s">
        <v>354</v>
      </c>
      <c r="E61">
        <v>13</v>
      </c>
      <c r="H61">
        <v>49</v>
      </c>
      <c r="I61" t="str">
        <v>BearingDist</v>
      </c>
      <c r="J61">
        <v>22.5</v>
      </c>
      <c r="K61" t="str">
        <v>Bent Search'!$G$58</v>
      </c>
      <c r="L61">
        <v>58</v>
      </c>
      <c r="P61" t="str">
        <v>BearingDist = Range("BearingDist")</v>
      </c>
      <c r="R61" t="s">
        <v>731</v>
      </c>
      <c r="S61" t="str">
        <v>Range("BearingDist") = wb2.Worksheets("Geometry").Range("BearingDist")</v>
      </c>
      <c r="V61" t="s">
        <v>731</v>
      </c>
      <c r="W61" t="str">
        <v>wb2.Worksheets("Geometry").Range("BearingDist") = BearingDist</v>
      </c>
    </row>
    <row r="62" spans="1:23" x14ac:dyDescent="0.25">
      <c r="A62">
        <v>56</v>
      </c>
      <c r="B62" t="s">
        <v>359</v>
      </c>
      <c r="C62" s="94">
        <f>'Bent Search'!$G$27</f>
        <v>125</v>
      </c>
      <c r="D62" s="93" t="s">
        <v>652</v>
      </c>
      <c r="E62">
        <v>27</v>
      </c>
      <c r="H62">
        <v>67</v>
      </c>
      <c r="I62" t="str">
        <v>capheight</v>
      </c>
      <c r="J62">
        <v>77</v>
      </c>
      <c r="K62" t="str">
        <v>Bent Search'!$G$59</v>
      </c>
      <c r="L62">
        <v>59</v>
      </c>
      <c r="P62" t="str">
        <v>capheight = Range("capheight")</v>
      </c>
      <c r="R62" t="s">
        <v>731</v>
      </c>
      <c r="S62" t="str">
        <v>Range("capheight") = wb2.Worksheets("Geometry").Range("capheight")</v>
      </c>
      <c r="V62" t="s">
        <v>731</v>
      </c>
      <c r="W62" t="str">
        <v>wb2.Worksheets("Geometry").Range("capheight") = capheight</v>
      </c>
    </row>
    <row r="63" spans="1:23" x14ac:dyDescent="0.25">
      <c r="A63">
        <v>57</v>
      </c>
      <c r="B63" t="s">
        <v>361</v>
      </c>
      <c r="C63" s="94">
        <f>'Bent Search'!$G$52</f>
        <v>1.3802083333333333</v>
      </c>
      <c r="D63" s="93" t="s">
        <v>654</v>
      </c>
      <c r="E63">
        <v>52</v>
      </c>
      <c r="H63">
        <v>72</v>
      </c>
      <c r="I63" t="str">
        <v>capstemWidth</v>
      </c>
      <c r="J63">
        <v>30</v>
      </c>
      <c r="K63" t="str">
        <v>Bent Search'!$G$60</v>
      </c>
      <c r="L63">
        <v>60</v>
      </c>
      <c r="P63" t="str">
        <v>capstemWidth = Range("capstemWidth")</v>
      </c>
      <c r="R63" t="s">
        <v>731</v>
      </c>
      <c r="S63" t="str">
        <v>Range("capstemWidth") = wb2.Worksheets("Geometry").Range("capstemWidth")</v>
      </c>
      <c r="V63" t="s">
        <v>731</v>
      </c>
      <c r="W63" t="str">
        <v>wb2.Worksheets("Geometry").Range("capstemWidth") = capstemWidth</v>
      </c>
    </row>
    <row r="64" spans="1:23" x14ac:dyDescent="0.25">
      <c r="A64">
        <v>58</v>
      </c>
      <c r="B64" t="s">
        <v>1098</v>
      </c>
      <c r="C64" t="str">
        <f>'Bent Search'!$G$240</f>
        <v>Consider only the 5% of Truck + lane load in accordance with the TxDOT LRFD BDM</v>
      </c>
      <c r="D64" s="93" t="s">
        <v>1099</v>
      </c>
      <c r="E64">
        <v>240</v>
      </c>
      <c r="H64">
        <v>179</v>
      </c>
      <c r="I64" t="str">
        <v>Earwall_Left</v>
      </c>
      <c r="J64">
        <v>0</v>
      </c>
      <c r="K64" t="str">
        <v>Bent Search'!$G$61</v>
      </c>
      <c r="L64">
        <v>61</v>
      </c>
      <c r="P64" t="str">
        <v>Earwall_Left = Range("Earwall_Left")</v>
      </c>
      <c r="R64" t="s">
        <v>731</v>
      </c>
      <c r="S64" t="str">
        <v>Range("Earwall_Left") = wb2.Worksheets("Geometry").Range("Earwall_Left")</v>
      </c>
      <c r="V64" t="s">
        <v>731</v>
      </c>
      <c r="W64" t="str">
        <v>wb2.Worksheets("Geometry").Range("Earwall_Left") = Earwall_Left</v>
      </c>
    </row>
    <row r="65" spans="1:23" x14ac:dyDescent="0.25">
      <c r="A65">
        <v>59</v>
      </c>
      <c r="B65" t="s">
        <v>363</v>
      </c>
      <c r="C65" t="str">
        <f>'Bent Search'!$G$143</f>
        <v>None</v>
      </c>
      <c r="D65" s="93" t="s">
        <v>450</v>
      </c>
      <c r="E65">
        <v>143</v>
      </c>
      <c r="H65">
        <v>180</v>
      </c>
      <c r="I65" t="str">
        <v>Earwall_Right</v>
      </c>
      <c r="J65">
        <v>0</v>
      </c>
      <c r="K65" t="str">
        <v>Bent Search'!$G$62</v>
      </c>
      <c r="L65">
        <v>62</v>
      </c>
      <c r="P65" t="str">
        <v>Earwall_Right = Range("Earwall_Right")</v>
      </c>
      <c r="R65" t="s">
        <v>731</v>
      </c>
      <c r="S65" t="str">
        <v>Range("Earwall_Right") = wb2.Worksheets("Geometry").Range("Earwall_Right")</v>
      </c>
      <c r="V65" t="s">
        <v>731</v>
      </c>
      <c r="W65" t="str">
        <v>wb2.Worksheets("Geometry").Range("Earwall_Right") = Earwall_Right</v>
      </c>
    </row>
    <row r="66" spans="1:23" x14ac:dyDescent="0.25">
      <c r="A66">
        <v>60</v>
      </c>
      <c r="B66" t="s">
        <v>850</v>
      </c>
      <c r="C66">
        <f>'Bent Search'!$G$245</f>
        <v>9</v>
      </c>
      <c r="D66" s="93" t="s">
        <v>1100</v>
      </c>
      <c r="E66">
        <v>245</v>
      </c>
      <c r="H66">
        <v>178</v>
      </c>
      <c r="I66" t="str">
        <v>Earwall_Area</v>
      </c>
      <c r="J66">
        <v>0</v>
      </c>
      <c r="K66" t="str">
        <v>Bent Search'!$G$63</v>
      </c>
      <c r="L66">
        <v>63</v>
      </c>
      <c r="P66" t="str">
        <v>Earwall_Area = Range("Earwall_Area")</v>
      </c>
      <c r="R66" t="s">
        <v>731</v>
      </c>
      <c r="S66" t="str">
        <v>Range("Earwall_Area") = wb2.Worksheets("Geometry").Range("Earwall_Area")</v>
      </c>
      <c r="V66" t="s">
        <v>731</v>
      </c>
      <c r="W66" t="str">
        <v>wb2.Worksheets("Geometry").Range("Earwall_Area") = Earwall_Area</v>
      </c>
    </row>
    <row r="67" spans="1:23" x14ac:dyDescent="0.25">
      <c r="A67">
        <v>61</v>
      </c>
      <c r="B67" t="s">
        <v>849</v>
      </c>
      <c r="C67">
        <f>'Bent Search'!$G$244</f>
        <v>22</v>
      </c>
      <c r="D67" s="93" t="s">
        <v>1101</v>
      </c>
      <c r="E67">
        <v>244</v>
      </c>
      <c r="H67">
        <v>13</v>
      </c>
      <c r="I67" t="str">
        <v>BarsA</v>
      </c>
      <c r="J67" t="str">
        <v>#11</v>
      </c>
      <c r="K67" t="str">
        <v>Bent Search'!$G$64</v>
      </c>
      <c r="L67">
        <v>64</v>
      </c>
      <c r="P67" t="str">
        <v>BarsA = Range("BarsA")</v>
      </c>
      <c r="R67" t="s">
        <v>731</v>
      </c>
      <c r="S67" t="str">
        <v>Range("BarsA") = wb2.Worksheets("Geometry").Range("BarsA")</v>
      </c>
      <c r="V67" t="s">
        <v>731</v>
      </c>
      <c r="W67" t="str">
        <v>wb2.Worksheets("Geometry").Range("BarsA") = BarsA</v>
      </c>
    </row>
    <row r="68" spans="1:23" x14ac:dyDescent="0.25">
      <c r="A68">
        <v>62</v>
      </c>
      <c r="B68" t="s">
        <v>365</v>
      </c>
      <c r="C68">
        <f>'Bent Search'!$G$71</f>
        <v>6</v>
      </c>
      <c r="D68" s="93" t="s">
        <v>370</v>
      </c>
      <c r="E68">
        <v>71</v>
      </c>
      <c r="H68">
        <v>14</v>
      </c>
      <c r="I68" t="str">
        <v>BarsAdist</v>
      </c>
      <c r="J68">
        <v>3.75</v>
      </c>
      <c r="K68" t="str">
        <v>Bent Search'!$G$65</v>
      </c>
      <c r="L68">
        <v>65</v>
      </c>
      <c r="P68" t="str">
        <v>BarsAdist = Range("BarsAdist")</v>
      </c>
      <c r="R68" t="s">
        <v>731</v>
      </c>
      <c r="S68" t="str">
        <v>Range("BarsAdist") = wb2.Worksheets("Geometry").Range("BarsAdist")</v>
      </c>
      <c r="V68" t="s">
        <v>731</v>
      </c>
      <c r="W68" t="str">
        <v>wb2.Worksheets("Geometry").Range("BarsAdist") = BarsAdist</v>
      </c>
    </row>
    <row r="69" spans="1:23" x14ac:dyDescent="0.25">
      <c r="A69">
        <v>63</v>
      </c>
      <c r="B69" t="s">
        <v>367</v>
      </c>
      <c r="C69" t="str">
        <f>'Bent Search'!$G$72</f>
        <v/>
      </c>
      <c r="D69" s="93" t="s">
        <v>298</v>
      </c>
      <c r="E69">
        <v>72</v>
      </c>
      <c r="H69">
        <v>8</v>
      </c>
      <c r="I69" t="str">
        <v>Arow1</v>
      </c>
      <c r="J69">
        <v>10</v>
      </c>
      <c r="K69" t="str">
        <v>Bent Search'!$G$66</v>
      </c>
      <c r="L69">
        <v>66</v>
      </c>
      <c r="P69" t="str">
        <v>Arow1 = Range("Arow1")</v>
      </c>
      <c r="R69" t="s">
        <v>731</v>
      </c>
      <c r="S69" t="str">
        <v>Range("Arow1") = wb2.Worksheets("Geometry").Range("Arow1")</v>
      </c>
      <c r="V69" t="s">
        <v>731</v>
      </c>
      <c r="W69" t="str">
        <v>wb2.Worksheets("Geometry").Range("Arow1") = Arow1</v>
      </c>
    </row>
    <row r="70" spans="1:23" x14ac:dyDescent="0.25">
      <c r="A70">
        <v>64</v>
      </c>
      <c r="B70" t="s">
        <v>369</v>
      </c>
      <c r="C70" t="str">
        <f>'Bent Search'!$G$73</f>
        <v/>
      </c>
      <c r="D70" s="93" t="s">
        <v>292</v>
      </c>
      <c r="E70">
        <v>73</v>
      </c>
      <c r="H70">
        <v>9</v>
      </c>
      <c r="I70" t="str">
        <v>Arow2</v>
      </c>
      <c r="J70">
        <v>10</v>
      </c>
      <c r="K70" t="str">
        <v>Bent Search'!$G$67</v>
      </c>
      <c r="L70">
        <v>67</v>
      </c>
      <c r="P70" t="str">
        <v>Arow2 = Range("Arow2")</v>
      </c>
      <c r="R70" t="s">
        <v>731</v>
      </c>
      <c r="S70" t="str">
        <v>Range("Arow2") = wb2.Worksheets("Geometry").Range("Arow2")</v>
      </c>
      <c r="V70" t="s">
        <v>731</v>
      </c>
      <c r="W70" t="str">
        <v>wb2.Worksheets("Geometry").Range("Arow2") = Arow2</v>
      </c>
    </row>
    <row r="71" spans="1:23" x14ac:dyDescent="0.25">
      <c r="A71">
        <v>65</v>
      </c>
      <c r="B71" t="s">
        <v>1102</v>
      </c>
      <c r="C71" t="str">
        <f>'Bent Search'!$G$232</f>
        <v>Force at Face of Column</v>
      </c>
      <c r="D71" s="93" t="s">
        <v>1103</v>
      </c>
      <c r="E71">
        <v>232</v>
      </c>
      <c r="H71">
        <v>10</v>
      </c>
      <c r="I71" t="str">
        <v>Arow3</v>
      </c>
      <c r="J71" t="str">
        <v/>
      </c>
      <c r="K71" t="str">
        <v>Bent Search'!$G$68</v>
      </c>
      <c r="L71">
        <v>68</v>
      </c>
      <c r="P71" t="str">
        <v>Arow3 = Range("Arow3")</v>
      </c>
      <c r="R71" t="s">
        <v>731</v>
      </c>
      <c r="S71" t="str">
        <v>Range("Arow3") = wb2.Worksheets("Geometry").Range("Arow3")</v>
      </c>
      <c r="V71" t="s">
        <v>731</v>
      </c>
      <c r="W71" t="str">
        <v>wb2.Worksheets("Geometry").Range("Arow3") = Arow3</v>
      </c>
    </row>
    <row r="72" spans="1:23" x14ac:dyDescent="0.25">
      <c r="A72">
        <v>66</v>
      </c>
      <c r="B72" t="s">
        <v>371</v>
      </c>
      <c r="C72">
        <f>'Bent Search'!$G$45</f>
        <v>150</v>
      </c>
      <c r="D72" s="93" t="s">
        <v>660</v>
      </c>
      <c r="E72">
        <v>45</v>
      </c>
      <c r="H72">
        <v>16</v>
      </c>
      <c r="I72" t="str">
        <v>BarsB</v>
      </c>
      <c r="J72" t="str">
        <v>#9</v>
      </c>
      <c r="K72" t="str">
        <v>Bent Search'!$G$69</v>
      </c>
      <c r="L72">
        <v>69</v>
      </c>
      <c r="P72" t="str">
        <v>BarsB = Range("BarsB")</v>
      </c>
      <c r="R72" t="s">
        <v>731</v>
      </c>
      <c r="S72" t="str">
        <v>Range("BarsB") = wb2.Worksheets("Geometry").Range("BarsB")</v>
      </c>
      <c r="V72" t="s">
        <v>731</v>
      </c>
      <c r="W72" t="str">
        <v>wb2.Worksheets("Geometry").Range("BarsB") = BarsB</v>
      </c>
    </row>
    <row r="73" spans="1:23" x14ac:dyDescent="0.25">
      <c r="A73">
        <v>67</v>
      </c>
      <c r="B73" t="s">
        <v>373</v>
      </c>
      <c r="C73" s="94">
        <f>'Bent Search'!$G$59</f>
        <v>77</v>
      </c>
      <c r="D73" s="93" t="s">
        <v>596</v>
      </c>
      <c r="E73">
        <v>59</v>
      </c>
      <c r="H73">
        <v>17</v>
      </c>
      <c r="I73" t="str">
        <v>BarsBdist</v>
      </c>
      <c r="J73">
        <v>4</v>
      </c>
      <c r="K73" t="str">
        <v>Bent Search'!$G$70</v>
      </c>
      <c r="L73">
        <v>70</v>
      </c>
      <c r="P73" t="str">
        <v>BarsBdist = Range("BarsBdist")</v>
      </c>
      <c r="R73" t="s">
        <v>731</v>
      </c>
      <c r="S73" t="str">
        <v>Range("BarsBdist") = wb2.Worksheets("Geometry").Range("BarsBdist")</v>
      </c>
      <c r="V73" t="s">
        <v>731</v>
      </c>
      <c r="W73" t="str">
        <v>wb2.Worksheets("Geometry").Range("BarsBdist") = BarsBdist</v>
      </c>
    </row>
    <row r="74" spans="1:23" x14ac:dyDescent="0.25">
      <c r="A74">
        <v>68</v>
      </c>
      <c r="B74" t="s">
        <v>375</v>
      </c>
      <c r="C74" s="94">
        <f>'Bent Search'!$G$85</f>
        <v>0</v>
      </c>
      <c r="D74" s="93" t="s">
        <v>566</v>
      </c>
      <c r="E74">
        <v>85</v>
      </c>
      <c r="H74">
        <v>62</v>
      </c>
      <c r="I74" t="str">
        <v>Brow1</v>
      </c>
      <c r="J74">
        <v>6</v>
      </c>
      <c r="K74" t="str">
        <v>Bent Search'!$G$71</v>
      </c>
      <c r="L74">
        <v>71</v>
      </c>
      <c r="P74" t="str">
        <v>Brow1 = Range("Brow1")</v>
      </c>
      <c r="R74" t="s">
        <v>731</v>
      </c>
      <c r="S74" t="str">
        <v>Range("Brow1") = wb2.Worksheets("Geometry").Range("Brow1")</v>
      </c>
      <c r="V74" t="s">
        <v>731</v>
      </c>
      <c r="W74" t="str">
        <v>wb2.Worksheets("Geometry").Range("Brow1") = Brow1</v>
      </c>
    </row>
    <row r="75" spans="1:23" x14ac:dyDescent="0.25">
      <c r="A75">
        <v>69</v>
      </c>
      <c r="B75" t="s">
        <v>377</v>
      </c>
      <c r="C75">
        <f>'Bent Search'!$G$84</f>
        <v>0</v>
      </c>
      <c r="D75" s="93" t="s">
        <v>564</v>
      </c>
      <c r="E75">
        <v>84</v>
      </c>
      <c r="H75">
        <v>63</v>
      </c>
      <c r="I75" t="str">
        <v>Brow2</v>
      </c>
      <c r="J75" t="str">
        <v/>
      </c>
      <c r="K75" t="str">
        <v>Bent Search'!$G$72</v>
      </c>
      <c r="L75">
        <v>72</v>
      </c>
      <c r="P75" t="str">
        <v>Brow2 = Range("Brow2")</v>
      </c>
      <c r="R75" t="s">
        <v>731</v>
      </c>
      <c r="S75" t="str">
        <v>Range("Brow2") = wb2.Worksheets("Geometry").Range("Brow2")</v>
      </c>
      <c r="V75" t="s">
        <v>731</v>
      </c>
      <c r="W75" t="str">
        <v>wb2.Worksheets("Geometry").Range("Brow2") = Brow2</v>
      </c>
    </row>
    <row r="76" spans="1:23" x14ac:dyDescent="0.25">
      <c r="A76">
        <v>70</v>
      </c>
      <c r="B76" t="s">
        <v>379</v>
      </c>
      <c r="C76" s="94">
        <f>'Bent Search'!$G$56</f>
        <v>20</v>
      </c>
      <c r="D76" s="93" t="s">
        <v>346</v>
      </c>
      <c r="E76">
        <v>56</v>
      </c>
      <c r="H76">
        <v>64</v>
      </c>
      <c r="I76" t="str">
        <v>Brow3</v>
      </c>
      <c r="J76" t="str">
        <v/>
      </c>
      <c r="K76" t="str">
        <v>Bent Search'!$G$73</v>
      </c>
      <c r="L76">
        <v>73</v>
      </c>
      <c r="P76" t="str">
        <v>Brow3 = Range("Brow3")</v>
      </c>
      <c r="R76" t="s">
        <v>731</v>
      </c>
      <c r="S76" t="str">
        <v>Range("Brow3") = wb2.Worksheets("Geometry").Range("Brow3")</v>
      </c>
      <c r="V76" t="s">
        <v>731</v>
      </c>
      <c r="W76" t="str">
        <v>wb2.Worksheets("Geometry").Range("Brow3") = Brow3</v>
      </c>
    </row>
    <row r="77" spans="1:23" x14ac:dyDescent="0.25">
      <c r="A77">
        <v>71</v>
      </c>
      <c r="B77" t="s">
        <v>381</v>
      </c>
      <c r="C77" s="94">
        <f>'Bent Search'!$G$50</f>
        <v>40.333333333333336</v>
      </c>
      <c r="D77" s="93" t="s">
        <v>362</v>
      </c>
      <c r="E77">
        <v>50</v>
      </c>
      <c r="H77">
        <v>215</v>
      </c>
      <c r="I77" t="str">
        <v>IncreaseClearCover</v>
      </c>
      <c r="J77" t="b">
        <v>0</v>
      </c>
      <c r="K77" t="str">
        <v>Bent Search'!$G$74</v>
      </c>
      <c r="L77">
        <v>74</v>
      </c>
      <c r="P77" t="str">
        <v>IncreaseClearCover = Range("IncreaseClearCover")</v>
      </c>
      <c r="R77" t="s">
        <v>731</v>
      </c>
      <c r="S77" t="str">
        <v>Range("IncreaseClearCover") = wb2.Worksheets("Geometry").Range("IncreaseClearCover")</v>
      </c>
      <c r="V77" t="s">
        <v>731</v>
      </c>
      <c r="W77" t="str">
        <v>wb2.Worksheets("Geometry").Range("IncreaseClearCover") = IncreaseClearCover</v>
      </c>
    </row>
    <row r="78" spans="1:23" x14ac:dyDescent="0.25">
      <c r="A78">
        <v>72</v>
      </c>
      <c r="B78" t="s">
        <v>383</v>
      </c>
      <c r="C78" s="94">
        <f>'Bent Search'!$G$60</f>
        <v>30</v>
      </c>
      <c r="D78" s="93" t="s">
        <v>598</v>
      </c>
      <c r="E78">
        <v>60</v>
      </c>
      <c r="H78">
        <v>15</v>
      </c>
      <c r="I78" t="str">
        <v>BarSArrange</v>
      </c>
      <c r="J78" t="str">
        <v>Double</v>
      </c>
      <c r="K78" t="str">
        <v>Bent Search'!$G$75</v>
      </c>
      <c r="L78">
        <v>75</v>
      </c>
      <c r="P78" t="str">
        <v>BarSArrange = Range("BarSArrange")</v>
      </c>
      <c r="R78" t="s">
        <v>731</v>
      </c>
      <c r="S78" t="str">
        <v>Range("BarSArrange") = wb2.Worksheets("Geometry").Range("BarSArrange")</v>
      </c>
      <c r="V78" t="s">
        <v>731</v>
      </c>
      <c r="W78" t="str">
        <v>wb2.Worksheets("Geometry").Range("BarSArrange") = BarSArrange</v>
      </c>
    </row>
    <row r="79" spans="1:23" x14ac:dyDescent="0.25">
      <c r="A79">
        <v>73</v>
      </c>
      <c r="B79" t="s">
        <v>385</v>
      </c>
      <c r="C79" t="str">
        <f>'Bent Search'!$G$44</f>
        <v>Inverted-Tee</v>
      </c>
      <c r="D79" s="93" t="s">
        <v>642</v>
      </c>
      <c r="E79">
        <v>44</v>
      </c>
      <c r="H79">
        <v>12</v>
      </c>
      <c r="I79" t="str">
        <v>BarS</v>
      </c>
      <c r="J79" t="str">
        <v>#5</v>
      </c>
      <c r="K79" t="str">
        <v>Bent Search'!$G$76</v>
      </c>
      <c r="L79">
        <v>76</v>
      </c>
      <c r="P79" t="str">
        <v>BarS = Range("BarS")</v>
      </c>
      <c r="R79" t="s">
        <v>731</v>
      </c>
      <c r="S79" t="str">
        <v>Range("BarS") = wb2.Worksheets("Geometry").Range("BarS")</v>
      </c>
      <c r="V79" t="s">
        <v>731</v>
      </c>
      <c r="W79" t="str">
        <v>wb2.Worksheets("Geometry").Range("BarS") = BarS</v>
      </c>
    </row>
    <row r="80" spans="1:23" x14ac:dyDescent="0.25">
      <c r="A80">
        <v>74</v>
      </c>
      <c r="B80" t="s">
        <v>387</v>
      </c>
      <c r="C80">
        <f>'Bent Search'!$G$166</f>
        <v>122.54300000000001</v>
      </c>
      <c r="D80" s="93" t="s">
        <v>418</v>
      </c>
      <c r="E80">
        <v>166</v>
      </c>
      <c r="H80">
        <v>18</v>
      </c>
      <c r="I80" t="str">
        <v>BarsH</v>
      </c>
      <c r="J80" t="str">
        <v>#5</v>
      </c>
      <c r="K80" t="str">
        <v>Bent Search'!$G$77</v>
      </c>
      <c r="L80">
        <v>77</v>
      </c>
      <c r="P80" t="str">
        <v>BarsH = Range("BarsH")</v>
      </c>
      <c r="R80" t="s">
        <v>731</v>
      </c>
      <c r="S80" t="str">
        <v>Range("BarsH") = wb2.Worksheets("Geometry").Range("BarsH")</v>
      </c>
      <c r="V80" t="s">
        <v>731</v>
      </c>
      <c r="W80" t="str">
        <v>wb2.Worksheets("Geometry").Range("BarsH") = BarsH</v>
      </c>
    </row>
    <row r="81" spans="1:23" x14ac:dyDescent="0.25">
      <c r="A81">
        <v>75</v>
      </c>
      <c r="B81" t="s">
        <v>389</v>
      </c>
      <c r="C81" t="str">
        <f>'Bent Search'!$G$175</f>
        <v/>
      </c>
      <c r="D81" s="93" t="s">
        <v>398</v>
      </c>
      <c r="E81">
        <v>175</v>
      </c>
      <c r="H81">
        <v>226</v>
      </c>
      <c r="I81" t="str">
        <v>NoHbars</v>
      </c>
      <c r="J81">
        <v>3</v>
      </c>
      <c r="K81" t="str">
        <v>Bent Search'!$G$78</v>
      </c>
      <c r="L81">
        <v>78</v>
      </c>
      <c r="P81" t="str">
        <v>NoHbars = Range("NoHbars")</v>
      </c>
      <c r="R81" t="s">
        <v>731</v>
      </c>
      <c r="S81" t="str">
        <v>Range("NoHbars") = wb2.Worksheets("Geometry").Range("NoHbars")</v>
      </c>
      <c r="V81" t="s">
        <v>731</v>
      </c>
      <c r="W81" t="str">
        <v>wb2.Worksheets("Geometry").Range("NoHbars") = NoHbars</v>
      </c>
    </row>
    <row r="82" spans="1:23" x14ac:dyDescent="0.25">
      <c r="A82">
        <v>76</v>
      </c>
      <c r="B82" t="s">
        <v>391</v>
      </c>
      <c r="C82" t="str">
        <f>'Bent Search'!$G$176</f>
        <v/>
      </c>
      <c r="D82" s="93" t="s">
        <v>400</v>
      </c>
      <c r="E82">
        <v>176</v>
      </c>
      <c r="H82">
        <v>7</v>
      </c>
      <c r="I82" t="str">
        <v>AestheticCol</v>
      </c>
      <c r="J82" t="b">
        <v>0</v>
      </c>
      <c r="K82" t="str">
        <v>Bent Search'!$G$79</v>
      </c>
      <c r="L82">
        <v>79</v>
      </c>
      <c r="P82" t="str">
        <v>AestheticCol = Range("AestheticCol")</v>
      </c>
      <c r="R82" t="s">
        <v>731</v>
      </c>
      <c r="S82" t="str">
        <v>Range("AestheticCol") = wb2.Worksheets("Geometry").Range("AestheticCol")</v>
      </c>
      <c r="V82" t="s">
        <v>731</v>
      </c>
      <c r="W82" t="str">
        <v>wb2.Worksheets("Geometry").Range("AestheticCol") = AestheticCol</v>
      </c>
    </row>
    <row r="83" spans="1:23" x14ac:dyDescent="0.25">
      <c r="A83">
        <v>77</v>
      </c>
      <c r="B83" t="s">
        <v>393</v>
      </c>
      <c r="C83" t="str">
        <f>'Bent Search'!$G$177</f>
        <v/>
      </c>
      <c r="D83" s="93" t="s">
        <v>402</v>
      </c>
      <c r="E83">
        <v>177</v>
      </c>
      <c r="H83">
        <v>170</v>
      </c>
      <c r="I83" t="str">
        <v>ColType</v>
      </c>
      <c r="J83" t="str">
        <v>Rectangular</v>
      </c>
      <c r="K83" t="str">
        <v>Bent Search'!$G$80</v>
      </c>
      <c r="L83">
        <v>80</v>
      </c>
      <c r="P83" t="str">
        <v>ColType = Range("ColType")</v>
      </c>
      <c r="R83" t="s">
        <v>731</v>
      </c>
      <c r="S83" t="str">
        <v>Range("ColType") = wb2.Worksheets("Geometry").Range("ColType")</v>
      </c>
      <c r="V83" t="s">
        <v>731</v>
      </c>
      <c r="W83" t="str">
        <v>wb2.Worksheets("Geometry").Range("ColType") = ColType</v>
      </c>
    </row>
    <row r="84" spans="1:23" x14ac:dyDescent="0.25">
      <c r="A84">
        <v>78</v>
      </c>
      <c r="B84" t="s">
        <v>395</v>
      </c>
      <c r="C84" t="str">
        <f>'Bent Search'!$G$178</f>
        <v/>
      </c>
      <c r="D84" s="93" t="s">
        <v>404</v>
      </c>
      <c r="E84">
        <v>178</v>
      </c>
      <c r="H84">
        <v>227</v>
      </c>
      <c r="I84" t="str">
        <v>NoSupports</v>
      </c>
      <c r="J84">
        <v>1</v>
      </c>
      <c r="K84" t="str">
        <v>Bent Search'!$G$81</v>
      </c>
      <c r="L84">
        <v>81</v>
      </c>
      <c r="P84" t="str">
        <v>NoSupports = Range("NoSupports")</v>
      </c>
      <c r="R84" t="s">
        <v>731</v>
      </c>
      <c r="S84" t="str">
        <v>Range("NoSupports") = wb2.Worksheets("Geometry").Range("NoSupports")</v>
      </c>
      <c r="V84" t="s">
        <v>731</v>
      </c>
      <c r="W84" t="str">
        <v>wb2.Worksheets("Geometry").Range("NoSupports") = NoSupports</v>
      </c>
    </row>
    <row r="85" spans="1:23" x14ac:dyDescent="0.25">
      <c r="A85">
        <v>79</v>
      </c>
      <c r="B85" t="s">
        <v>397</v>
      </c>
      <c r="C85" t="str">
        <f>'Bent Search'!$G$179</f>
        <v/>
      </c>
      <c r="D85" s="93" t="s">
        <v>406</v>
      </c>
      <c r="E85">
        <v>179</v>
      </c>
      <c r="H85">
        <v>169</v>
      </c>
      <c r="I85" t="str">
        <v>coltranswidth</v>
      </c>
      <c r="J85">
        <v>72</v>
      </c>
      <c r="K85" t="str">
        <v>Bent Search'!$G$82</v>
      </c>
      <c r="L85">
        <v>82</v>
      </c>
      <c r="P85" t="str">
        <v>coltranswidth = Range("coltranswidth")</v>
      </c>
      <c r="R85" t="s">
        <v>731</v>
      </c>
      <c r="S85" t="str">
        <v>Range("coltranswidth") = wb2.Worksheets("Geometry").Range("coltranswidth")</v>
      </c>
      <c r="V85" t="s">
        <v>731</v>
      </c>
      <c r="W85" t="str">
        <v>wb2.Worksheets("Geometry").Range("coltranswidth") = coltranswidth</v>
      </c>
    </row>
    <row r="86" spans="1:23" x14ac:dyDescent="0.25">
      <c r="A86">
        <v>80</v>
      </c>
      <c r="B86" t="s">
        <v>399</v>
      </c>
      <c r="C86" t="str">
        <f>'Bent Search'!$G$180</f>
        <v/>
      </c>
      <c r="D86" s="93" t="s">
        <v>408</v>
      </c>
      <c r="E86">
        <v>180</v>
      </c>
      <c r="H86">
        <v>158</v>
      </c>
      <c r="I86" t="str">
        <v>collongwidth</v>
      </c>
      <c r="J86">
        <v>54</v>
      </c>
      <c r="K86" t="str">
        <v>Bent Search'!$G$83</v>
      </c>
      <c r="L86">
        <v>83</v>
      </c>
      <c r="P86" t="str">
        <v>collongwidth = Range("collongwidth")</v>
      </c>
      <c r="R86" t="s">
        <v>731</v>
      </c>
      <c r="S86" t="str">
        <v>Range("collongwidth") = wb2.Worksheets("Geometry").Range("collongwidth")</v>
      </c>
      <c r="V86" t="s">
        <v>731</v>
      </c>
      <c r="W86" t="str">
        <v>wb2.Worksheets("Geometry").Range("collongwidth") = collongwidth</v>
      </c>
    </row>
    <row r="87" spans="1:23" x14ac:dyDescent="0.25">
      <c r="A87">
        <v>81</v>
      </c>
      <c r="B87" t="s">
        <v>401</v>
      </c>
      <c r="C87" t="str">
        <f>'Bent Search'!$G$181</f>
        <v/>
      </c>
      <c r="D87" s="93" t="s">
        <v>412</v>
      </c>
      <c r="E87">
        <v>181</v>
      </c>
      <c r="H87">
        <v>69</v>
      </c>
      <c r="I87" t="str">
        <v>CapitalWidth</v>
      </c>
      <c r="J87">
        <v>0</v>
      </c>
      <c r="K87" t="str">
        <v>Bent Search'!$G$84</v>
      </c>
      <c r="L87">
        <v>84</v>
      </c>
      <c r="P87" t="str">
        <v>CapitalWidth = Range("CapitalWidth")</v>
      </c>
      <c r="R87" t="s">
        <v>731</v>
      </c>
      <c r="S87" t="str">
        <v>Range("CapitalWidth") = wb2.Worksheets("Geometry").Range("CapitalWidth")</v>
      </c>
      <c r="V87" t="s">
        <v>731</v>
      </c>
      <c r="W87" t="str">
        <v>wb2.Worksheets("Geometry").Range("CapitalWidth") = CapitalWidth</v>
      </c>
    </row>
    <row r="88" spans="1:23" x14ac:dyDescent="0.25">
      <c r="A88">
        <v>82</v>
      </c>
      <c r="B88" t="s">
        <v>403</v>
      </c>
      <c r="C88" t="str">
        <f>'Bent Search'!$G$182</f>
        <v/>
      </c>
      <c r="D88" s="93" t="s">
        <v>510</v>
      </c>
      <c r="E88">
        <v>182</v>
      </c>
      <c r="H88">
        <v>68</v>
      </c>
      <c r="I88" t="str">
        <v>CapitalWeight</v>
      </c>
      <c r="J88">
        <v>0</v>
      </c>
      <c r="K88" t="str">
        <v>Bent Search'!$G$85</v>
      </c>
      <c r="L88">
        <v>85</v>
      </c>
      <c r="P88" t="str">
        <v>CapitalWeight = Range("CapitalWeight")</v>
      </c>
      <c r="R88" t="s">
        <v>731</v>
      </c>
      <c r="S88" t="str">
        <v>Range("CapitalWeight") = wb2.Worksheets("Geometry").Range("CapitalWeight")</v>
      </c>
      <c r="V88" t="s">
        <v>731</v>
      </c>
      <c r="W88" t="str">
        <v>wb2.Worksheets("Geometry").Range("CapitalWeight") = CapitalWeight</v>
      </c>
    </row>
    <row r="89" spans="1:23" x14ac:dyDescent="0.25">
      <c r="A89">
        <v>83</v>
      </c>
      <c r="B89" t="s">
        <v>405</v>
      </c>
      <c r="C89" t="str">
        <f>'Bent Search'!$G$183</f>
        <v/>
      </c>
      <c r="D89" s="93" t="s">
        <v>532</v>
      </c>
      <c r="E89">
        <v>183</v>
      </c>
      <c r="H89">
        <v>159</v>
      </c>
      <c r="I89" t="str">
        <v>ColSpa1</v>
      </c>
      <c r="J89">
        <v>20.125</v>
      </c>
      <c r="K89" t="str">
        <v>Bent Search'!$G$86</v>
      </c>
      <c r="L89">
        <v>86</v>
      </c>
      <c r="P89" t="str">
        <v>ColSpa1 = Range("ColSpa1")</v>
      </c>
      <c r="R89" t="s">
        <v>731</v>
      </c>
      <c r="S89" t="str">
        <v>Range("ColSpa1") = wb2.Worksheets("Geometry").Range("ColSpa1")</v>
      </c>
      <c r="V89" t="s">
        <v>731</v>
      </c>
      <c r="W89" t="str">
        <v>wb2.Worksheets("Geometry").Range("ColSpa1") = ColSpa1</v>
      </c>
    </row>
    <row r="90" spans="1:23" x14ac:dyDescent="0.25">
      <c r="A90">
        <v>84</v>
      </c>
      <c r="B90" t="s">
        <v>407</v>
      </c>
      <c r="C90" t="str">
        <f>'Bent Search'!$G$184</f>
        <v/>
      </c>
      <c r="D90" s="93" t="s">
        <v>536</v>
      </c>
      <c r="E90">
        <v>184</v>
      </c>
      <c r="H90">
        <v>161</v>
      </c>
      <c r="I90" t="str">
        <v>ColSpa2</v>
      </c>
      <c r="J90" t="str">
        <v/>
      </c>
      <c r="K90" t="str">
        <v>Bent Search'!$G$87</v>
      </c>
      <c r="L90">
        <v>87</v>
      </c>
      <c r="P90" t="str">
        <v>ColSpa2 = Range("ColSpa2")</v>
      </c>
      <c r="R90" t="s">
        <v>731</v>
      </c>
      <c r="S90" t="str">
        <v>Range("ColSpa2") = wb2.Worksheets("Geometry").Range("ColSpa2")</v>
      </c>
      <c r="V90" t="s">
        <v>731</v>
      </c>
      <c r="W90" t="str">
        <v>wb2.Worksheets("Geometry").Range("ColSpa2") = ColSpa2</v>
      </c>
    </row>
    <row r="91" spans="1:23" x14ac:dyDescent="0.25">
      <c r="A91">
        <v>85</v>
      </c>
      <c r="B91" t="s">
        <v>409</v>
      </c>
      <c r="C91">
        <f>'Bent Search'!$G$167</f>
        <v>122.47799999999999</v>
      </c>
      <c r="D91" s="93" t="s">
        <v>420</v>
      </c>
      <c r="E91">
        <v>167</v>
      </c>
      <c r="H91">
        <v>162</v>
      </c>
      <c r="I91" t="str">
        <v>ColSpa3</v>
      </c>
      <c r="J91" t="str">
        <v/>
      </c>
      <c r="K91" t="str">
        <v>Bent Search'!$G$88</v>
      </c>
      <c r="L91">
        <v>88</v>
      </c>
      <c r="P91" t="str">
        <v>ColSpa3 = Range("ColSpa3")</v>
      </c>
      <c r="R91" t="s">
        <v>731</v>
      </c>
      <c r="S91" t="str">
        <v>Range("ColSpa3") = wb2.Worksheets("Geometry").Range("ColSpa3")</v>
      </c>
      <c r="V91" t="s">
        <v>731</v>
      </c>
      <c r="W91" t="str">
        <v>wb2.Worksheets("Geometry").Range("ColSpa3") = ColSpa3</v>
      </c>
    </row>
    <row r="92" spans="1:23" x14ac:dyDescent="0.25">
      <c r="A92">
        <v>86</v>
      </c>
      <c r="B92" t="s">
        <v>411</v>
      </c>
      <c r="C92" t="str">
        <f>'Bent Search'!$G$185</f>
        <v/>
      </c>
      <c r="D92" s="93" t="s">
        <v>538</v>
      </c>
      <c r="E92">
        <v>185</v>
      </c>
      <c r="H92">
        <v>163</v>
      </c>
      <c r="I92" t="str">
        <v>ColSpa4</v>
      </c>
      <c r="J92" t="str">
        <v/>
      </c>
      <c r="K92" t="str">
        <v>Bent Search'!$G$89</v>
      </c>
      <c r="L92">
        <v>89</v>
      </c>
      <c r="P92" t="str">
        <v>ColSpa4 = Range("ColSpa4")</v>
      </c>
      <c r="R92" t="s">
        <v>731</v>
      </c>
      <c r="S92" t="str">
        <v>Range("ColSpa4") = wb2.Worksheets("Geometry").Range("ColSpa4")</v>
      </c>
      <c r="V92" t="s">
        <v>731</v>
      </c>
      <c r="W92" t="str">
        <v>wb2.Worksheets("Geometry").Range("ColSpa4") = ColSpa4</v>
      </c>
    </row>
    <row r="93" spans="1:23" x14ac:dyDescent="0.25">
      <c r="A93">
        <v>87</v>
      </c>
      <c r="B93" t="s">
        <v>413</v>
      </c>
      <c r="C93">
        <f>'Bent Search'!$G$168</f>
        <v>122.41200000000001</v>
      </c>
      <c r="D93" s="93" t="s">
        <v>422</v>
      </c>
      <c r="E93">
        <v>168</v>
      </c>
      <c r="H93">
        <v>164</v>
      </c>
      <c r="I93" t="str">
        <v>ColSpa5</v>
      </c>
      <c r="J93" t="str">
        <v/>
      </c>
      <c r="K93" t="str">
        <v>Bent Search'!$G$90</v>
      </c>
      <c r="L93">
        <v>90</v>
      </c>
      <c r="P93" t="str">
        <v>ColSpa5 = Range("ColSpa5")</v>
      </c>
      <c r="R93" t="s">
        <v>731</v>
      </c>
      <c r="S93" t="str">
        <v>Range("ColSpa5") = wb2.Worksheets("Geometry").Range("ColSpa5")</v>
      </c>
      <c r="V93" t="s">
        <v>731</v>
      </c>
      <c r="W93" t="str">
        <v>wb2.Worksheets("Geometry").Range("ColSpa5") = ColSpa5</v>
      </c>
    </row>
    <row r="94" spans="1:23" x14ac:dyDescent="0.25">
      <c r="A94">
        <v>88</v>
      </c>
      <c r="B94" t="s">
        <v>415</v>
      </c>
      <c r="C94">
        <f>'Bent Search'!$G$169</f>
        <v>122.34699999999999</v>
      </c>
      <c r="D94" s="93" t="s">
        <v>424</v>
      </c>
      <c r="E94">
        <v>169</v>
      </c>
      <c r="H94">
        <v>165</v>
      </c>
      <c r="I94" t="str">
        <v>ColSpa6</v>
      </c>
      <c r="J94" t="str">
        <v/>
      </c>
      <c r="K94" t="str">
        <v>Bent Search'!$G$91</v>
      </c>
      <c r="L94">
        <v>91</v>
      </c>
      <c r="P94" t="str">
        <v>ColSpa6 = Range("ColSpa6")</v>
      </c>
      <c r="R94" t="s">
        <v>731</v>
      </c>
      <c r="S94" t="str">
        <v>Range("ColSpa6") = wb2.Worksheets("Geometry").Range("ColSpa6")</v>
      </c>
      <c r="V94" t="s">
        <v>731</v>
      </c>
      <c r="W94" t="str">
        <v>wb2.Worksheets("Geometry").Range("ColSpa6") = ColSpa6</v>
      </c>
    </row>
    <row r="95" spans="1:23" x14ac:dyDescent="0.25">
      <c r="A95">
        <v>89</v>
      </c>
      <c r="B95" t="s">
        <v>417</v>
      </c>
      <c r="C95">
        <f>'Bent Search'!$G$170</f>
        <v>122.28100000000001</v>
      </c>
      <c r="D95" s="93" t="s">
        <v>426</v>
      </c>
      <c r="E95">
        <v>170</v>
      </c>
      <c r="H95">
        <v>166</v>
      </c>
      <c r="I95" t="str">
        <v>ColSpa7</v>
      </c>
      <c r="J95" t="str">
        <v/>
      </c>
      <c r="K95" t="str">
        <v>Bent Search'!$G$92</v>
      </c>
      <c r="L95">
        <v>92</v>
      </c>
      <c r="P95" t="str">
        <v>ColSpa7 = Range("ColSpa7")</v>
      </c>
      <c r="R95" t="s">
        <v>731</v>
      </c>
      <c r="S95" t="str">
        <v>Range("ColSpa7") = wb2.Worksheets("Geometry").Range("ColSpa7")</v>
      </c>
      <c r="V95" t="s">
        <v>731</v>
      </c>
      <c r="W95" t="str">
        <v>wb2.Worksheets("Geometry").Range("ColSpa7") = ColSpa7</v>
      </c>
    </row>
    <row r="96" spans="1:23" x14ac:dyDescent="0.25">
      <c r="A96">
        <v>90</v>
      </c>
      <c r="B96" t="s">
        <v>419</v>
      </c>
      <c r="C96">
        <f>'Bent Search'!$G$171</f>
        <v>122.214</v>
      </c>
      <c r="D96" s="93" t="s">
        <v>390</v>
      </c>
      <c r="E96">
        <v>171</v>
      </c>
      <c r="H96">
        <v>167</v>
      </c>
      <c r="I96" t="str">
        <v>ColSpa8</v>
      </c>
      <c r="J96" t="str">
        <v/>
      </c>
      <c r="K96" t="str">
        <v>Bent Search'!$G$93</v>
      </c>
      <c r="L96">
        <v>93</v>
      </c>
      <c r="P96" t="str">
        <v>ColSpa8 = Range("ColSpa8")</v>
      </c>
      <c r="R96" t="s">
        <v>731</v>
      </c>
      <c r="S96" t="str">
        <v>Range("ColSpa8") = wb2.Worksheets("Geometry").Range("ColSpa8")</v>
      </c>
      <c r="V96" t="s">
        <v>731</v>
      </c>
      <c r="W96" t="str">
        <v>wb2.Worksheets("Geometry").Range("ColSpa8") = ColSpa8</v>
      </c>
    </row>
    <row r="97" spans="1:23" x14ac:dyDescent="0.25">
      <c r="A97">
        <v>91</v>
      </c>
      <c r="B97" t="s">
        <v>421</v>
      </c>
      <c r="C97">
        <f>'Bent Search'!$G$172</f>
        <v>122.151</v>
      </c>
      <c r="D97" s="93" t="s">
        <v>392</v>
      </c>
      <c r="E97">
        <v>172</v>
      </c>
      <c r="H97">
        <v>168</v>
      </c>
      <c r="I97" t="str">
        <v>ColSpa9</v>
      </c>
      <c r="J97" t="str">
        <v/>
      </c>
      <c r="K97" t="str">
        <v>Bent Search'!$G$94</v>
      </c>
      <c r="L97">
        <v>94</v>
      </c>
      <c r="P97" t="str">
        <v>ColSpa9 = Range("ColSpa9")</v>
      </c>
      <c r="R97" t="s">
        <v>731</v>
      </c>
      <c r="S97" t="str">
        <v>Range("ColSpa9") = wb2.Worksheets("Geometry").Range("ColSpa9")</v>
      </c>
      <c r="V97" t="s">
        <v>731</v>
      </c>
      <c r="W97" t="str">
        <v>wb2.Worksheets("Geometry").Range("ColSpa9") = ColSpa9</v>
      </c>
    </row>
    <row r="98" spans="1:23" x14ac:dyDescent="0.25">
      <c r="A98">
        <v>92</v>
      </c>
      <c r="B98" t="s">
        <v>423</v>
      </c>
      <c r="C98" t="str">
        <f>'Bent Search'!$G$173</f>
        <v/>
      </c>
      <c r="D98" s="93" t="s">
        <v>394</v>
      </c>
      <c r="E98">
        <v>173</v>
      </c>
      <c r="H98">
        <v>160</v>
      </c>
      <c r="I98" t="str">
        <v>ColSpa10</v>
      </c>
      <c r="J98" t="str">
        <v/>
      </c>
      <c r="K98" t="str">
        <v>Bent Search'!$G$95</v>
      </c>
      <c r="L98">
        <v>95</v>
      </c>
      <c r="P98" t="str">
        <v>ColSpa10 = Range("ColSpa10")</v>
      </c>
      <c r="R98" t="s">
        <v>731</v>
      </c>
      <c r="S98" t="str">
        <v>Range("ColSpa10") = wb2.Worksheets("Geometry").Range("ColSpa10")</v>
      </c>
      <c r="V98" t="s">
        <v>731</v>
      </c>
      <c r="W98" t="str">
        <v>wb2.Worksheets("Geometry").Range("ColSpa10") = ColSpa10</v>
      </c>
    </row>
    <row r="99" spans="1:23" x14ac:dyDescent="0.25">
      <c r="A99">
        <v>93</v>
      </c>
      <c r="B99" t="s">
        <v>425</v>
      </c>
      <c r="C99" t="str">
        <f>'Bent Search'!$G$174</f>
        <v/>
      </c>
      <c r="D99" s="93" t="s">
        <v>396</v>
      </c>
      <c r="E99">
        <v>174</v>
      </c>
      <c r="H99">
        <v>156</v>
      </c>
      <c r="I99" t="str">
        <v>ColHeightI</v>
      </c>
      <c r="J99">
        <v>28</v>
      </c>
      <c r="K99" t="str">
        <v>Bent Search'!$G$96</v>
      </c>
      <c r="L99">
        <v>96</v>
      </c>
      <c r="P99" t="str">
        <v>ColHeightI = Range("ColHeightI")</v>
      </c>
      <c r="R99" t="s">
        <v>731</v>
      </c>
      <c r="S99" t="str">
        <v>Range("ColHeightI") = wb2.Worksheets("Geometry").Range("ColHeightI")</v>
      </c>
      <c r="V99" t="s">
        <v>731</v>
      </c>
      <c r="W99" t="str">
        <v>wb2.Worksheets("Geometry").Range("ColHeightI") = ColHeightI</v>
      </c>
    </row>
    <row r="100" spans="1:23" x14ac:dyDescent="0.25">
      <c r="A100">
        <v>94</v>
      </c>
      <c r="B100" t="s">
        <v>427</v>
      </c>
      <c r="C100">
        <f>'Bent Search'!$G$146</f>
        <v>-4</v>
      </c>
      <c r="D100" s="93" t="s">
        <v>458</v>
      </c>
      <c r="E100">
        <v>146</v>
      </c>
      <c r="H100">
        <v>157</v>
      </c>
      <c r="I100" t="str">
        <v>ColHeightII</v>
      </c>
      <c r="J100" t="str">
        <v/>
      </c>
      <c r="K100" t="str">
        <v>Bent Search'!$G$97</v>
      </c>
      <c r="L100">
        <v>97</v>
      </c>
      <c r="P100" t="str">
        <v>ColHeightII = Range("ColHeightII")</v>
      </c>
      <c r="R100" t="s">
        <v>731</v>
      </c>
      <c r="S100" t="str">
        <v>Range("ColHeightII") = wb2.Worksheets("Geometry").Range("ColHeightII")</v>
      </c>
      <c r="V100" t="s">
        <v>731</v>
      </c>
      <c r="W100" t="str">
        <v>wb2.Worksheets("Geometry").Range("ColHeightII") = ColHeightII</v>
      </c>
    </row>
    <row r="101" spans="1:23" x14ac:dyDescent="0.25">
      <c r="A101">
        <v>95</v>
      </c>
      <c r="B101" t="s">
        <v>429</v>
      </c>
      <c r="C101" t="str">
        <f>'Bent Search'!$G$155</f>
        <v/>
      </c>
      <c r="D101" s="93" t="s">
        <v>438</v>
      </c>
      <c r="E101">
        <v>155</v>
      </c>
      <c r="H101">
        <v>52</v>
      </c>
      <c r="I101" t="str">
        <v>BkBms</v>
      </c>
      <c r="J101">
        <v>7</v>
      </c>
      <c r="K101" t="str">
        <v>Bent Search'!$G$98</v>
      </c>
      <c r="L101">
        <v>98</v>
      </c>
      <c r="P101" t="str">
        <v>BkBms = Range("BkBms")</v>
      </c>
      <c r="R101" t="s">
        <v>731</v>
      </c>
      <c r="S101" t="str">
        <v>Range("BkBms") = wb2.Worksheets("Geometry").Range("BkBms")</v>
      </c>
      <c r="V101" t="s">
        <v>731</v>
      </c>
      <c r="W101" t="str">
        <v>wb2.Worksheets("Geometry").Range("BkBms") = BkBms</v>
      </c>
    </row>
    <row r="102" spans="1:23" x14ac:dyDescent="0.25">
      <c r="A102">
        <v>96</v>
      </c>
      <c r="B102" t="s">
        <v>431</v>
      </c>
      <c r="C102" t="str">
        <f>'Bent Search'!$G$156</f>
        <v/>
      </c>
      <c r="D102" s="93" t="s">
        <v>440</v>
      </c>
      <c r="E102">
        <v>156</v>
      </c>
      <c r="H102">
        <v>29</v>
      </c>
      <c r="I102" t="str">
        <v>BBSPA1</v>
      </c>
      <c r="J102">
        <v>2.8333333333333335</v>
      </c>
      <c r="K102" t="str">
        <v>Bent Search'!$G$99</v>
      </c>
      <c r="L102">
        <v>99</v>
      </c>
      <c r="P102" t="str">
        <v>BBSPA1 = Range("BBSPA1")</v>
      </c>
      <c r="R102" t="s">
        <v>731</v>
      </c>
      <c r="S102" t="str">
        <v>Range("BBSPA1") = wb2.Worksheets("Geometry").Range("BBSPA1")</v>
      </c>
      <c r="V102" t="s">
        <v>731</v>
      </c>
      <c r="W102" t="str">
        <v>wb2.Worksheets("Geometry").Range("BBSPA1") = BBSPA1</v>
      </c>
    </row>
    <row r="103" spans="1:23" x14ac:dyDescent="0.25">
      <c r="A103">
        <v>97</v>
      </c>
      <c r="B103" t="s">
        <v>433</v>
      </c>
      <c r="C103" t="str">
        <f>'Bent Search'!$G$157</f>
        <v/>
      </c>
      <c r="D103" s="93" t="s">
        <v>442</v>
      </c>
      <c r="E103">
        <v>157</v>
      </c>
      <c r="H103">
        <v>40</v>
      </c>
      <c r="I103" t="str">
        <v>BBSPA2</v>
      </c>
      <c r="J103">
        <v>6</v>
      </c>
      <c r="K103" t="str">
        <v>Bent Search'!$G$100</v>
      </c>
      <c r="L103">
        <v>100</v>
      </c>
      <c r="P103" t="str">
        <v>BBSPA2 = Range("BBSPA2")</v>
      </c>
      <c r="R103" t="s">
        <v>731</v>
      </c>
      <c r="S103" t="str">
        <v>Range("BBSPA2") = wb2.Worksheets("Geometry").Range("BBSPA2")</v>
      </c>
      <c r="V103" t="s">
        <v>731</v>
      </c>
      <c r="W103" t="str">
        <v>wb2.Worksheets("Geometry").Range("BBSPA2") = BBSPA2</v>
      </c>
    </row>
    <row r="104" spans="1:23" x14ac:dyDescent="0.25">
      <c r="A104">
        <v>98</v>
      </c>
      <c r="B104" t="s">
        <v>435</v>
      </c>
      <c r="C104" t="str">
        <f>'Bent Search'!$G$158</f>
        <v/>
      </c>
      <c r="D104" s="93" t="s">
        <v>444</v>
      </c>
      <c r="E104">
        <v>158</v>
      </c>
      <c r="H104">
        <v>42</v>
      </c>
      <c r="I104" t="str">
        <v>BBSPA3</v>
      </c>
      <c r="J104">
        <v>6</v>
      </c>
      <c r="K104" t="str">
        <v>Bent Search'!$G$101</v>
      </c>
      <c r="L104">
        <v>101</v>
      </c>
      <c r="P104" t="str">
        <v>BBSPA3 = Range("BBSPA3")</v>
      </c>
      <c r="R104" t="s">
        <v>731</v>
      </c>
      <c r="S104" t="str">
        <v>Range("BBSPA3") = wb2.Worksheets("Geometry").Range("BBSPA3")</v>
      </c>
      <c r="V104" t="s">
        <v>731</v>
      </c>
      <c r="W104" t="str">
        <v>wb2.Worksheets("Geometry").Range("BBSPA3") = BBSPA3</v>
      </c>
    </row>
    <row r="105" spans="1:23" x14ac:dyDescent="0.25">
      <c r="A105">
        <v>99</v>
      </c>
      <c r="B105" t="s">
        <v>437</v>
      </c>
      <c r="C105" t="str">
        <f>'Bent Search'!$G$159</f>
        <v/>
      </c>
      <c r="D105" s="93" t="s">
        <v>446</v>
      </c>
      <c r="E105">
        <v>159</v>
      </c>
      <c r="H105">
        <v>43</v>
      </c>
      <c r="I105" t="str">
        <v>BBSPA4</v>
      </c>
      <c r="J105">
        <v>6</v>
      </c>
      <c r="K105" t="str">
        <v>Bent Search'!$G$102</v>
      </c>
      <c r="L105">
        <v>102</v>
      </c>
      <c r="P105" t="str">
        <v>BBSPA4 = Range("BBSPA4")</v>
      </c>
      <c r="R105" t="s">
        <v>731</v>
      </c>
      <c r="S105" t="str">
        <v>Range("BBSPA4") = wb2.Worksheets("Geometry").Range("BBSPA4")</v>
      </c>
      <c r="V105" t="s">
        <v>731</v>
      </c>
      <c r="W105" t="str">
        <v>wb2.Worksheets("Geometry").Range("BBSPA4") = BBSPA4</v>
      </c>
    </row>
    <row r="106" spans="1:23" x14ac:dyDescent="0.25">
      <c r="A106">
        <v>100</v>
      </c>
      <c r="B106" t="s">
        <v>439</v>
      </c>
      <c r="C106" t="str">
        <f>'Bent Search'!$G$160</f>
        <v/>
      </c>
      <c r="D106" s="93" t="s">
        <v>448</v>
      </c>
      <c r="E106">
        <v>160</v>
      </c>
      <c r="H106">
        <v>44</v>
      </c>
      <c r="I106" t="str">
        <v>BBSPA5</v>
      </c>
      <c r="J106">
        <v>6</v>
      </c>
      <c r="K106" t="str">
        <v>Bent Search'!$G$103</v>
      </c>
      <c r="L106">
        <v>103</v>
      </c>
      <c r="P106" t="str">
        <v>BBSPA5 = Range("BBSPA5")</v>
      </c>
      <c r="R106" t="s">
        <v>731</v>
      </c>
      <c r="S106" t="str">
        <v>Range("BBSPA5") = wb2.Worksheets("Geometry").Range("BBSPA5")</v>
      </c>
      <c r="V106" t="s">
        <v>731</v>
      </c>
      <c r="W106" t="str">
        <v>wb2.Worksheets("Geometry").Range("BBSPA5") = BBSPA5</v>
      </c>
    </row>
    <row r="107" spans="1:23" x14ac:dyDescent="0.25">
      <c r="A107">
        <v>101</v>
      </c>
      <c r="B107" t="s">
        <v>441</v>
      </c>
      <c r="C107" t="str">
        <f>'Bent Search'!$G$161</f>
        <v/>
      </c>
      <c r="D107" s="93" t="s">
        <v>452</v>
      </c>
      <c r="E107">
        <v>161</v>
      </c>
      <c r="H107">
        <v>45</v>
      </c>
      <c r="I107" t="str">
        <v>BBSPA6</v>
      </c>
      <c r="J107">
        <v>6.7569999999999997</v>
      </c>
      <c r="K107" t="str">
        <v>Bent Search'!$G$104</v>
      </c>
      <c r="L107">
        <v>104</v>
      </c>
      <c r="P107" t="str">
        <v>BBSPA6 = Range("BBSPA6")</v>
      </c>
      <c r="R107" t="s">
        <v>731</v>
      </c>
      <c r="S107" t="str">
        <v>Range("BBSPA6") = wb2.Worksheets("Geometry").Range("BBSPA6")</v>
      </c>
      <c r="V107" t="s">
        <v>731</v>
      </c>
      <c r="W107" t="str">
        <v>wb2.Worksheets("Geometry").Range("BBSPA6") = BBSPA6</v>
      </c>
    </row>
    <row r="108" spans="1:23" x14ac:dyDescent="0.25">
      <c r="A108">
        <v>102</v>
      </c>
      <c r="B108" t="s">
        <v>443</v>
      </c>
      <c r="C108" t="str">
        <f>'Bent Search'!$G$162</f>
        <v/>
      </c>
      <c r="D108" s="93" t="s">
        <v>388</v>
      </c>
      <c r="E108">
        <v>162</v>
      </c>
      <c r="H108">
        <v>46</v>
      </c>
      <c r="I108" t="str">
        <v>BBSPA7</v>
      </c>
      <c r="J108">
        <v>6.7569999999999997</v>
      </c>
      <c r="K108" t="str">
        <v>Bent Search'!$G$105</v>
      </c>
      <c r="L108">
        <v>105</v>
      </c>
      <c r="P108" t="str">
        <v>BBSPA7 = Range("BBSPA7")</v>
      </c>
      <c r="R108" t="s">
        <v>731</v>
      </c>
      <c r="S108" t="str">
        <v>Range("BBSPA7") = wb2.Worksheets("Geometry").Range("BBSPA7")</v>
      </c>
      <c r="V108" t="s">
        <v>731</v>
      </c>
      <c r="W108" t="str">
        <v>wb2.Worksheets("Geometry").Range("BBSPA7") = BBSPA7</v>
      </c>
    </row>
    <row r="109" spans="1:23" x14ac:dyDescent="0.25">
      <c r="A109">
        <v>103</v>
      </c>
      <c r="B109" t="s">
        <v>445</v>
      </c>
      <c r="C109" t="str">
        <f>'Bent Search'!$G$163</f>
        <v/>
      </c>
      <c r="D109" s="93" t="s">
        <v>410</v>
      </c>
      <c r="E109">
        <v>163</v>
      </c>
      <c r="H109">
        <v>47</v>
      </c>
      <c r="I109" t="str">
        <v>BBSPA8</v>
      </c>
      <c r="J109" t="str">
        <v/>
      </c>
      <c r="K109" t="str">
        <v>Bent Search'!$G$106</v>
      </c>
      <c r="L109">
        <v>106</v>
      </c>
      <c r="P109" t="str">
        <v>BBSPA8 = Range("BBSPA8")</v>
      </c>
      <c r="R109" t="s">
        <v>731</v>
      </c>
      <c r="S109" t="str">
        <v>Range("BBSPA8") = wb2.Worksheets("Geometry").Range("BBSPA8")</v>
      </c>
      <c r="V109" t="s">
        <v>731</v>
      </c>
      <c r="W109" t="str">
        <v>wb2.Worksheets("Geometry").Range("BBSPA8") = BBSPA8</v>
      </c>
    </row>
    <row r="110" spans="1:23" x14ac:dyDescent="0.25">
      <c r="A110">
        <v>104</v>
      </c>
      <c r="B110" t="s">
        <v>447</v>
      </c>
      <c r="C110" t="str">
        <f>'Bent Search'!$G$164</f>
        <v/>
      </c>
      <c r="D110" s="93" t="s">
        <v>414</v>
      </c>
      <c r="E110">
        <v>164</v>
      </c>
      <c r="H110">
        <v>48</v>
      </c>
      <c r="I110" t="str">
        <v>BBSPA9</v>
      </c>
      <c r="J110" t="str">
        <v/>
      </c>
      <c r="K110" t="str">
        <v>Bent Search'!$G$107</v>
      </c>
      <c r="L110">
        <v>107</v>
      </c>
      <c r="P110" t="str">
        <v>BBSPA9 = Range("BBSPA9")</v>
      </c>
      <c r="R110" t="s">
        <v>731</v>
      </c>
      <c r="S110" t="str">
        <v>Range("BBSPA9") = wb2.Worksheets("Geometry").Range("BBSPA9")</v>
      </c>
      <c r="V110" t="s">
        <v>731</v>
      </c>
      <c r="W110" t="str">
        <v>wb2.Worksheets("Geometry").Range("BBSPA9") = BBSPA9</v>
      </c>
    </row>
    <row r="111" spans="1:23" x14ac:dyDescent="0.25">
      <c r="A111">
        <v>105</v>
      </c>
      <c r="B111" t="s">
        <v>449</v>
      </c>
      <c r="C111">
        <f>'Bent Search'!$G$147</f>
        <v>6</v>
      </c>
      <c r="D111" s="93" t="s">
        <v>460</v>
      </c>
      <c r="E111">
        <v>147</v>
      </c>
      <c r="H111">
        <v>30</v>
      </c>
      <c r="I111" t="str">
        <v>BBSPA10</v>
      </c>
      <c r="J111" t="str">
        <v/>
      </c>
      <c r="K111" t="str">
        <v>Bent Search'!$G$108</v>
      </c>
      <c r="L111">
        <v>108</v>
      </c>
      <c r="P111" t="str">
        <v>BBSPA10 = Range("BBSPA10")</v>
      </c>
      <c r="R111" t="s">
        <v>731</v>
      </c>
      <c r="S111" t="str">
        <v>Range("BBSPA10") = wb2.Worksheets("Geometry").Range("BBSPA10")</v>
      </c>
      <c r="V111" t="s">
        <v>731</v>
      </c>
      <c r="W111" t="str">
        <v>wb2.Worksheets("Geometry").Range("BBSPA10") = BBSPA10</v>
      </c>
    </row>
    <row r="112" spans="1:23" x14ac:dyDescent="0.25">
      <c r="A112">
        <v>106</v>
      </c>
      <c r="B112" t="s">
        <v>451</v>
      </c>
      <c r="C112" t="str">
        <f>'Bent Search'!$G$165</f>
        <v/>
      </c>
      <c r="D112" s="93" t="s">
        <v>416</v>
      </c>
      <c r="E112">
        <v>165</v>
      </c>
      <c r="H112">
        <v>31</v>
      </c>
      <c r="I112" t="str">
        <v>BBSPA11</v>
      </c>
      <c r="J112" t="str">
        <v/>
      </c>
      <c r="K112" t="str">
        <v>Bent Search'!$G$109</v>
      </c>
      <c r="L112">
        <v>109</v>
      </c>
      <c r="P112" t="str">
        <v>BBSPA11 = Range("BBSPA11")</v>
      </c>
      <c r="R112" t="s">
        <v>731</v>
      </c>
      <c r="S112" t="str">
        <v>Range("BBSPA11") = wb2.Worksheets("Geometry").Range("BBSPA11")</v>
      </c>
      <c r="V112" t="s">
        <v>731</v>
      </c>
      <c r="W112" t="str">
        <v>wb2.Worksheets("Geometry").Range("BBSPA11") = BBSPA11</v>
      </c>
    </row>
    <row r="113" spans="1:23" x14ac:dyDescent="0.25">
      <c r="A113">
        <v>107</v>
      </c>
      <c r="B113" t="s">
        <v>453</v>
      </c>
      <c r="C113">
        <f>'Bent Search'!$G$148</f>
        <v>6</v>
      </c>
      <c r="D113" s="93" t="s">
        <v>462</v>
      </c>
      <c r="E113">
        <v>148</v>
      </c>
      <c r="H113">
        <v>32</v>
      </c>
      <c r="I113" t="str">
        <v>BBSPA12</v>
      </c>
      <c r="J113" t="str">
        <v/>
      </c>
      <c r="K113" t="str">
        <v>Bent Search'!$G$110</v>
      </c>
      <c r="L113">
        <v>110</v>
      </c>
      <c r="P113" t="str">
        <v>BBSPA12 = Range("BBSPA12")</v>
      </c>
      <c r="R113" t="s">
        <v>731</v>
      </c>
      <c r="S113" t="str">
        <v>Range("BBSPA12") = wb2.Worksheets("Geometry").Range("BBSPA12")</v>
      </c>
      <c r="V113" t="s">
        <v>731</v>
      </c>
      <c r="W113" t="str">
        <v>wb2.Worksheets("Geometry").Range("BBSPA12") = BBSPA12</v>
      </c>
    </row>
    <row r="114" spans="1:23" x14ac:dyDescent="0.25">
      <c r="A114">
        <v>108</v>
      </c>
      <c r="B114" t="s">
        <v>455</v>
      </c>
      <c r="C114">
        <f>'Bent Search'!$G$149</f>
        <v>6</v>
      </c>
      <c r="D114" s="93" t="s">
        <v>464</v>
      </c>
      <c r="E114">
        <v>149</v>
      </c>
      <c r="H114">
        <v>33</v>
      </c>
      <c r="I114" t="str">
        <v>BBSPA13</v>
      </c>
      <c r="J114" t="str">
        <v/>
      </c>
      <c r="K114" t="str">
        <v>Bent Search'!$G$111</v>
      </c>
      <c r="L114">
        <v>111</v>
      </c>
      <c r="P114" t="str">
        <v>BBSPA13 = Range("BBSPA13")</v>
      </c>
      <c r="R114" t="s">
        <v>731</v>
      </c>
      <c r="S114" t="str">
        <v>Range("BBSPA13") = wb2.Worksheets("Geometry").Range("BBSPA13")</v>
      </c>
      <c r="V114" t="s">
        <v>731</v>
      </c>
      <c r="W114" t="str">
        <v>wb2.Worksheets("Geometry").Range("BBSPA13") = BBSPA13</v>
      </c>
    </row>
    <row r="115" spans="1:23" x14ac:dyDescent="0.25">
      <c r="A115">
        <v>109</v>
      </c>
      <c r="B115" t="s">
        <v>457</v>
      </c>
      <c r="C115">
        <f>'Bent Search'!$G$150</f>
        <v>6</v>
      </c>
      <c r="D115" s="93" t="s">
        <v>466</v>
      </c>
      <c r="E115">
        <v>150</v>
      </c>
      <c r="H115">
        <v>34</v>
      </c>
      <c r="I115" t="str">
        <v>BBSPA14</v>
      </c>
      <c r="J115" t="str">
        <v/>
      </c>
      <c r="K115" t="str">
        <v>Bent Search'!$G$112</v>
      </c>
      <c r="L115">
        <v>112</v>
      </c>
      <c r="P115" t="str">
        <v>BBSPA14 = Range("BBSPA14")</v>
      </c>
      <c r="R115" t="s">
        <v>731</v>
      </c>
      <c r="S115" t="str">
        <v>Range("BBSPA14") = wb2.Worksheets("Geometry").Range("BBSPA14")</v>
      </c>
      <c r="V115" t="s">
        <v>731</v>
      </c>
      <c r="W115" t="str">
        <v>wb2.Worksheets("Geometry").Range("BBSPA14") = BBSPA14</v>
      </c>
    </row>
    <row r="116" spans="1:23" x14ac:dyDescent="0.25">
      <c r="A116">
        <v>110</v>
      </c>
      <c r="B116" t="s">
        <v>459</v>
      </c>
      <c r="C116">
        <f>'Bent Search'!$G$151</f>
        <v>6.7569999999999997</v>
      </c>
      <c r="D116" s="93" t="s">
        <v>430</v>
      </c>
      <c r="E116">
        <v>151</v>
      </c>
      <c r="H116">
        <v>35</v>
      </c>
      <c r="I116" t="str">
        <v>BBSPA15</v>
      </c>
      <c r="J116" t="str">
        <v/>
      </c>
      <c r="K116" t="str">
        <v>Bent Search'!$G$113</v>
      </c>
      <c r="L116">
        <v>113</v>
      </c>
      <c r="P116" t="str">
        <v>BBSPA15 = Range("BBSPA15")</v>
      </c>
      <c r="R116" t="s">
        <v>731</v>
      </c>
      <c r="S116" t="str">
        <v>Range("BBSPA15") = wb2.Worksheets("Geometry").Range("BBSPA15")</v>
      </c>
      <c r="V116" t="s">
        <v>731</v>
      </c>
      <c r="W116" t="str">
        <v>wb2.Worksheets("Geometry").Range("BBSPA15") = BBSPA15</v>
      </c>
    </row>
    <row r="117" spans="1:23" x14ac:dyDescent="0.25">
      <c r="A117">
        <v>111</v>
      </c>
      <c r="B117" t="s">
        <v>461</v>
      </c>
      <c r="C117">
        <f>'Bent Search'!$G$152</f>
        <v>6.7569999999999997</v>
      </c>
      <c r="D117" s="93" t="s">
        <v>432</v>
      </c>
      <c r="E117">
        <v>152</v>
      </c>
      <c r="H117">
        <v>36</v>
      </c>
      <c r="I117" t="str">
        <v>BBSPA16</v>
      </c>
      <c r="J117" t="str">
        <v/>
      </c>
      <c r="K117" t="str">
        <v>Bent Search'!$G$114</v>
      </c>
      <c r="L117">
        <v>114</v>
      </c>
      <c r="P117" t="str">
        <v>BBSPA16 = Range("BBSPA16")</v>
      </c>
      <c r="R117" t="s">
        <v>731</v>
      </c>
      <c r="S117" t="str">
        <v>Range("BBSPA16") = wb2.Worksheets("Geometry").Range("BBSPA16")</v>
      </c>
      <c r="V117" t="s">
        <v>731</v>
      </c>
      <c r="W117" t="str">
        <v>wb2.Worksheets("Geometry").Range("BBSPA16") = BBSPA16</v>
      </c>
    </row>
    <row r="118" spans="1:23" x14ac:dyDescent="0.25">
      <c r="A118">
        <v>112</v>
      </c>
      <c r="B118" t="s">
        <v>463</v>
      </c>
      <c r="C118" t="str">
        <f>'Bent Search'!$G$153</f>
        <v/>
      </c>
      <c r="D118" s="93" t="s">
        <v>434</v>
      </c>
      <c r="E118">
        <v>153</v>
      </c>
      <c r="H118">
        <v>37</v>
      </c>
      <c r="I118" t="str">
        <v>BBSPA17</v>
      </c>
      <c r="J118" t="str">
        <v/>
      </c>
      <c r="K118" t="str">
        <v>Bent Search'!$G$115</v>
      </c>
      <c r="L118">
        <v>115</v>
      </c>
      <c r="P118" t="str">
        <v>BBSPA17 = Range("BBSPA17")</v>
      </c>
      <c r="R118" t="s">
        <v>731</v>
      </c>
      <c r="S118" t="str">
        <v>Range("BBSPA17") = wb2.Worksheets("Geometry").Range("BBSPA17")</v>
      </c>
      <c r="V118" t="s">
        <v>731</v>
      </c>
      <c r="W118" t="str">
        <v>wb2.Worksheets("Geometry").Range("BBSPA17") = BBSPA17</v>
      </c>
    </row>
    <row r="119" spans="1:23" x14ac:dyDescent="0.25">
      <c r="A119">
        <v>113</v>
      </c>
      <c r="B119" t="s">
        <v>465</v>
      </c>
      <c r="C119" t="str">
        <f>'Bent Search'!$G$154</f>
        <v/>
      </c>
      <c r="D119" s="93" t="s">
        <v>436</v>
      </c>
      <c r="E119">
        <v>154</v>
      </c>
      <c r="H119">
        <v>38</v>
      </c>
      <c r="I119" t="str">
        <v>BBSPA18</v>
      </c>
      <c r="J119" t="str">
        <v/>
      </c>
      <c r="K119" t="str">
        <v>Bent Search'!$G$116</v>
      </c>
      <c r="L119">
        <v>116</v>
      </c>
      <c r="P119" t="str">
        <v>BBSPA18 = Range("BBSPA18")</v>
      </c>
      <c r="R119" t="s">
        <v>731</v>
      </c>
      <c r="S119" t="str">
        <v>Range("BBSPA18") = wb2.Worksheets("Geometry").Range("BBSPA18")</v>
      </c>
      <c r="V119" t="s">
        <v>731</v>
      </c>
      <c r="W119" t="str">
        <v>wb2.Worksheets("Geometry").Range("BBSPA18") = BBSPA18</v>
      </c>
    </row>
    <row r="120" spans="1:23" x14ac:dyDescent="0.25">
      <c r="A120">
        <v>114</v>
      </c>
      <c r="B120" t="s">
        <v>467</v>
      </c>
      <c r="C120">
        <f>'Bent Search'!$G$140</f>
        <v>42.424479166666664</v>
      </c>
      <c r="D120" s="93" t="s">
        <v>586</v>
      </c>
      <c r="E120">
        <v>140</v>
      </c>
      <c r="H120">
        <v>39</v>
      </c>
      <c r="I120" t="str">
        <v>BBSPA19</v>
      </c>
      <c r="J120" t="str">
        <v/>
      </c>
      <c r="K120" t="str">
        <v>Bent Search'!$G$117</v>
      </c>
      <c r="L120">
        <v>117</v>
      </c>
      <c r="P120" t="str">
        <v>BBSPA19 = Range("BBSPA19")</v>
      </c>
      <c r="R120" t="s">
        <v>731</v>
      </c>
      <c r="S120" t="str">
        <v>Range("BBSPA19") = wb2.Worksheets("Geometry").Range("BBSPA19")</v>
      </c>
      <c r="V120" t="s">
        <v>731</v>
      </c>
      <c r="W120" t="str">
        <v>wb2.Worksheets("Geometry").Range("BBSPA19") = BBSPA19</v>
      </c>
    </row>
    <row r="121" spans="1:23" x14ac:dyDescent="0.25">
      <c r="A121">
        <v>115</v>
      </c>
      <c r="B121" t="s">
        <v>469</v>
      </c>
      <c r="C121">
        <f>'Bent Search'!$G$206</f>
        <v>112.54</v>
      </c>
      <c r="D121" s="93" t="s">
        <v>500</v>
      </c>
      <c r="E121">
        <v>206</v>
      </c>
      <c r="H121">
        <v>41</v>
      </c>
      <c r="I121" t="str">
        <v>BBSPA20</v>
      </c>
      <c r="J121" t="str">
        <v/>
      </c>
      <c r="K121" t="str">
        <v>Bent Search'!$G$118</v>
      </c>
      <c r="L121">
        <v>118</v>
      </c>
      <c r="P121" t="str">
        <v>BBSPA20 = Range("BBSPA20")</v>
      </c>
      <c r="R121" t="s">
        <v>731</v>
      </c>
      <c r="S121" t="str">
        <v>Range("BBSPA20") = wb2.Worksheets("Geometry").Range("BBSPA20")</v>
      </c>
      <c r="V121" t="s">
        <v>731</v>
      </c>
      <c r="W121" t="str">
        <v>wb2.Worksheets("Geometry").Range("BBSPA20") = BBSPA20</v>
      </c>
    </row>
    <row r="122" spans="1:23" x14ac:dyDescent="0.25">
      <c r="A122">
        <v>116</v>
      </c>
      <c r="B122" t="s">
        <v>471</v>
      </c>
      <c r="C122" t="str">
        <f>'Bent Search'!$G$215</f>
        <v/>
      </c>
      <c r="D122" s="93" t="s">
        <v>480</v>
      </c>
      <c r="E122">
        <v>215</v>
      </c>
      <c r="H122">
        <v>206</v>
      </c>
      <c r="I122" t="str">
        <v>FdBms</v>
      </c>
      <c r="J122">
        <v>6</v>
      </c>
      <c r="K122" t="str">
        <v>Bent Search'!$G$119</v>
      </c>
      <c r="L122">
        <v>119</v>
      </c>
      <c r="P122" t="str">
        <v>FdBms = Range("FdBms")</v>
      </c>
      <c r="R122" t="s">
        <v>731</v>
      </c>
      <c r="S122" t="str">
        <v>Range("FdBms") = wb2.Worksheets("Geometry").Range("FdBms")</v>
      </c>
      <c r="V122" t="s">
        <v>731</v>
      </c>
      <c r="W122" t="str">
        <v>wb2.Worksheets("Geometry").Range("FdBms") = FdBms</v>
      </c>
    </row>
    <row r="123" spans="1:23" x14ac:dyDescent="0.25">
      <c r="A123">
        <v>117</v>
      </c>
      <c r="B123" t="s">
        <v>473</v>
      </c>
      <c r="C123" t="str">
        <f>'Bent Search'!$G$216</f>
        <v/>
      </c>
      <c r="D123" s="93" t="s">
        <v>482</v>
      </c>
      <c r="E123">
        <v>216</v>
      </c>
      <c r="H123">
        <v>185</v>
      </c>
      <c r="I123" t="str">
        <v>FBSPA1</v>
      </c>
      <c r="J123">
        <v>2.8333333333333335</v>
      </c>
      <c r="K123" t="str">
        <v>Bent Search'!$G$120</v>
      </c>
      <c r="L123">
        <v>120</v>
      </c>
      <c r="P123" t="str">
        <v>FBSPA1 = Range("FBSPA1")</v>
      </c>
      <c r="R123" t="s">
        <v>731</v>
      </c>
      <c r="S123" t="str">
        <v>Range("FBSPA1") = wb2.Worksheets("Geometry").Range("FBSPA1")</v>
      </c>
      <c r="V123" t="s">
        <v>731</v>
      </c>
      <c r="W123" t="str">
        <v>wb2.Worksheets("Geometry").Range("FBSPA1") = FBSPA1</v>
      </c>
    </row>
    <row r="124" spans="1:23" x14ac:dyDescent="0.25">
      <c r="A124">
        <v>118</v>
      </c>
      <c r="B124" t="s">
        <v>475</v>
      </c>
      <c r="C124" t="str">
        <f>'Bent Search'!$G$217</f>
        <v/>
      </c>
      <c r="D124" s="93" t="s">
        <v>484</v>
      </c>
      <c r="E124">
        <v>217</v>
      </c>
      <c r="H124">
        <v>196</v>
      </c>
      <c r="I124" t="str">
        <v>FBSPA2</v>
      </c>
      <c r="J124">
        <v>8.5</v>
      </c>
      <c r="K124" t="str">
        <v>Bent Search'!$G$121</v>
      </c>
      <c r="L124">
        <v>121</v>
      </c>
      <c r="P124" t="str">
        <v>FBSPA2 = Range("FBSPA2")</v>
      </c>
      <c r="R124" t="s">
        <v>731</v>
      </c>
      <c r="S124" t="str">
        <v>Range("FBSPA2") = wb2.Worksheets("Geometry").Range("FBSPA2")</v>
      </c>
      <c r="V124" t="s">
        <v>731</v>
      </c>
      <c r="W124" t="str">
        <v>wb2.Worksheets("Geometry").Range("FBSPA2") = FBSPA2</v>
      </c>
    </row>
    <row r="125" spans="1:23" x14ac:dyDescent="0.25">
      <c r="A125">
        <v>119</v>
      </c>
      <c r="B125" t="s">
        <v>477</v>
      </c>
      <c r="C125" t="str">
        <f>'Bent Search'!$G$218</f>
        <v/>
      </c>
      <c r="D125" s="93" t="s">
        <v>486</v>
      </c>
      <c r="E125">
        <v>218</v>
      </c>
      <c r="H125">
        <v>198</v>
      </c>
      <c r="I125" t="str">
        <v>FBSPA3</v>
      </c>
      <c r="J125">
        <v>8.5</v>
      </c>
      <c r="K125" t="str">
        <v>Bent Search'!$G$122</v>
      </c>
      <c r="L125">
        <v>122</v>
      </c>
      <c r="P125" t="str">
        <v>FBSPA3 = Range("FBSPA3")</v>
      </c>
      <c r="R125" t="s">
        <v>731</v>
      </c>
      <c r="S125" t="str">
        <v>Range("FBSPA3") = wb2.Worksheets("Geometry").Range("FBSPA3")</v>
      </c>
      <c r="V125" t="s">
        <v>731</v>
      </c>
      <c r="W125" t="str">
        <v>wb2.Worksheets("Geometry").Range("FBSPA3") = FBSPA3</v>
      </c>
    </row>
    <row r="126" spans="1:23" x14ac:dyDescent="0.25">
      <c r="A126">
        <v>120</v>
      </c>
      <c r="B126" t="s">
        <v>479</v>
      </c>
      <c r="C126" t="str">
        <f>'Bent Search'!$G$219</f>
        <v/>
      </c>
      <c r="D126" s="93" t="s">
        <v>488</v>
      </c>
      <c r="E126">
        <v>219</v>
      </c>
      <c r="H126">
        <v>199</v>
      </c>
      <c r="I126" t="str">
        <v>FBSPA4</v>
      </c>
      <c r="J126">
        <v>8.5</v>
      </c>
      <c r="K126" t="str">
        <v>Bent Search'!$G$123</v>
      </c>
      <c r="L126">
        <v>123</v>
      </c>
      <c r="P126" t="str">
        <v>FBSPA4 = Range("FBSPA4")</v>
      </c>
      <c r="R126" t="s">
        <v>731</v>
      </c>
      <c r="S126" t="str">
        <v>Range("FBSPA4") = wb2.Worksheets("Geometry").Range("FBSPA4")</v>
      </c>
      <c r="V126" t="s">
        <v>731</v>
      </c>
      <c r="W126" t="str">
        <v>wb2.Worksheets("Geometry").Range("FBSPA4") = FBSPA4</v>
      </c>
    </row>
    <row r="127" spans="1:23" x14ac:dyDescent="0.25">
      <c r="A127">
        <v>121</v>
      </c>
      <c r="B127" t="s">
        <v>481</v>
      </c>
      <c r="C127" t="str">
        <f>'Bent Search'!$G$220</f>
        <v/>
      </c>
      <c r="D127" s="93" t="s">
        <v>490</v>
      </c>
      <c r="E127">
        <v>220</v>
      </c>
      <c r="H127">
        <v>200</v>
      </c>
      <c r="I127" t="str">
        <v>FBSPA5</v>
      </c>
      <c r="J127">
        <v>8.5</v>
      </c>
      <c r="K127" t="str">
        <v>Bent Search'!$G$124</v>
      </c>
      <c r="L127">
        <v>124</v>
      </c>
      <c r="P127" t="str">
        <v>FBSPA5 = Range("FBSPA5")</v>
      </c>
      <c r="R127" t="s">
        <v>731</v>
      </c>
      <c r="S127" t="str">
        <v>Range("FBSPA5") = wb2.Worksheets("Geometry").Range("FBSPA5")</v>
      </c>
      <c r="V127" t="s">
        <v>731</v>
      </c>
      <c r="W127" t="str">
        <v>wb2.Worksheets("Geometry").Range("FBSPA5") = FBSPA5</v>
      </c>
    </row>
    <row r="128" spans="1:23" x14ac:dyDescent="0.25">
      <c r="A128">
        <v>122</v>
      </c>
      <c r="B128" t="s">
        <v>483</v>
      </c>
      <c r="C128" t="str">
        <f>'Bent Search'!$G$221</f>
        <v/>
      </c>
      <c r="D128" s="93" t="s">
        <v>494</v>
      </c>
      <c r="E128">
        <v>221</v>
      </c>
      <c r="H128">
        <v>201</v>
      </c>
      <c r="I128" t="str">
        <v>FBSPA6</v>
      </c>
      <c r="J128">
        <v>3.5139999999999998</v>
      </c>
      <c r="K128" t="str">
        <v>Bent Search'!$G$125</v>
      </c>
      <c r="L128">
        <v>125</v>
      </c>
      <c r="P128" t="str">
        <v>FBSPA6 = Range("FBSPA6")</v>
      </c>
      <c r="R128" t="s">
        <v>731</v>
      </c>
      <c r="S128" t="str">
        <v>Range("FBSPA6") = wb2.Worksheets("Geometry").Range("FBSPA6")</v>
      </c>
      <c r="V128" t="s">
        <v>731</v>
      </c>
      <c r="W128" t="str">
        <v>wb2.Worksheets("Geometry").Range("FBSPA6") = FBSPA6</v>
      </c>
    </row>
    <row r="129" spans="1:23" x14ac:dyDescent="0.25">
      <c r="A129">
        <v>123</v>
      </c>
      <c r="B129" t="s">
        <v>485</v>
      </c>
      <c r="C129" t="str">
        <f>'Bent Search'!$G$222</f>
        <v/>
      </c>
      <c r="D129" s="93" t="s">
        <v>1104</v>
      </c>
      <c r="E129">
        <v>222</v>
      </c>
      <c r="H129">
        <v>202</v>
      </c>
      <c r="I129" t="str">
        <v>FBSPA7</v>
      </c>
      <c r="J129" t="str">
        <v/>
      </c>
      <c r="K129" t="str">
        <v>Bent Search'!$G$126</v>
      </c>
      <c r="L129">
        <v>126</v>
      </c>
      <c r="P129" t="str">
        <v>FBSPA7 = Range("FBSPA7")</v>
      </c>
      <c r="R129" t="s">
        <v>731</v>
      </c>
      <c r="S129" t="str">
        <v>Range("FBSPA7") = wb2.Worksheets("Geometry").Range("FBSPA7")</v>
      </c>
      <c r="V129" t="s">
        <v>731</v>
      </c>
      <c r="W129" t="str">
        <v>wb2.Worksheets("Geometry").Range("FBSPA7") = FBSPA7</v>
      </c>
    </row>
    <row r="130" spans="1:23" x14ac:dyDescent="0.25">
      <c r="A130">
        <v>124</v>
      </c>
      <c r="B130" t="s">
        <v>487</v>
      </c>
      <c r="C130" t="str">
        <f>'Bent Search'!$G$223</f>
        <v/>
      </c>
      <c r="D130" s="93" t="s">
        <v>1105</v>
      </c>
      <c r="E130">
        <v>223</v>
      </c>
      <c r="H130">
        <v>203</v>
      </c>
      <c r="I130" t="str">
        <v>FBSPA8</v>
      </c>
      <c r="J130" t="str">
        <v/>
      </c>
      <c r="K130" t="str">
        <v>Bent Search'!$G$127</v>
      </c>
      <c r="L130">
        <v>127</v>
      </c>
      <c r="P130" t="str">
        <v>FBSPA8 = Range("FBSPA8")</v>
      </c>
      <c r="R130" t="s">
        <v>731</v>
      </c>
      <c r="S130" t="str">
        <v>Range("FBSPA8") = wb2.Worksheets("Geometry").Range("FBSPA8")</v>
      </c>
      <c r="V130" t="s">
        <v>731</v>
      </c>
      <c r="W130" t="str">
        <v>wb2.Worksheets("Geometry").Range("FBSPA8") = FBSPA8</v>
      </c>
    </row>
    <row r="131" spans="1:23" x14ac:dyDescent="0.25">
      <c r="A131">
        <v>125</v>
      </c>
      <c r="B131" t="s">
        <v>489</v>
      </c>
      <c r="C131" t="str">
        <f>'Bent Search'!$G$224</f>
        <v/>
      </c>
      <c r="D131" s="93" t="s">
        <v>1106</v>
      </c>
      <c r="E131">
        <v>224</v>
      </c>
      <c r="H131">
        <v>204</v>
      </c>
      <c r="I131" t="str">
        <v>FBSPA9</v>
      </c>
      <c r="J131" t="str">
        <v/>
      </c>
      <c r="K131" t="str">
        <v>Bent Search'!$G$128</v>
      </c>
      <c r="L131">
        <v>128</v>
      </c>
      <c r="P131" t="str">
        <v>FBSPA9 = Range("FBSPA9")</v>
      </c>
      <c r="R131" t="s">
        <v>731</v>
      </c>
      <c r="S131" t="str">
        <v>Range("FBSPA9") = wb2.Worksheets("Geometry").Range("FBSPA9")</v>
      </c>
      <c r="V131" t="s">
        <v>731</v>
      </c>
      <c r="W131" t="str">
        <v>wb2.Worksheets("Geometry").Range("FBSPA9") = FBSPA9</v>
      </c>
    </row>
    <row r="132" spans="1:23" x14ac:dyDescent="0.25">
      <c r="A132">
        <v>126</v>
      </c>
      <c r="B132" t="s">
        <v>491</v>
      </c>
      <c r="C132">
        <f>'Bent Search'!$G$207</f>
        <v>112.45399999999999</v>
      </c>
      <c r="D132" s="93" t="s">
        <v>502</v>
      </c>
      <c r="E132">
        <v>207</v>
      </c>
      <c r="H132">
        <v>186</v>
      </c>
      <c r="I132" t="str">
        <v>FBSPA10</v>
      </c>
      <c r="J132" t="str">
        <v/>
      </c>
      <c r="K132" t="str">
        <v>Bent Search'!$G$129</v>
      </c>
      <c r="L132">
        <v>129</v>
      </c>
      <c r="P132" t="str">
        <v>FBSPA10 = Range("FBSPA10")</v>
      </c>
      <c r="R132" t="s">
        <v>731</v>
      </c>
      <c r="S132" t="str">
        <v>Range("FBSPA10") = wb2.Worksheets("Geometry").Range("FBSPA10")</v>
      </c>
      <c r="V132" t="s">
        <v>731</v>
      </c>
      <c r="W132" t="str">
        <v>wb2.Worksheets("Geometry").Range("FBSPA10") = FBSPA10</v>
      </c>
    </row>
    <row r="133" spans="1:23" x14ac:dyDescent="0.25">
      <c r="A133">
        <v>127</v>
      </c>
      <c r="B133" t="s">
        <v>493</v>
      </c>
      <c r="C133" t="str">
        <f>'Bent Search'!$G$225</f>
        <v/>
      </c>
      <c r="D133" s="93" t="s">
        <v>1107</v>
      </c>
      <c r="E133">
        <v>225</v>
      </c>
      <c r="H133">
        <v>187</v>
      </c>
      <c r="I133" t="str">
        <v>FBSPA11</v>
      </c>
      <c r="J133" t="str">
        <v/>
      </c>
      <c r="K133" t="str">
        <v>Bent Search'!$G$130</v>
      </c>
      <c r="L133">
        <v>130</v>
      </c>
      <c r="P133" t="str">
        <v>FBSPA11 = Range("FBSPA11")</v>
      </c>
      <c r="R133" t="s">
        <v>731</v>
      </c>
      <c r="S133" t="str">
        <v>Range("FBSPA11") = wb2.Worksheets("Geometry").Range("FBSPA11")</v>
      </c>
      <c r="V133" t="s">
        <v>731</v>
      </c>
      <c r="W133" t="str">
        <v>wb2.Worksheets("Geometry").Range("FBSPA11") = FBSPA11</v>
      </c>
    </row>
    <row r="134" spans="1:23" x14ac:dyDescent="0.25">
      <c r="A134">
        <v>128</v>
      </c>
      <c r="B134" t="s">
        <v>495</v>
      </c>
      <c r="C134">
        <f>'Bent Search'!$G$208</f>
        <v>112.369</v>
      </c>
      <c r="D134" s="93" t="s">
        <v>504</v>
      </c>
      <c r="E134">
        <v>208</v>
      </c>
      <c r="H134">
        <v>188</v>
      </c>
      <c r="I134" t="str">
        <v>FBSPA12</v>
      </c>
      <c r="J134" t="str">
        <v/>
      </c>
      <c r="K134" t="str">
        <v>Bent Search'!$G$131</v>
      </c>
      <c r="L134">
        <v>131</v>
      </c>
      <c r="P134" t="str">
        <v>FBSPA12 = Range("FBSPA12")</v>
      </c>
      <c r="R134" t="s">
        <v>731</v>
      </c>
      <c r="S134" t="str">
        <v>Range("FBSPA12") = wb2.Worksheets("Geometry").Range("FBSPA12")</v>
      </c>
      <c r="V134" t="s">
        <v>731</v>
      </c>
      <c r="W134" t="str">
        <v>wb2.Worksheets("Geometry").Range("FBSPA12") = FBSPA12</v>
      </c>
    </row>
    <row r="135" spans="1:23" x14ac:dyDescent="0.25">
      <c r="A135">
        <v>129</v>
      </c>
      <c r="B135" t="s">
        <v>497</v>
      </c>
      <c r="C135">
        <f>'Bent Search'!$G$209</f>
        <v>112.28400000000001</v>
      </c>
      <c r="D135" s="93" t="s">
        <v>506</v>
      </c>
      <c r="E135">
        <v>209</v>
      </c>
      <c r="H135">
        <v>189</v>
      </c>
      <c r="I135" t="str">
        <v>FBSPA13</v>
      </c>
      <c r="J135" t="str">
        <v/>
      </c>
      <c r="K135" t="str">
        <v>Bent Search'!$G$132</v>
      </c>
      <c r="L135">
        <v>132</v>
      </c>
      <c r="P135" t="str">
        <v>FBSPA13 = Range("FBSPA13")</v>
      </c>
      <c r="R135" t="s">
        <v>731</v>
      </c>
      <c r="S135" t="str">
        <v>Range("FBSPA13") = wb2.Worksheets("Geometry").Range("FBSPA13")</v>
      </c>
      <c r="V135" t="s">
        <v>731</v>
      </c>
      <c r="W135" t="str">
        <v>wb2.Worksheets("Geometry").Range("FBSPA13") = FBSPA13</v>
      </c>
    </row>
    <row r="136" spans="1:23" x14ac:dyDescent="0.25">
      <c r="A136">
        <v>130</v>
      </c>
      <c r="B136" t="s">
        <v>499</v>
      </c>
      <c r="C136">
        <f>'Bent Search'!$G$210</f>
        <v>112.19799999999999</v>
      </c>
      <c r="D136" s="93" t="s">
        <v>508</v>
      </c>
      <c r="E136">
        <v>210</v>
      </c>
      <c r="H136">
        <v>190</v>
      </c>
      <c r="I136" t="str">
        <v>FBSPA14</v>
      </c>
      <c r="J136" t="str">
        <v/>
      </c>
      <c r="K136" t="str">
        <v>Bent Search'!$G$133</v>
      </c>
      <c r="L136">
        <v>133</v>
      </c>
      <c r="P136" t="str">
        <v>FBSPA14 = Range("FBSPA14")</v>
      </c>
      <c r="R136" t="s">
        <v>731</v>
      </c>
      <c r="S136" t="str">
        <v>Range("FBSPA14") = wb2.Worksheets("Geometry").Range("FBSPA14")</v>
      </c>
      <c r="V136" t="s">
        <v>731</v>
      </c>
      <c r="W136" t="str">
        <v>wb2.Worksheets("Geometry").Range("FBSPA14") = FBSPA14</v>
      </c>
    </row>
    <row r="137" spans="1:23" x14ac:dyDescent="0.25">
      <c r="A137">
        <v>131</v>
      </c>
      <c r="B137" t="s">
        <v>501</v>
      </c>
      <c r="C137">
        <f>'Bent Search'!$G$211</f>
        <v>112.24299999999999</v>
      </c>
      <c r="D137" s="93" t="s">
        <v>472</v>
      </c>
      <c r="E137">
        <v>211</v>
      </c>
      <c r="H137">
        <v>191</v>
      </c>
      <c r="I137" t="str">
        <v>FBSPA15</v>
      </c>
      <c r="J137" t="str">
        <v/>
      </c>
      <c r="K137" t="str">
        <v>Bent Search'!$G$134</v>
      </c>
      <c r="L137">
        <v>134</v>
      </c>
      <c r="P137" t="str">
        <v>FBSPA15 = Range("FBSPA15")</v>
      </c>
      <c r="R137" t="s">
        <v>731</v>
      </c>
      <c r="S137" t="str">
        <v>Range("FBSPA15") = wb2.Worksheets("Geometry").Range("FBSPA15")</v>
      </c>
      <c r="V137" t="s">
        <v>731</v>
      </c>
      <c r="W137" t="str">
        <v>wb2.Worksheets("Geometry").Range("FBSPA15") = FBSPA15</v>
      </c>
    </row>
    <row r="138" spans="1:23" x14ac:dyDescent="0.25">
      <c r="A138">
        <v>132</v>
      </c>
      <c r="B138" t="s">
        <v>503</v>
      </c>
      <c r="C138" t="str">
        <f>'Bent Search'!$G$212</f>
        <v/>
      </c>
      <c r="D138" s="93" t="s">
        <v>474</v>
      </c>
      <c r="E138">
        <v>212</v>
      </c>
      <c r="H138">
        <v>192</v>
      </c>
      <c r="I138" t="str">
        <v>FBSPA16</v>
      </c>
      <c r="J138" t="str">
        <v/>
      </c>
      <c r="K138" t="str">
        <v>Bent Search'!$G$135</v>
      </c>
      <c r="L138">
        <v>135</v>
      </c>
      <c r="P138" t="str">
        <v>FBSPA16 = Range("FBSPA16")</v>
      </c>
      <c r="R138" t="s">
        <v>731</v>
      </c>
      <c r="S138" t="str">
        <v>Range("FBSPA16") = wb2.Worksheets("Geometry").Range("FBSPA16")</v>
      </c>
      <c r="V138" t="s">
        <v>731</v>
      </c>
      <c r="W138" t="str">
        <v>wb2.Worksheets("Geometry").Range("FBSPA16") = FBSPA16</v>
      </c>
    </row>
    <row r="139" spans="1:23" x14ac:dyDescent="0.25">
      <c r="A139">
        <v>133</v>
      </c>
      <c r="B139" t="s">
        <v>505</v>
      </c>
      <c r="C139" t="str">
        <f>'Bent Search'!$G$213</f>
        <v/>
      </c>
      <c r="D139" s="93" t="s">
        <v>476</v>
      </c>
      <c r="E139">
        <v>213</v>
      </c>
      <c r="H139">
        <v>193</v>
      </c>
      <c r="I139" t="str">
        <v>FBSPA17</v>
      </c>
      <c r="J139" t="str">
        <v/>
      </c>
      <c r="K139" t="str">
        <v>Bent Search'!$G$136</v>
      </c>
      <c r="L139">
        <v>136</v>
      </c>
      <c r="P139" t="str">
        <v>FBSPA17 = Range("FBSPA17")</v>
      </c>
      <c r="R139" t="s">
        <v>731</v>
      </c>
      <c r="S139" t="str">
        <v>Range("FBSPA17") = wb2.Worksheets("Geometry").Range("FBSPA17")</v>
      </c>
      <c r="V139" t="s">
        <v>731</v>
      </c>
      <c r="W139" t="str">
        <v>wb2.Worksheets("Geometry").Range("FBSPA17") = FBSPA17</v>
      </c>
    </row>
    <row r="140" spans="1:23" x14ac:dyDescent="0.25">
      <c r="A140">
        <v>134</v>
      </c>
      <c r="B140" t="s">
        <v>507</v>
      </c>
      <c r="C140" t="str">
        <f>'Bent Search'!$G$214</f>
        <v/>
      </c>
      <c r="D140" s="93" t="s">
        <v>478</v>
      </c>
      <c r="E140">
        <v>214</v>
      </c>
      <c r="H140">
        <v>194</v>
      </c>
      <c r="I140" t="str">
        <v>FBSPA18</v>
      </c>
      <c r="J140" t="str">
        <v/>
      </c>
      <c r="K140" t="str">
        <v>Bent Search'!$G$137</v>
      </c>
      <c r="L140">
        <v>137</v>
      </c>
      <c r="P140" t="str">
        <v>FBSPA18 = Range("FBSPA18")</v>
      </c>
      <c r="R140" t="s">
        <v>731</v>
      </c>
      <c r="S140" t="str">
        <v>Range("FBSPA18") = wb2.Worksheets("Geometry").Range("FBSPA18")</v>
      </c>
      <c r="V140" t="s">
        <v>731</v>
      </c>
      <c r="W140" t="str">
        <v>wb2.Worksheets("Geometry").Range("FBSPA18") = FBSPA18</v>
      </c>
    </row>
    <row r="141" spans="1:23" x14ac:dyDescent="0.25">
      <c r="A141">
        <v>135</v>
      </c>
      <c r="B141" t="s">
        <v>509</v>
      </c>
      <c r="C141">
        <f>'Bent Search'!$G$186</f>
        <v>-4</v>
      </c>
      <c r="D141" s="93" t="s">
        <v>540</v>
      </c>
      <c r="E141">
        <v>186</v>
      </c>
      <c r="H141">
        <v>195</v>
      </c>
      <c r="I141" t="str">
        <v>FBSPA19</v>
      </c>
      <c r="J141" t="str">
        <v/>
      </c>
      <c r="K141" t="str">
        <v>Bent Search'!$G$138</v>
      </c>
      <c r="L141">
        <v>138</v>
      </c>
      <c r="P141" t="str">
        <v>FBSPA19 = Range("FBSPA19")</v>
      </c>
      <c r="R141" t="s">
        <v>731</v>
      </c>
      <c r="S141" t="str">
        <v>Range("FBSPA19") = wb2.Worksheets("Geometry").Range("FBSPA19")</v>
      </c>
      <c r="V141" t="s">
        <v>731</v>
      </c>
      <c r="W141" t="str">
        <v>wb2.Worksheets("Geometry").Range("FBSPA19") = FBSPA19</v>
      </c>
    </row>
    <row r="142" spans="1:23" x14ac:dyDescent="0.25">
      <c r="A142">
        <v>136</v>
      </c>
      <c r="B142" t="s">
        <v>511</v>
      </c>
      <c r="C142" t="str">
        <f>'Bent Search'!$G$195</f>
        <v/>
      </c>
      <c r="D142" s="93" t="s">
        <v>520</v>
      </c>
      <c r="E142">
        <v>195</v>
      </c>
      <c r="H142">
        <v>197</v>
      </c>
      <c r="I142" t="str">
        <v>FBSPA20</v>
      </c>
      <c r="J142" t="str">
        <v/>
      </c>
      <c r="K142" t="str">
        <v>Bent Search'!$G$139</v>
      </c>
      <c r="L142">
        <v>139</v>
      </c>
      <c r="P142" t="str">
        <v>FBSPA20 = Range("FBSPA20")</v>
      </c>
      <c r="R142" t="s">
        <v>731</v>
      </c>
      <c r="S142" t="str">
        <v>Range("FBSPA20") = wb2.Worksheets("Geometry").Range("FBSPA20")</v>
      </c>
      <c r="V142" t="s">
        <v>731</v>
      </c>
      <c r="W142" t="str">
        <v>wb2.Worksheets("Geometry").Range("FBSPA20") = FBSPA20</v>
      </c>
    </row>
    <row r="143" spans="1:23" x14ac:dyDescent="0.25">
      <c r="A143">
        <v>137</v>
      </c>
      <c r="B143" t="s">
        <v>513</v>
      </c>
      <c r="C143" t="str">
        <f>'Bent Search'!$G$196</f>
        <v/>
      </c>
      <c r="D143" s="93" t="s">
        <v>522</v>
      </c>
      <c r="E143">
        <v>196</v>
      </c>
      <c r="H143">
        <v>114</v>
      </c>
      <c r="I143" t="str">
        <v>Cmplx_Bk_Width</v>
      </c>
      <c r="J143">
        <v>42.424479166666664</v>
      </c>
      <c r="K143" t="str">
        <v>Bent Search'!$G$140</v>
      </c>
      <c r="L143">
        <v>140</v>
      </c>
      <c r="P143" t="str">
        <v>Cmplx_Bk_Width = Range("Cmplx_Bk_Width")</v>
      </c>
      <c r="R143" t="s">
        <v>209</v>
      </c>
      <c r="S143" t="str">
        <v>Range("Cmplx_Bk_Width") = wb2.Worksheets("Complex Geometry").Range("Cmplx_Bk_Width")</v>
      </c>
      <c r="V143" t="s">
        <v>209</v>
      </c>
      <c r="W143" t="str">
        <v>wb2.Worksheets("Complex Geometry").Range("Cmplx_Bk_Width") = Cmplx_Bk_Width</v>
      </c>
    </row>
    <row r="144" spans="1:23" x14ac:dyDescent="0.25">
      <c r="A144">
        <v>138</v>
      </c>
      <c r="B144" t="s">
        <v>515</v>
      </c>
      <c r="C144" t="str">
        <f>'Bent Search'!$G$197</f>
        <v/>
      </c>
      <c r="D144" s="93" t="s">
        <v>524</v>
      </c>
      <c r="E144">
        <v>197</v>
      </c>
      <c r="H144">
        <v>155</v>
      </c>
      <c r="I144" t="str">
        <v>Cmplx_Fd_Width</v>
      </c>
      <c r="J144">
        <v>45.644520833333331</v>
      </c>
      <c r="K144" t="str">
        <v>Bent Search'!$G$141</v>
      </c>
      <c r="L144">
        <v>141</v>
      </c>
      <c r="P144" t="str">
        <v>Cmplx_Fd_Width = Range("Cmplx_Fd_Width")</v>
      </c>
      <c r="R144" t="s">
        <v>209</v>
      </c>
      <c r="S144" t="str">
        <v>Range("Cmplx_Fd_Width") = wb2.Worksheets("Complex Geometry").Range("Cmplx_Fd_Width")</v>
      </c>
      <c r="V144" t="s">
        <v>209</v>
      </c>
      <c r="W144" t="str">
        <v>wb2.Worksheets("Complex Geometry").Range("Cmplx_Fd_Width") = Cmplx_Fd_Width</v>
      </c>
    </row>
    <row r="145" spans="1:23" x14ac:dyDescent="0.25">
      <c r="A145">
        <v>139</v>
      </c>
      <c r="B145" t="s">
        <v>517</v>
      </c>
      <c r="C145" t="str">
        <f>'Bent Search'!$G$198</f>
        <v/>
      </c>
      <c r="D145" s="93" t="s">
        <v>526</v>
      </c>
      <c r="E145">
        <v>198</v>
      </c>
      <c r="H145">
        <v>250</v>
      </c>
      <c r="I145" t="str">
        <v>segmentlength</v>
      </c>
      <c r="J145">
        <v>43.182291666666664</v>
      </c>
      <c r="K145" t="str">
        <v>Bent Search'!$G$142</v>
      </c>
      <c r="L145">
        <v>142</v>
      </c>
      <c r="P145" t="str">
        <v>segmentlength = Range("segmentlength")</v>
      </c>
      <c r="R145" t="s">
        <v>209</v>
      </c>
      <c r="S145" t="str">
        <v>Range("segmentlength") = wb2.Worksheets("Complex Geometry").Range("segmentlength")</v>
      </c>
      <c r="V145" t="s">
        <v>209</v>
      </c>
      <c r="W145" t="str">
        <v>wb2.Worksheets("Complex Geometry").Range("segmentlength") = segmentlength</v>
      </c>
    </row>
    <row r="146" spans="1:23" x14ac:dyDescent="0.25">
      <c r="A146">
        <v>140</v>
      </c>
      <c r="B146" t="s">
        <v>519</v>
      </c>
      <c r="C146" t="str">
        <f>'Bent Search'!$G$199</f>
        <v/>
      </c>
      <c r="D146" s="93" t="s">
        <v>528</v>
      </c>
      <c r="E146">
        <v>199</v>
      </c>
      <c r="H146">
        <v>59</v>
      </c>
      <c r="I146" t="str">
        <v>Breakbacks</v>
      </c>
      <c r="J146" t="str">
        <v>None</v>
      </c>
      <c r="K146" t="str">
        <v>Bent Search'!$G$143</v>
      </c>
      <c r="L146">
        <v>143</v>
      </c>
      <c r="P146" t="str">
        <v>Breakbacks = Range("Breakbacks")</v>
      </c>
      <c r="R146" t="s">
        <v>209</v>
      </c>
      <c r="S146" t="str">
        <v>Range("Breakbacks") = wb2.Worksheets("Complex Geometry").Range("Breakbacks")</v>
      </c>
      <c r="V146" t="s">
        <v>209</v>
      </c>
      <c r="W146" t="str">
        <v>wb2.Worksheets("Complex Geometry").Range("Breakbacks") = Breakbacks</v>
      </c>
    </row>
    <row r="147" spans="1:23" x14ac:dyDescent="0.25">
      <c r="A147">
        <v>141</v>
      </c>
      <c r="B147" t="s">
        <v>521</v>
      </c>
      <c r="C147" t="str">
        <f>'Bent Search'!$G$200</f>
        <v/>
      </c>
      <c r="D147" s="93" t="s">
        <v>530</v>
      </c>
      <c r="E147">
        <v>200</v>
      </c>
      <c r="H147">
        <v>173</v>
      </c>
      <c r="I147" t="str">
        <v>ComplexSkew</v>
      </c>
      <c r="J147">
        <v>0</v>
      </c>
      <c r="K147" t="str">
        <v>Bent Search'!$G$144</v>
      </c>
      <c r="L147">
        <v>144</v>
      </c>
      <c r="P147" t="str">
        <v>ComplexSkew = Range("ComplexSkew")</v>
      </c>
      <c r="R147" t="s">
        <v>209</v>
      </c>
      <c r="S147" t="str">
        <v>Range("ComplexSkew") = wb2.Worksheets("Complex Geometry").Range("ComplexSkew")</v>
      </c>
      <c r="V147" t="s">
        <v>209</v>
      </c>
      <c r="W147" t="str">
        <v>wb2.Worksheets("Complex Geometry").Range("ComplexSkew") = ComplexSkew</v>
      </c>
    </row>
    <row r="148" spans="1:23" x14ac:dyDescent="0.25">
      <c r="A148">
        <v>142</v>
      </c>
      <c r="B148" t="s">
        <v>523</v>
      </c>
      <c r="C148" t="str">
        <f>'Bent Search'!$G$201</f>
        <v/>
      </c>
      <c r="D148" s="93" t="s">
        <v>534</v>
      </c>
      <c r="E148">
        <v>201</v>
      </c>
      <c r="H148">
        <v>171</v>
      </c>
      <c r="I148" t="str">
        <v>ComplexDistToSta</v>
      </c>
      <c r="J148">
        <v>6.833333333333333</v>
      </c>
      <c r="K148" t="str">
        <v>Bent Search'!$G$145</v>
      </c>
      <c r="L148">
        <v>145</v>
      </c>
      <c r="P148" t="str">
        <v>ComplexDistToSta = Range("ComplexDistToSta")</v>
      </c>
      <c r="R148" t="s">
        <v>209</v>
      </c>
      <c r="S148" t="str">
        <v>Range("ComplexDistToSta") = wb2.Worksheets("Complex Geometry").Range("ComplexDistToSta")</v>
      </c>
      <c r="V148" t="s">
        <v>209</v>
      </c>
      <c r="W148" t="str">
        <v>wb2.Worksheets("Complex Geometry").Range("ComplexDistToSta") = ComplexDistToSta</v>
      </c>
    </row>
    <row r="149" spans="1:23" x14ac:dyDescent="0.25">
      <c r="A149">
        <v>143</v>
      </c>
      <c r="B149" t="s">
        <v>525</v>
      </c>
      <c r="C149" t="str">
        <f>'Bent Search'!$G$202</f>
        <v/>
      </c>
      <c r="D149" s="93" t="s">
        <v>470</v>
      </c>
      <c r="E149">
        <v>202</v>
      </c>
      <c r="H149">
        <v>94</v>
      </c>
      <c r="I149" t="str">
        <v>Cmplx_Bk_PGLBm1</v>
      </c>
      <c r="J149">
        <v>-4</v>
      </c>
      <c r="K149" t="str">
        <v>Bent Search'!$G$146</v>
      </c>
      <c r="L149">
        <v>146</v>
      </c>
      <c r="P149" t="str">
        <v>Cmplx_Bk_PGLBm1 = Range("Cmplx_Bk_PGLBm1")</v>
      </c>
      <c r="R149" t="s">
        <v>209</v>
      </c>
      <c r="S149" t="str">
        <v>Range("Cmplx_Bk_PGLBm1") = wb2.Worksheets("Complex Geometry").Range("Cmplx_Bk_PGLBm1")</v>
      </c>
      <c r="V149" t="s">
        <v>209</v>
      </c>
      <c r="W149" t="str">
        <v>wb2.Worksheets("Complex Geometry").Range("Cmplx_Bk_PGLBm1") = Cmplx_Bk_PGLBm1</v>
      </c>
    </row>
    <row r="150" spans="1:23" x14ac:dyDescent="0.25">
      <c r="A150">
        <v>144</v>
      </c>
      <c r="B150" t="s">
        <v>527</v>
      </c>
      <c r="C150" t="str">
        <f>'Bent Search'!$G$203</f>
        <v/>
      </c>
      <c r="D150" s="93" t="s">
        <v>492</v>
      </c>
      <c r="E150">
        <v>203</v>
      </c>
      <c r="H150">
        <v>105</v>
      </c>
      <c r="I150" t="str">
        <v>Cmplx_Bk_PGLBm2</v>
      </c>
      <c r="J150">
        <v>6</v>
      </c>
      <c r="K150" t="str">
        <v>Bent Search'!$G$147</v>
      </c>
      <c r="L150">
        <v>147</v>
      </c>
      <c r="P150" t="str">
        <v>Cmplx_Bk_PGLBm2 = Range("Cmplx_Bk_PGLBm2")</v>
      </c>
      <c r="R150" t="s">
        <v>209</v>
      </c>
      <c r="S150" t="str">
        <v>Range("Cmplx_Bk_PGLBm2") = wb2.Worksheets("Complex Geometry").Range("Cmplx_Bk_PGLBm2")</v>
      </c>
      <c r="V150" t="s">
        <v>209</v>
      </c>
      <c r="W150" t="str">
        <v>wb2.Worksheets("Complex Geometry").Range("Cmplx_Bk_PGLBm2") = Cmplx_Bk_PGLBm2</v>
      </c>
    </row>
    <row r="151" spans="1:23" x14ac:dyDescent="0.25">
      <c r="A151">
        <v>145</v>
      </c>
      <c r="B151" t="s">
        <v>529</v>
      </c>
      <c r="C151" t="str">
        <f>'Bent Search'!$G$204</f>
        <v/>
      </c>
      <c r="D151" s="93" t="s">
        <v>496</v>
      </c>
      <c r="E151">
        <v>204</v>
      </c>
      <c r="H151">
        <v>107</v>
      </c>
      <c r="I151" t="str">
        <v>Cmplx_Bk_PGLBm3</v>
      </c>
      <c r="J151">
        <v>6</v>
      </c>
      <c r="K151" t="str">
        <v>Bent Search'!$G$148</v>
      </c>
      <c r="L151">
        <v>148</v>
      </c>
      <c r="P151" t="str">
        <v>Cmplx_Bk_PGLBm3 = Range("Cmplx_Bk_PGLBm3")</v>
      </c>
      <c r="R151" t="s">
        <v>209</v>
      </c>
      <c r="S151" t="str">
        <v>Range("Cmplx_Bk_PGLBm3") = wb2.Worksheets("Complex Geometry").Range("Cmplx_Bk_PGLBm3")</v>
      </c>
      <c r="V151" t="s">
        <v>209</v>
      </c>
      <c r="W151" t="str">
        <v>wb2.Worksheets("Complex Geometry").Range("Cmplx_Bk_PGLBm3") = Cmplx_Bk_PGLBm3</v>
      </c>
    </row>
    <row r="152" spans="1:23" x14ac:dyDescent="0.25">
      <c r="A152">
        <v>146</v>
      </c>
      <c r="B152" t="s">
        <v>531</v>
      </c>
      <c r="C152">
        <f>'Bent Search'!$G$187</f>
        <v>8.5</v>
      </c>
      <c r="D152" s="93" t="s">
        <v>542</v>
      </c>
      <c r="E152">
        <v>187</v>
      </c>
      <c r="H152">
        <v>108</v>
      </c>
      <c r="I152" t="str">
        <v>Cmplx_Bk_PGLBm4</v>
      </c>
      <c r="J152">
        <v>6</v>
      </c>
      <c r="K152" t="str">
        <v>Bent Search'!$G$149</v>
      </c>
      <c r="L152">
        <v>149</v>
      </c>
      <c r="P152" t="str">
        <v>Cmplx_Bk_PGLBm4 = Range("Cmplx_Bk_PGLBm4")</v>
      </c>
      <c r="R152" t="s">
        <v>209</v>
      </c>
      <c r="S152" t="str">
        <v>Range("Cmplx_Bk_PGLBm4") = wb2.Worksheets("Complex Geometry").Range("Cmplx_Bk_PGLBm4")</v>
      </c>
      <c r="V152" t="s">
        <v>209</v>
      </c>
      <c r="W152" t="str">
        <v>wb2.Worksheets("Complex Geometry").Range("Cmplx_Bk_PGLBm4") = Cmplx_Bk_PGLBm4</v>
      </c>
    </row>
    <row r="153" spans="1:23" x14ac:dyDescent="0.25">
      <c r="A153">
        <v>147</v>
      </c>
      <c r="B153" t="s">
        <v>533</v>
      </c>
      <c r="C153" t="str">
        <f>'Bent Search'!$G$205</f>
        <v/>
      </c>
      <c r="D153" s="93" t="s">
        <v>498</v>
      </c>
      <c r="E153">
        <v>205</v>
      </c>
      <c r="H153">
        <v>109</v>
      </c>
      <c r="I153" t="str">
        <v>Cmplx_Bk_PGLBm5</v>
      </c>
      <c r="J153">
        <v>6</v>
      </c>
      <c r="K153" t="str">
        <v>Bent Search'!$G$150</v>
      </c>
      <c r="L153">
        <v>150</v>
      </c>
      <c r="P153" t="str">
        <v>Cmplx_Bk_PGLBm5 = Range("Cmplx_Bk_PGLBm5")</v>
      </c>
      <c r="R153" t="s">
        <v>209</v>
      </c>
      <c r="S153" t="str">
        <v>Range("Cmplx_Bk_PGLBm5") = wb2.Worksheets("Complex Geometry").Range("Cmplx_Bk_PGLBm5")</v>
      </c>
      <c r="V153" t="s">
        <v>209</v>
      </c>
      <c r="W153" t="str">
        <v>wb2.Worksheets("Complex Geometry").Range("Cmplx_Bk_PGLBm5") = Cmplx_Bk_PGLBm5</v>
      </c>
    </row>
    <row r="154" spans="1:23" x14ac:dyDescent="0.25">
      <c r="A154">
        <v>148</v>
      </c>
      <c r="B154" t="s">
        <v>535</v>
      </c>
      <c r="C154">
        <f>'Bent Search'!$G$188</f>
        <v>8.5</v>
      </c>
      <c r="D154" s="93" t="s">
        <v>544</v>
      </c>
      <c r="E154">
        <v>188</v>
      </c>
      <c r="H154">
        <v>110</v>
      </c>
      <c r="I154" t="str">
        <v>Cmplx_Bk_PGLBm6</v>
      </c>
      <c r="J154">
        <v>6.7569999999999997</v>
      </c>
      <c r="K154" t="str">
        <v>Bent Search'!$G$151</v>
      </c>
      <c r="L154">
        <v>151</v>
      </c>
      <c r="P154" t="str">
        <v>Cmplx_Bk_PGLBm6 = Range("Cmplx_Bk_PGLBm6")</v>
      </c>
      <c r="R154" t="s">
        <v>209</v>
      </c>
      <c r="S154" t="str">
        <v>Range("Cmplx_Bk_PGLBm6") = wb2.Worksheets("Complex Geometry").Range("Cmplx_Bk_PGLBm6")</v>
      </c>
      <c r="V154" t="s">
        <v>209</v>
      </c>
      <c r="W154" t="str">
        <v>wb2.Worksheets("Complex Geometry").Range("Cmplx_Bk_PGLBm6") = Cmplx_Bk_PGLBm6</v>
      </c>
    </row>
    <row r="155" spans="1:23" x14ac:dyDescent="0.25">
      <c r="A155">
        <v>149</v>
      </c>
      <c r="B155" t="s">
        <v>537</v>
      </c>
      <c r="C155">
        <f>'Bent Search'!$G$189</f>
        <v>8.5</v>
      </c>
      <c r="D155" s="93" t="s">
        <v>546</v>
      </c>
      <c r="E155">
        <v>189</v>
      </c>
      <c r="H155">
        <v>111</v>
      </c>
      <c r="I155" t="str">
        <v>Cmplx_Bk_PGLBm7</v>
      </c>
      <c r="J155">
        <v>6.7569999999999997</v>
      </c>
      <c r="K155" t="str">
        <v>Bent Search'!$G$152</v>
      </c>
      <c r="L155">
        <v>152</v>
      </c>
      <c r="P155" t="str">
        <v>Cmplx_Bk_PGLBm7 = Range("Cmplx_Bk_PGLBm7")</v>
      </c>
      <c r="R155" t="s">
        <v>209</v>
      </c>
      <c r="S155" t="str">
        <v>Range("Cmplx_Bk_PGLBm7") = wb2.Worksheets("Complex Geometry").Range("Cmplx_Bk_PGLBm7")</v>
      </c>
      <c r="V155" t="s">
        <v>209</v>
      </c>
      <c r="W155" t="str">
        <v>wb2.Worksheets("Complex Geometry").Range("Cmplx_Bk_PGLBm7") = Cmplx_Bk_PGLBm7</v>
      </c>
    </row>
    <row r="156" spans="1:23" x14ac:dyDescent="0.25">
      <c r="A156">
        <v>150</v>
      </c>
      <c r="B156" t="s">
        <v>539</v>
      </c>
      <c r="C156">
        <f>'Bent Search'!$G$190</f>
        <v>8.5</v>
      </c>
      <c r="D156" s="93" t="s">
        <v>548</v>
      </c>
      <c r="E156">
        <v>190</v>
      </c>
      <c r="H156">
        <v>112</v>
      </c>
      <c r="I156" t="str">
        <v>Cmplx_Bk_PGLBm8</v>
      </c>
      <c r="J156" t="str">
        <v/>
      </c>
      <c r="K156" t="str">
        <v>Bent Search'!$G$153</v>
      </c>
      <c r="L156">
        <v>153</v>
      </c>
      <c r="P156" t="str">
        <v>Cmplx_Bk_PGLBm8 = Range("Cmplx_Bk_PGLBm8")</v>
      </c>
      <c r="R156" t="s">
        <v>209</v>
      </c>
      <c r="S156" t="str">
        <v>Range("Cmplx_Bk_PGLBm8") = wb2.Worksheets("Complex Geometry").Range("Cmplx_Bk_PGLBm8")</v>
      </c>
      <c r="V156" t="s">
        <v>209</v>
      </c>
      <c r="W156" t="str">
        <v>wb2.Worksheets("Complex Geometry").Range("Cmplx_Bk_PGLBm8") = Cmplx_Bk_PGLBm8</v>
      </c>
    </row>
    <row r="157" spans="1:23" x14ac:dyDescent="0.25">
      <c r="A157">
        <v>151</v>
      </c>
      <c r="B157" t="s">
        <v>541</v>
      </c>
      <c r="C157">
        <f>'Bent Search'!$G$191</f>
        <v>3.5139999999999998</v>
      </c>
      <c r="D157" s="93" t="s">
        <v>512</v>
      </c>
      <c r="E157">
        <v>191</v>
      </c>
      <c r="H157">
        <v>113</v>
      </c>
      <c r="I157" t="str">
        <v>Cmplx_Bk_PGLBm9</v>
      </c>
      <c r="J157" t="str">
        <v/>
      </c>
      <c r="K157" t="str">
        <v>Bent Search'!$G$154</v>
      </c>
      <c r="L157">
        <v>154</v>
      </c>
      <c r="P157" t="str">
        <v>Cmplx_Bk_PGLBm9 = Range("Cmplx_Bk_PGLBm9")</v>
      </c>
      <c r="R157" t="s">
        <v>209</v>
      </c>
      <c r="S157" t="str">
        <v>Range("Cmplx_Bk_PGLBm9") = wb2.Worksheets("Complex Geometry").Range("Cmplx_Bk_PGLBm9")</v>
      </c>
      <c r="V157" t="s">
        <v>209</v>
      </c>
      <c r="W157" t="str">
        <v>wb2.Worksheets("Complex Geometry").Range("Cmplx_Bk_PGLBm9") = Cmplx_Bk_PGLBm9</v>
      </c>
    </row>
    <row r="158" spans="1:23" x14ac:dyDescent="0.25">
      <c r="A158">
        <v>152</v>
      </c>
      <c r="B158" t="s">
        <v>543</v>
      </c>
      <c r="C158" t="str">
        <f>'Bent Search'!$G$192</f>
        <v/>
      </c>
      <c r="D158" s="93" t="s">
        <v>514</v>
      </c>
      <c r="E158">
        <v>192</v>
      </c>
      <c r="H158">
        <v>95</v>
      </c>
      <c r="I158" t="str">
        <v>Cmplx_Bk_PGLBm10</v>
      </c>
      <c r="J158" t="str">
        <v/>
      </c>
      <c r="K158" t="str">
        <v>Bent Search'!$G$155</v>
      </c>
      <c r="L158">
        <v>155</v>
      </c>
      <c r="P158" t="str">
        <v>Cmplx_Bk_PGLBm10 = Range("Cmplx_Bk_PGLBm10")</v>
      </c>
      <c r="R158" t="s">
        <v>209</v>
      </c>
      <c r="S158" t="str">
        <v>Range("Cmplx_Bk_PGLBm10") = wb2.Worksheets("Complex Geometry").Range("Cmplx_Bk_PGLBm10")</v>
      </c>
      <c r="V158" t="s">
        <v>209</v>
      </c>
      <c r="W158" t="str">
        <v>wb2.Worksheets("Complex Geometry").Range("Cmplx_Bk_PGLBm10") = Cmplx_Bk_PGLBm10</v>
      </c>
    </row>
    <row r="159" spans="1:23" x14ac:dyDescent="0.25">
      <c r="A159">
        <v>153</v>
      </c>
      <c r="B159" t="s">
        <v>545</v>
      </c>
      <c r="C159" s="95" t="str">
        <f>'Bent Search'!$G$193</f>
        <v/>
      </c>
      <c r="D159" s="93" t="s">
        <v>516</v>
      </c>
      <c r="E159">
        <v>193</v>
      </c>
      <c r="H159">
        <v>96</v>
      </c>
      <c r="I159" t="str">
        <v>Cmplx_Bk_PGLBm11</v>
      </c>
      <c r="J159" t="str">
        <v/>
      </c>
      <c r="K159" t="str">
        <v>Bent Search'!$G$156</v>
      </c>
      <c r="L159">
        <v>156</v>
      </c>
      <c r="P159" t="str">
        <v>Cmplx_Bk_PGLBm11 = Range("Cmplx_Bk_PGLBm11")</v>
      </c>
      <c r="R159" t="s">
        <v>209</v>
      </c>
      <c r="S159" t="str">
        <v>Range("Cmplx_Bk_PGLBm11") = wb2.Worksheets("Complex Geometry").Range("Cmplx_Bk_PGLBm11")</v>
      </c>
      <c r="V159" t="s">
        <v>209</v>
      </c>
      <c r="W159" t="str">
        <v>wb2.Worksheets("Complex Geometry").Range("Cmplx_Bk_PGLBm11") = Cmplx_Bk_PGLBm11</v>
      </c>
    </row>
    <row r="160" spans="1:23" x14ac:dyDescent="0.25">
      <c r="A160">
        <v>154</v>
      </c>
      <c r="B160" t="s">
        <v>547</v>
      </c>
      <c r="C160" s="95" t="str">
        <f>'Bent Search'!$G$194</f>
        <v/>
      </c>
      <c r="D160" s="93" t="s">
        <v>518</v>
      </c>
      <c r="E160">
        <v>194</v>
      </c>
      <c r="H160">
        <v>97</v>
      </c>
      <c r="I160" t="str">
        <v>Cmplx_Bk_PGLBm12</v>
      </c>
      <c r="J160" t="str">
        <v/>
      </c>
      <c r="K160" t="str">
        <v>Bent Search'!$G$157</v>
      </c>
      <c r="L160">
        <v>157</v>
      </c>
      <c r="P160" t="str">
        <v>Cmplx_Bk_PGLBm12 = Range("Cmplx_Bk_PGLBm12")</v>
      </c>
      <c r="R160" t="s">
        <v>209</v>
      </c>
      <c r="S160" t="str">
        <v>Range("Cmplx_Bk_PGLBm12") = wb2.Worksheets("Complex Geometry").Range("Cmplx_Bk_PGLBm12")</v>
      </c>
      <c r="V160" t="s">
        <v>209</v>
      </c>
      <c r="W160" t="str">
        <v>wb2.Worksheets("Complex Geometry").Range("Cmplx_Bk_PGLBm12") = Cmplx_Bk_PGLBm12</v>
      </c>
    </row>
    <row r="161" spans="1:23" x14ac:dyDescent="0.25">
      <c r="A161">
        <v>155</v>
      </c>
      <c r="B161" t="s">
        <v>549</v>
      </c>
      <c r="C161">
        <f>'Bent Search'!$G$141</f>
        <v>45.644520833333331</v>
      </c>
      <c r="D161" s="93" t="s">
        <v>582</v>
      </c>
      <c r="E161">
        <v>141</v>
      </c>
      <c r="H161">
        <v>98</v>
      </c>
      <c r="I161" t="str">
        <v>Cmplx_Bk_PGLBm13</v>
      </c>
      <c r="J161" t="str">
        <v/>
      </c>
      <c r="K161" t="str">
        <v>Bent Search'!$G$158</v>
      </c>
      <c r="L161">
        <v>158</v>
      </c>
      <c r="P161" t="str">
        <v>Cmplx_Bk_PGLBm13 = Range("Cmplx_Bk_PGLBm13")</v>
      </c>
      <c r="R161" t="s">
        <v>209</v>
      </c>
      <c r="S161" t="str">
        <v>Range("Cmplx_Bk_PGLBm13") = wb2.Worksheets("Complex Geometry").Range("Cmplx_Bk_PGLBm13")</v>
      </c>
      <c r="V161" t="s">
        <v>209</v>
      </c>
      <c r="W161" t="str">
        <v>wb2.Worksheets("Complex Geometry").Range("Cmplx_Bk_PGLBm13") = Cmplx_Bk_PGLBm13</v>
      </c>
    </row>
    <row r="162" spans="1:23" x14ac:dyDescent="0.25">
      <c r="A162">
        <v>156</v>
      </c>
      <c r="B162" t="s">
        <v>551</v>
      </c>
      <c r="C162" s="94">
        <f>'Bent Search'!$G$96</f>
        <v>28</v>
      </c>
      <c r="D162" s="93" t="s">
        <v>328</v>
      </c>
      <c r="E162">
        <v>96</v>
      </c>
      <c r="H162">
        <v>99</v>
      </c>
      <c r="I162" t="str">
        <v>Cmplx_Bk_PGLBm14</v>
      </c>
      <c r="J162" t="str">
        <v/>
      </c>
      <c r="K162" t="str">
        <v>Bent Search'!$G$159</v>
      </c>
      <c r="L162">
        <v>159</v>
      </c>
      <c r="P162" t="str">
        <v>Cmplx_Bk_PGLBm14 = Range("Cmplx_Bk_PGLBm14")</v>
      </c>
      <c r="R162" t="s">
        <v>209</v>
      </c>
      <c r="S162" t="str">
        <v>Range("Cmplx_Bk_PGLBm14") = wb2.Worksheets("Complex Geometry").Range("Cmplx_Bk_PGLBm14")</v>
      </c>
      <c r="V162" t="s">
        <v>209</v>
      </c>
      <c r="W162" t="str">
        <v>wb2.Worksheets("Complex Geometry").Range("Cmplx_Bk_PGLBm14") = Cmplx_Bk_PGLBm14</v>
      </c>
    </row>
    <row r="163" spans="1:23" x14ac:dyDescent="0.25">
      <c r="A163">
        <v>157</v>
      </c>
      <c r="B163" t="s">
        <v>553</v>
      </c>
      <c r="C163" s="94" t="str">
        <f>'Bent Search'!$G$97</f>
        <v/>
      </c>
      <c r="D163" s="93" t="s">
        <v>332</v>
      </c>
      <c r="E163">
        <v>97</v>
      </c>
      <c r="H163">
        <v>100</v>
      </c>
      <c r="I163" t="str">
        <v>Cmplx_Bk_PGLBm15</v>
      </c>
      <c r="J163" t="str">
        <v/>
      </c>
      <c r="K163" t="str">
        <v>Bent Search'!$G$160</v>
      </c>
      <c r="L163">
        <v>160</v>
      </c>
      <c r="P163" t="str">
        <v>Cmplx_Bk_PGLBm15 = Range("Cmplx_Bk_PGLBm15")</v>
      </c>
      <c r="R163" t="s">
        <v>209</v>
      </c>
      <c r="S163" t="str">
        <v>Range("Cmplx_Bk_PGLBm15") = wb2.Worksheets("Complex Geometry").Range("Cmplx_Bk_PGLBm15")</v>
      </c>
      <c r="V163" t="s">
        <v>209</v>
      </c>
      <c r="W163" t="str">
        <v>wb2.Worksheets("Complex Geometry").Range("Cmplx_Bk_PGLBm15") = Cmplx_Bk_PGLBm15</v>
      </c>
    </row>
    <row r="164" spans="1:23" x14ac:dyDescent="0.25">
      <c r="A164">
        <v>158</v>
      </c>
      <c r="B164" t="s">
        <v>555</v>
      </c>
      <c r="C164" s="94">
        <f>'Bent Search'!$G$83</f>
        <v>54</v>
      </c>
      <c r="D164" s="93" t="s">
        <v>562</v>
      </c>
      <c r="E164">
        <v>83</v>
      </c>
      <c r="H164">
        <v>101</v>
      </c>
      <c r="I164" t="str">
        <v>Cmplx_Bk_PGLBm16</v>
      </c>
      <c r="J164" t="str">
        <v/>
      </c>
      <c r="K164" t="str">
        <v>Bent Search'!$G$161</v>
      </c>
      <c r="L164">
        <v>161</v>
      </c>
      <c r="P164" t="str">
        <v>Cmplx_Bk_PGLBm16 = Range("Cmplx_Bk_PGLBm16")</v>
      </c>
      <c r="R164" t="s">
        <v>209</v>
      </c>
      <c r="S164" t="str">
        <v>Range("Cmplx_Bk_PGLBm16") = wb2.Worksheets("Complex Geometry").Range("Cmplx_Bk_PGLBm16")</v>
      </c>
      <c r="V164" t="s">
        <v>209</v>
      </c>
      <c r="W164" t="str">
        <v>wb2.Worksheets("Complex Geometry").Range("Cmplx_Bk_PGLBm16") = Cmplx_Bk_PGLBm16</v>
      </c>
    </row>
    <row r="165" spans="1:23" x14ac:dyDescent="0.25">
      <c r="A165">
        <v>159</v>
      </c>
      <c r="B165" t="s">
        <v>557</v>
      </c>
      <c r="C165" s="94">
        <f>'Bent Search'!$G$86</f>
        <v>20.125</v>
      </c>
      <c r="D165" s="93" t="s">
        <v>568</v>
      </c>
      <c r="E165">
        <v>86</v>
      </c>
      <c r="H165">
        <v>102</v>
      </c>
      <c r="I165" t="str">
        <v>Cmplx_Bk_PGLBm17</v>
      </c>
      <c r="J165" t="str">
        <v/>
      </c>
      <c r="K165" t="str">
        <v>Bent Search'!$G$162</v>
      </c>
      <c r="L165">
        <v>162</v>
      </c>
      <c r="P165" t="str">
        <v>Cmplx_Bk_PGLBm17 = Range("Cmplx_Bk_PGLBm17")</v>
      </c>
      <c r="R165" t="s">
        <v>209</v>
      </c>
      <c r="S165" t="str">
        <v>Range("Cmplx_Bk_PGLBm17") = wb2.Worksheets("Complex Geometry").Range("Cmplx_Bk_PGLBm17")</v>
      </c>
      <c r="V165" t="s">
        <v>209</v>
      </c>
      <c r="W165" t="str">
        <v>wb2.Worksheets("Complex Geometry").Range("Cmplx_Bk_PGLBm17") = Cmplx_Bk_PGLBm17</v>
      </c>
    </row>
    <row r="166" spans="1:23" x14ac:dyDescent="0.25">
      <c r="A166">
        <v>160</v>
      </c>
      <c r="B166" t="s">
        <v>559</v>
      </c>
      <c r="C166" s="94" t="str">
        <f>'Bent Search'!$G$95</f>
        <v/>
      </c>
      <c r="D166" s="93" t="s">
        <v>306</v>
      </c>
      <c r="E166">
        <v>95</v>
      </c>
      <c r="H166">
        <v>103</v>
      </c>
      <c r="I166" t="str">
        <v>Cmplx_Bk_PGLBm18</v>
      </c>
      <c r="J166" t="str">
        <v/>
      </c>
      <c r="K166" t="str">
        <v>Bent Search'!$G$163</v>
      </c>
      <c r="L166">
        <v>163</v>
      </c>
      <c r="P166" t="str">
        <v>Cmplx_Bk_PGLBm18 = Range("Cmplx_Bk_PGLBm18")</v>
      </c>
      <c r="R166" t="s">
        <v>209</v>
      </c>
      <c r="S166" t="str">
        <v>Range("Cmplx_Bk_PGLBm18") = wb2.Worksheets("Complex Geometry").Range("Cmplx_Bk_PGLBm18")</v>
      </c>
      <c r="V166" t="s">
        <v>209</v>
      </c>
      <c r="W166" t="str">
        <v>wb2.Worksheets("Complex Geometry").Range("Cmplx_Bk_PGLBm18") = Cmplx_Bk_PGLBm18</v>
      </c>
    </row>
    <row r="167" spans="1:23" x14ac:dyDescent="0.25">
      <c r="A167">
        <v>161</v>
      </c>
      <c r="B167" t="s">
        <v>561</v>
      </c>
      <c r="C167" t="str">
        <f>'Bent Search'!$G$87</f>
        <v/>
      </c>
      <c r="D167" s="93" t="s">
        <v>570</v>
      </c>
      <c r="E167">
        <v>87</v>
      </c>
      <c r="H167">
        <v>104</v>
      </c>
      <c r="I167" t="str">
        <v>Cmplx_Bk_PGLBm19</v>
      </c>
      <c r="J167" t="str">
        <v/>
      </c>
      <c r="K167" t="str">
        <v>Bent Search'!$G$164</v>
      </c>
      <c r="L167">
        <v>164</v>
      </c>
      <c r="P167" t="str">
        <v>Cmplx_Bk_PGLBm19 = Range("Cmplx_Bk_PGLBm19")</v>
      </c>
      <c r="R167" t="s">
        <v>209</v>
      </c>
      <c r="S167" t="str">
        <v>Range("Cmplx_Bk_PGLBm19") = wb2.Worksheets("Complex Geometry").Range("Cmplx_Bk_PGLBm19")</v>
      </c>
      <c r="V167" t="s">
        <v>209</v>
      </c>
      <c r="W167" t="str">
        <v>wb2.Worksheets("Complex Geometry").Range("Cmplx_Bk_PGLBm19") = Cmplx_Bk_PGLBm19</v>
      </c>
    </row>
    <row r="168" spans="1:23" x14ac:dyDescent="0.25">
      <c r="A168">
        <v>162</v>
      </c>
      <c r="B168" t="s">
        <v>563</v>
      </c>
      <c r="C168" t="str">
        <f>'Bent Search'!$G$88</f>
        <v/>
      </c>
      <c r="D168" s="93" t="s">
        <v>572</v>
      </c>
      <c r="E168">
        <v>88</v>
      </c>
      <c r="H168">
        <v>106</v>
      </c>
      <c r="I168" t="str">
        <v>Cmplx_Bk_PGLBm20</v>
      </c>
      <c r="J168" t="str">
        <v/>
      </c>
      <c r="K168" t="str">
        <v>Bent Search'!$G$165</v>
      </c>
      <c r="L168">
        <v>165</v>
      </c>
      <c r="P168" t="str">
        <v>Cmplx_Bk_PGLBm20 = Range("Cmplx_Bk_PGLBm20")</v>
      </c>
      <c r="R168" t="s">
        <v>209</v>
      </c>
      <c r="S168" t="str">
        <v>Range("Cmplx_Bk_PGLBm20") = wb2.Worksheets("Complex Geometry").Range("Cmplx_Bk_PGLBm20")</v>
      </c>
      <c r="V168" t="s">
        <v>209</v>
      </c>
      <c r="W168" t="str">
        <v>wb2.Worksheets("Complex Geometry").Range("Cmplx_Bk_PGLBm20") = Cmplx_Bk_PGLBm20</v>
      </c>
    </row>
    <row r="169" spans="1:23" x14ac:dyDescent="0.25">
      <c r="A169">
        <v>163</v>
      </c>
      <c r="B169" t="s">
        <v>565</v>
      </c>
      <c r="C169" t="str">
        <f>'Bent Search'!$G$89</f>
        <v/>
      </c>
      <c r="D169" s="93" t="s">
        <v>574</v>
      </c>
      <c r="E169">
        <v>89</v>
      </c>
      <c r="H169">
        <v>74</v>
      </c>
      <c r="I169" t="str">
        <v>Cmplx_Bk_CCBm1</v>
      </c>
      <c r="J169">
        <v>122.54300000000001</v>
      </c>
      <c r="K169" t="str">
        <v>Bent Search'!$G$166</v>
      </c>
      <c r="L169">
        <v>166</v>
      </c>
      <c r="P169" t="str">
        <v>Cmplx_Bk_CCBm1 = Range("Cmplx_Bk_CCBm1")</v>
      </c>
      <c r="R169" t="s">
        <v>209</v>
      </c>
      <c r="S169" t="str">
        <v>Range("Cmplx_Bk_CCBm1") = wb2.Worksheets("Complex Geometry").Range("Cmplx_Bk_CCBm1")</v>
      </c>
      <c r="V169" t="s">
        <v>209</v>
      </c>
      <c r="W169" t="str">
        <v>wb2.Worksheets("Complex Geometry").Range("Cmplx_Bk_CCBm1") = Cmplx_Bk_CCBm1</v>
      </c>
    </row>
    <row r="170" spans="1:23" x14ac:dyDescent="0.25">
      <c r="A170">
        <v>164</v>
      </c>
      <c r="B170" t="s">
        <v>567</v>
      </c>
      <c r="C170" t="str">
        <f>'Bent Search'!$G$90</f>
        <v/>
      </c>
      <c r="D170" s="93" t="s">
        <v>576</v>
      </c>
      <c r="E170">
        <v>90</v>
      </c>
      <c r="H170">
        <v>85</v>
      </c>
      <c r="I170" t="str">
        <v>Cmplx_Bk_CCBm2</v>
      </c>
      <c r="J170">
        <v>122.47799999999999</v>
      </c>
      <c r="K170" t="str">
        <v>Bent Search'!$G$167</v>
      </c>
      <c r="L170">
        <v>167</v>
      </c>
      <c r="P170" t="str">
        <v>Cmplx_Bk_CCBm2 = Range("Cmplx_Bk_CCBm2")</v>
      </c>
      <c r="R170" t="s">
        <v>209</v>
      </c>
      <c r="S170" t="str">
        <v>Range("Cmplx_Bk_CCBm2") = wb2.Worksheets("Complex Geometry").Range("Cmplx_Bk_CCBm2")</v>
      </c>
      <c r="V170" t="s">
        <v>209</v>
      </c>
      <c r="W170" t="str">
        <v>wb2.Worksheets("Complex Geometry").Range("Cmplx_Bk_CCBm2") = Cmplx_Bk_CCBm2</v>
      </c>
    </row>
    <row r="171" spans="1:23" x14ac:dyDescent="0.25">
      <c r="A171">
        <v>165</v>
      </c>
      <c r="B171" t="s">
        <v>569</v>
      </c>
      <c r="C171" t="str">
        <f>'Bent Search'!$G$91</f>
        <v/>
      </c>
      <c r="D171" s="93" t="s">
        <v>560</v>
      </c>
      <c r="E171">
        <v>91</v>
      </c>
      <c r="H171">
        <v>87</v>
      </c>
      <c r="I171" t="str">
        <v>Cmplx_Bk_CCBm3</v>
      </c>
      <c r="J171">
        <v>122.41200000000001</v>
      </c>
      <c r="K171" t="str">
        <v>Bent Search'!$G$168</v>
      </c>
      <c r="L171">
        <v>168</v>
      </c>
      <c r="P171" t="str">
        <v>Cmplx_Bk_CCBm3 = Range("Cmplx_Bk_CCBm3")</v>
      </c>
      <c r="R171" t="s">
        <v>209</v>
      </c>
      <c r="S171" t="str">
        <v>Range("Cmplx_Bk_CCBm3") = wb2.Worksheets("Complex Geometry").Range("Cmplx_Bk_CCBm3")</v>
      </c>
      <c r="V171" t="s">
        <v>209</v>
      </c>
      <c r="W171" t="str">
        <v>wb2.Worksheets("Complex Geometry").Range("Cmplx_Bk_CCBm3") = Cmplx_Bk_CCBm3</v>
      </c>
    </row>
    <row r="172" spans="1:23" x14ac:dyDescent="0.25">
      <c r="A172">
        <v>166</v>
      </c>
      <c r="B172" t="s">
        <v>571</v>
      </c>
      <c r="C172" t="str">
        <f>'Bent Search'!$G$92</f>
        <v/>
      </c>
      <c r="D172" s="93" t="s">
        <v>552</v>
      </c>
      <c r="E172">
        <v>92</v>
      </c>
      <c r="H172">
        <v>88</v>
      </c>
      <c r="I172" t="str">
        <v>Cmplx_Bk_CCBm4</v>
      </c>
      <c r="J172">
        <v>122.34699999999999</v>
      </c>
      <c r="K172" t="str">
        <v>Bent Search'!$G$169</v>
      </c>
      <c r="L172">
        <v>169</v>
      </c>
      <c r="P172" t="str">
        <v>Cmplx_Bk_CCBm4 = Range("Cmplx_Bk_CCBm4")</v>
      </c>
      <c r="R172" t="s">
        <v>209</v>
      </c>
      <c r="S172" t="str">
        <v>Range("Cmplx_Bk_CCBm4") = wb2.Worksheets("Complex Geometry").Range("Cmplx_Bk_CCBm4")</v>
      </c>
      <c r="V172" t="s">
        <v>209</v>
      </c>
      <c r="W172" t="str">
        <v>wb2.Worksheets("Complex Geometry").Range("Cmplx_Bk_CCBm4") = Cmplx_Bk_CCBm4</v>
      </c>
    </row>
    <row r="173" spans="1:23" x14ac:dyDescent="0.25">
      <c r="A173">
        <v>167</v>
      </c>
      <c r="B173" t="s">
        <v>573</v>
      </c>
      <c r="C173" t="str">
        <f>'Bent Search'!$G$93</f>
        <v/>
      </c>
      <c r="D173" s="93" t="s">
        <v>554</v>
      </c>
      <c r="E173">
        <v>93</v>
      </c>
      <c r="H173">
        <v>89</v>
      </c>
      <c r="I173" t="str">
        <v>Cmplx_Bk_CCBm5</v>
      </c>
      <c r="J173">
        <v>122.28100000000001</v>
      </c>
      <c r="K173" t="str">
        <v>Bent Search'!$G$170</v>
      </c>
      <c r="L173">
        <v>170</v>
      </c>
      <c r="P173" t="str">
        <v>Cmplx_Bk_CCBm5 = Range("Cmplx_Bk_CCBm5")</v>
      </c>
      <c r="R173" t="s">
        <v>209</v>
      </c>
      <c r="S173" t="str">
        <v>Range("Cmplx_Bk_CCBm5") = wb2.Worksheets("Complex Geometry").Range("Cmplx_Bk_CCBm5")</v>
      </c>
      <c r="V173" t="s">
        <v>209</v>
      </c>
      <c r="W173" t="str">
        <v>wb2.Worksheets("Complex Geometry").Range("Cmplx_Bk_CCBm5") = Cmplx_Bk_CCBm5</v>
      </c>
    </row>
    <row r="174" spans="1:23" x14ac:dyDescent="0.25">
      <c r="A174">
        <v>168</v>
      </c>
      <c r="B174" t="s">
        <v>575</v>
      </c>
      <c r="C174" t="str">
        <f>'Bent Search'!$G$94</f>
        <v/>
      </c>
      <c r="D174" s="93" t="s">
        <v>352</v>
      </c>
      <c r="E174">
        <v>94</v>
      </c>
      <c r="H174">
        <v>90</v>
      </c>
      <c r="I174" t="str">
        <v>Cmplx_Bk_CCBm6</v>
      </c>
      <c r="J174">
        <v>122.214</v>
      </c>
      <c r="K174" t="str">
        <v>Bent Search'!$G$171</v>
      </c>
      <c r="L174">
        <v>171</v>
      </c>
      <c r="P174" t="str">
        <v>Cmplx_Bk_CCBm6 = Range("Cmplx_Bk_CCBm6")</v>
      </c>
      <c r="R174" t="s">
        <v>209</v>
      </c>
      <c r="S174" t="str">
        <v>Range("Cmplx_Bk_CCBm6") = wb2.Worksheets("Complex Geometry").Range("Cmplx_Bk_CCBm6")</v>
      </c>
      <c r="V174" t="s">
        <v>209</v>
      </c>
      <c r="W174" t="str">
        <v>wb2.Worksheets("Complex Geometry").Range("Cmplx_Bk_CCBm6") = Cmplx_Bk_CCBm6</v>
      </c>
    </row>
    <row r="175" spans="1:23" x14ac:dyDescent="0.25">
      <c r="A175">
        <v>169</v>
      </c>
      <c r="B175" t="s">
        <v>577</v>
      </c>
      <c r="C175">
        <f>'Bent Search'!$G$82</f>
        <v>72</v>
      </c>
      <c r="D175" s="93" t="s">
        <v>558</v>
      </c>
      <c r="E175">
        <v>82</v>
      </c>
      <c r="H175">
        <v>91</v>
      </c>
      <c r="I175" t="str">
        <v>Cmplx_Bk_CCBm7</v>
      </c>
      <c r="J175">
        <v>122.151</v>
      </c>
      <c r="K175" t="str">
        <v>Bent Search'!$G$172</v>
      </c>
      <c r="L175">
        <v>172</v>
      </c>
      <c r="P175" t="str">
        <v>Cmplx_Bk_CCBm7 = Range("Cmplx_Bk_CCBm7")</v>
      </c>
      <c r="R175" t="s">
        <v>209</v>
      </c>
      <c r="S175" t="str">
        <v>Range("Cmplx_Bk_CCBm7") = wb2.Worksheets("Complex Geometry").Range("Cmplx_Bk_CCBm7")</v>
      </c>
      <c r="V175" t="s">
        <v>209</v>
      </c>
      <c r="W175" t="str">
        <v>wb2.Worksheets("Complex Geometry").Range("Cmplx_Bk_CCBm7") = Cmplx_Bk_CCBm7</v>
      </c>
    </row>
    <row r="176" spans="1:23" x14ac:dyDescent="0.25">
      <c r="A176">
        <v>170</v>
      </c>
      <c r="B176" t="s">
        <v>579</v>
      </c>
      <c r="C176" t="str">
        <f>'Bent Search'!$G$80</f>
        <v>Rectangular</v>
      </c>
      <c r="D176" s="93" t="s">
        <v>378</v>
      </c>
      <c r="E176">
        <v>80</v>
      </c>
      <c r="H176">
        <v>92</v>
      </c>
      <c r="I176" t="str">
        <v>Cmplx_Bk_CCBm8</v>
      </c>
      <c r="J176" t="str">
        <v/>
      </c>
      <c r="K176" t="str">
        <v>Bent Search'!$G$173</v>
      </c>
      <c r="L176">
        <v>173</v>
      </c>
      <c r="P176" t="str">
        <v>Cmplx_Bk_CCBm8 = Range("Cmplx_Bk_CCBm8")</v>
      </c>
      <c r="R176" t="s">
        <v>209</v>
      </c>
      <c r="S176" t="str">
        <v>Range("Cmplx_Bk_CCBm8") = wb2.Worksheets("Complex Geometry").Range("Cmplx_Bk_CCBm8")</v>
      </c>
      <c r="V176" t="s">
        <v>209</v>
      </c>
      <c r="W176" t="str">
        <v>wb2.Worksheets("Complex Geometry").Range("Cmplx_Bk_CCBm8") = Cmplx_Bk_CCBm8</v>
      </c>
    </row>
    <row r="177" spans="1:23" x14ac:dyDescent="0.25">
      <c r="A177">
        <v>171</v>
      </c>
      <c r="B177" t="s">
        <v>581</v>
      </c>
      <c r="C177">
        <f>'Bent Search'!$G$145</f>
        <v>6.833333333333333</v>
      </c>
      <c r="D177" s="93" t="s">
        <v>456</v>
      </c>
      <c r="E177">
        <v>145</v>
      </c>
      <c r="H177">
        <v>93</v>
      </c>
      <c r="I177" t="str">
        <v>Cmplx_Bk_CCBm9</v>
      </c>
      <c r="J177" t="str">
        <v/>
      </c>
      <c r="K177" t="str">
        <v>Bent Search'!$G$174</v>
      </c>
      <c r="L177">
        <v>174</v>
      </c>
      <c r="P177" t="str">
        <v>Cmplx_Bk_CCBm9 = Range("Cmplx_Bk_CCBm9")</v>
      </c>
      <c r="R177" t="s">
        <v>209</v>
      </c>
      <c r="S177" t="str">
        <v>Range("Cmplx_Bk_CCBm9") = wb2.Worksheets("Complex Geometry").Range("Cmplx_Bk_CCBm9")</v>
      </c>
      <c r="V177" t="s">
        <v>209</v>
      </c>
      <c r="W177" t="str">
        <v>wb2.Worksheets("Complex Geometry").Range("Cmplx_Bk_CCBm9") = Cmplx_Bk_CCBm9</v>
      </c>
    </row>
    <row r="178" spans="1:23" x14ac:dyDescent="0.25">
      <c r="A178">
        <v>172</v>
      </c>
      <c r="B178" t="s">
        <v>583</v>
      </c>
      <c r="C178" t="b">
        <f>'Bent Search'!$G$5</f>
        <v>1</v>
      </c>
      <c r="D178" s="93" t="s">
        <v>590</v>
      </c>
      <c r="E178">
        <v>5</v>
      </c>
      <c r="H178">
        <v>75</v>
      </c>
      <c r="I178" t="str">
        <v>Cmplx_Bk_CCBm10</v>
      </c>
      <c r="J178" t="str">
        <v/>
      </c>
      <c r="K178" t="str">
        <v>Bent Search'!$G$175</v>
      </c>
      <c r="L178">
        <v>175</v>
      </c>
      <c r="P178" t="str">
        <v>Cmplx_Bk_CCBm10 = Range("Cmplx_Bk_CCBm10")</v>
      </c>
      <c r="R178" t="s">
        <v>209</v>
      </c>
      <c r="S178" t="str">
        <v>Range("Cmplx_Bk_CCBm10") = wb2.Worksheets("Complex Geometry").Range("Cmplx_Bk_CCBm10")</v>
      </c>
      <c r="V178" t="s">
        <v>209</v>
      </c>
      <c r="W178" t="str">
        <v>wb2.Worksheets("Complex Geometry").Range("Cmplx_Bk_CCBm10") = Cmplx_Bk_CCBm10</v>
      </c>
    </row>
    <row r="179" spans="1:23" x14ac:dyDescent="0.25">
      <c r="A179">
        <v>173</v>
      </c>
      <c r="B179" t="s">
        <v>585</v>
      </c>
      <c r="C179">
        <f>'Bent Search'!$G$144</f>
        <v>0</v>
      </c>
      <c r="D179" s="93" t="s">
        <v>454</v>
      </c>
      <c r="E179">
        <v>144</v>
      </c>
      <c r="H179">
        <v>76</v>
      </c>
      <c r="I179" t="str">
        <v>Cmplx_Bk_CCBm11</v>
      </c>
      <c r="J179" t="str">
        <v/>
      </c>
      <c r="K179" t="str">
        <v>Bent Search'!$G$176</v>
      </c>
      <c r="L179">
        <v>176</v>
      </c>
      <c r="P179" t="str">
        <v>Cmplx_Bk_CCBm11 = Range("Cmplx_Bk_CCBm11")</v>
      </c>
      <c r="R179" t="s">
        <v>209</v>
      </c>
      <c r="S179" t="str">
        <v>Range("Cmplx_Bk_CCBm11") = wb2.Worksheets("Complex Geometry").Range("Cmplx_Bk_CCBm11")</v>
      </c>
      <c r="V179" t="s">
        <v>209</v>
      </c>
      <c r="W179" t="str">
        <v>wb2.Worksheets("Complex Geometry").Range("Cmplx_Bk_CCBm11") = Cmplx_Bk_CCBm11</v>
      </c>
    </row>
    <row r="180" spans="1:23" x14ac:dyDescent="0.25">
      <c r="A180">
        <v>174</v>
      </c>
      <c r="B180" t="s">
        <v>587</v>
      </c>
      <c r="C180" s="95">
        <f>'Bent Search'!$G$7</f>
        <v>0.02</v>
      </c>
      <c r="D180" s="93" t="s">
        <v>707</v>
      </c>
      <c r="E180">
        <v>7</v>
      </c>
      <c r="H180">
        <v>77</v>
      </c>
      <c r="I180" t="str">
        <v>Cmplx_Bk_CCBm12</v>
      </c>
      <c r="J180" t="str">
        <v/>
      </c>
      <c r="K180" t="str">
        <v>Bent Search'!$G$177</v>
      </c>
      <c r="L180">
        <v>177</v>
      </c>
      <c r="P180" t="str">
        <v>Cmplx_Bk_CCBm12 = Range("Cmplx_Bk_CCBm12")</v>
      </c>
      <c r="R180" t="s">
        <v>209</v>
      </c>
      <c r="S180" t="str">
        <v>Range("Cmplx_Bk_CCBm12") = wb2.Worksheets("Complex Geometry").Range("Cmplx_Bk_CCBm12")</v>
      </c>
      <c r="V180" t="s">
        <v>209</v>
      </c>
      <c r="W180" t="str">
        <v>wb2.Worksheets("Complex Geometry").Range("Cmplx_Bk_CCBm12") = Cmplx_Bk_CCBm12</v>
      </c>
    </row>
    <row r="181" spans="1:23" x14ac:dyDescent="0.25">
      <c r="A181">
        <v>175</v>
      </c>
      <c r="B181" t="s">
        <v>589</v>
      </c>
      <c r="C181">
        <f>'Bent Search'!$G$6</f>
        <v>43.182291666666664</v>
      </c>
      <c r="D181" s="93" t="s">
        <v>588</v>
      </c>
      <c r="E181">
        <v>6</v>
      </c>
      <c r="H181">
        <v>78</v>
      </c>
      <c r="I181" t="str">
        <v>Cmplx_Bk_CCBm13</v>
      </c>
      <c r="J181" t="str">
        <v/>
      </c>
      <c r="K181" t="str">
        <v>Bent Search'!$G$178</v>
      </c>
      <c r="L181">
        <v>178</v>
      </c>
      <c r="P181" t="str">
        <v>Cmplx_Bk_CCBm13 = Range("Cmplx_Bk_CCBm13")</v>
      </c>
      <c r="R181" t="s">
        <v>209</v>
      </c>
      <c r="S181" t="str">
        <v>Range("Cmplx_Bk_CCBm13") = wb2.Worksheets("Complex Geometry").Range("Cmplx_Bk_CCBm13")</v>
      </c>
      <c r="V181" t="s">
        <v>209</v>
      </c>
      <c r="W181" t="str">
        <v>wb2.Worksheets("Complex Geometry").Range("Cmplx_Bk_CCBm13") = Cmplx_Bk_CCBm13</v>
      </c>
    </row>
    <row r="182" spans="1:23" x14ac:dyDescent="0.25">
      <c r="A182">
        <v>176</v>
      </c>
      <c r="B182" t="s">
        <v>1108</v>
      </c>
      <c r="C182">
        <f>'Bent Search'!$G$241</f>
        <v>115</v>
      </c>
      <c r="D182" s="93" t="s">
        <v>1109</v>
      </c>
      <c r="E182">
        <v>241</v>
      </c>
      <c r="H182">
        <v>79</v>
      </c>
      <c r="I182" t="str">
        <v>Cmplx_Bk_CCBm14</v>
      </c>
      <c r="J182" t="str">
        <v/>
      </c>
      <c r="K182" t="str">
        <v>Bent Search'!$G$179</v>
      </c>
      <c r="L182">
        <v>179</v>
      </c>
      <c r="P182" t="str">
        <v>Cmplx_Bk_CCBm14 = Range("Cmplx_Bk_CCBm14")</v>
      </c>
      <c r="R182" t="s">
        <v>209</v>
      </c>
      <c r="S182" t="str">
        <v>Range("Cmplx_Bk_CCBm14") = wb2.Worksheets("Complex Geometry").Range("Cmplx_Bk_CCBm14")</v>
      </c>
      <c r="V182" t="s">
        <v>209</v>
      </c>
      <c r="W182" t="str">
        <v>wb2.Worksheets("Complex Geometry").Range("Cmplx_Bk_CCBm14") = Cmplx_Bk_CCBm14</v>
      </c>
    </row>
    <row r="183" spans="1:23" x14ac:dyDescent="0.25">
      <c r="A183">
        <v>177</v>
      </c>
      <c r="B183" t="s">
        <v>591</v>
      </c>
      <c r="C183">
        <f>'Bent Search'!$G$26</f>
        <v>50</v>
      </c>
      <c r="D183" s="93" t="s">
        <v>360</v>
      </c>
      <c r="E183">
        <v>26</v>
      </c>
      <c r="H183">
        <v>80</v>
      </c>
      <c r="I183" t="str">
        <v>Cmplx_Bk_CCBm15</v>
      </c>
      <c r="J183" t="str">
        <v/>
      </c>
      <c r="K183" t="str">
        <v>Bent Search'!$G$180</v>
      </c>
      <c r="L183">
        <v>180</v>
      </c>
      <c r="P183" t="str">
        <v>Cmplx_Bk_CCBm15 = Range("Cmplx_Bk_CCBm15")</v>
      </c>
      <c r="R183" t="s">
        <v>209</v>
      </c>
      <c r="S183" t="str">
        <v>Range("Cmplx_Bk_CCBm15") = wb2.Worksheets("Complex Geometry").Range("Cmplx_Bk_CCBm15")</v>
      </c>
      <c r="V183" t="s">
        <v>209</v>
      </c>
      <c r="W183" t="str">
        <v>wb2.Worksheets("Complex Geometry").Range("Cmplx_Bk_CCBm15") = Cmplx_Bk_CCBm15</v>
      </c>
    </row>
    <row r="184" spans="1:23" x14ac:dyDescent="0.25">
      <c r="A184">
        <v>178</v>
      </c>
      <c r="B184" t="s">
        <v>593</v>
      </c>
      <c r="C184" s="94">
        <f>'Bent Search'!$G$63</f>
        <v>0</v>
      </c>
      <c r="D184" s="93" t="s">
        <v>296</v>
      </c>
      <c r="E184">
        <v>63</v>
      </c>
      <c r="H184">
        <v>81</v>
      </c>
      <c r="I184" t="str">
        <v>Cmplx_Bk_CCBm16</v>
      </c>
      <c r="J184" t="str">
        <v/>
      </c>
      <c r="K184" t="str">
        <v>Bent Search'!$G$181</v>
      </c>
      <c r="L184">
        <v>181</v>
      </c>
      <c r="P184" t="str">
        <v>Cmplx_Bk_CCBm16 = Range("Cmplx_Bk_CCBm16")</v>
      </c>
      <c r="R184" t="s">
        <v>209</v>
      </c>
      <c r="S184" t="str">
        <v>Range("Cmplx_Bk_CCBm16") = wb2.Worksheets("Complex Geometry").Range("Cmplx_Bk_CCBm16")</v>
      </c>
      <c r="V184" t="s">
        <v>209</v>
      </c>
      <c r="W184" t="str">
        <v>wb2.Worksheets("Complex Geometry").Range("Cmplx_Bk_CCBm16") = Cmplx_Bk_CCBm16</v>
      </c>
    </row>
    <row r="185" spans="1:23" x14ac:dyDescent="0.25">
      <c r="A185">
        <v>179</v>
      </c>
      <c r="B185" t="s">
        <v>595</v>
      </c>
      <c r="C185" s="94">
        <f>'Bent Search'!$G$61</f>
        <v>0</v>
      </c>
      <c r="D185" s="93" t="s">
        <v>594</v>
      </c>
      <c r="E185">
        <v>61</v>
      </c>
      <c r="H185">
        <v>82</v>
      </c>
      <c r="I185" t="str">
        <v>Cmplx_Bk_CCBm17</v>
      </c>
      <c r="J185" t="str">
        <v/>
      </c>
      <c r="K185" t="str">
        <v>Bent Search'!$G$182</v>
      </c>
      <c r="L185">
        <v>182</v>
      </c>
      <c r="P185" t="str">
        <v>Cmplx_Bk_CCBm17 = Range("Cmplx_Bk_CCBm17")</v>
      </c>
      <c r="R185" t="s">
        <v>209</v>
      </c>
      <c r="S185" t="str">
        <v>Range("Cmplx_Bk_CCBm17") = wb2.Worksheets("Complex Geometry").Range("Cmplx_Bk_CCBm17")</v>
      </c>
      <c r="V185" t="s">
        <v>209</v>
      </c>
      <c r="W185" t="str">
        <v>wb2.Worksheets("Complex Geometry").Range("Cmplx_Bk_CCBm17") = Cmplx_Bk_CCBm17</v>
      </c>
    </row>
    <row r="186" spans="1:23" x14ac:dyDescent="0.25">
      <c r="A186">
        <v>180</v>
      </c>
      <c r="B186" t="s">
        <v>597</v>
      </c>
      <c r="C186" s="94">
        <f>'Bent Search'!$G$62</f>
        <v>0</v>
      </c>
      <c r="D186" s="93" t="s">
        <v>294</v>
      </c>
      <c r="E186">
        <v>62</v>
      </c>
      <c r="H186">
        <v>83</v>
      </c>
      <c r="I186" t="str">
        <v>Cmplx_Bk_CCBm18</v>
      </c>
      <c r="J186" t="str">
        <v/>
      </c>
      <c r="K186" t="str">
        <v>Bent Search'!$G$183</v>
      </c>
      <c r="L186">
        <v>183</v>
      </c>
      <c r="P186" t="str">
        <v>Cmplx_Bk_CCBm18 = Range("Cmplx_Bk_CCBm18")</v>
      </c>
      <c r="R186" t="s">
        <v>209</v>
      </c>
      <c r="S186" t="str">
        <v>Range("Cmplx_Bk_CCBm18") = wb2.Worksheets("Complex Geometry").Range("Cmplx_Bk_CCBm18")</v>
      </c>
      <c r="V186" t="s">
        <v>209</v>
      </c>
      <c r="W186" t="str">
        <v>wb2.Worksheets("Complex Geometry").Range("Cmplx_Bk_CCBm18") = Cmplx_Bk_CCBm18</v>
      </c>
    </row>
    <row r="187" spans="1:23" x14ac:dyDescent="0.25">
      <c r="A187">
        <v>181</v>
      </c>
      <c r="B187" t="s">
        <v>1110</v>
      </c>
      <c r="C187">
        <f>'Bent Search'!$G$242</f>
        <v>0</v>
      </c>
      <c r="D187" s="93" t="s">
        <v>1111</v>
      </c>
      <c r="E187">
        <v>242</v>
      </c>
      <c r="H187">
        <v>84</v>
      </c>
      <c r="I187" t="str">
        <v>Cmplx_Bk_CCBm19</v>
      </c>
      <c r="J187" t="str">
        <v/>
      </c>
      <c r="K187" t="str">
        <v>Bent Search'!$G$184</v>
      </c>
      <c r="L187">
        <v>184</v>
      </c>
      <c r="P187" t="str">
        <v>Cmplx_Bk_CCBm19 = Range("Cmplx_Bk_CCBm19")</v>
      </c>
      <c r="R187" t="s">
        <v>209</v>
      </c>
      <c r="S187" t="str">
        <v>Range("Cmplx_Bk_CCBm19") = wb2.Worksheets("Complex Geometry").Range("Cmplx_Bk_CCBm19")</v>
      </c>
      <c r="V187" t="s">
        <v>209</v>
      </c>
      <c r="W187" t="str">
        <v>wb2.Worksheets("Complex Geometry").Range("Cmplx_Bk_CCBm19") = Cmplx_Bk_CCBm19</v>
      </c>
    </row>
    <row r="188" spans="1:23" x14ac:dyDescent="0.25">
      <c r="A188">
        <v>182</v>
      </c>
      <c r="B188" t="s">
        <v>1112</v>
      </c>
      <c r="C188" s="94" t="str">
        <f>'Bent Search'!$G$235</f>
        <v>Left</v>
      </c>
      <c r="D188" s="93" t="s">
        <v>1113</v>
      </c>
      <c r="E188">
        <v>235</v>
      </c>
      <c r="H188">
        <v>86</v>
      </c>
      <c r="I188" t="str">
        <v>Cmplx_Bk_CCBm20</v>
      </c>
      <c r="J188" t="str">
        <v/>
      </c>
      <c r="K188" t="str">
        <v>Bent Search'!$G$185</v>
      </c>
      <c r="L188">
        <v>185</v>
      </c>
      <c r="P188" t="str">
        <v>Cmplx_Bk_CCBm20 = Range("Cmplx_Bk_CCBm20")</v>
      </c>
      <c r="R188" t="s">
        <v>209</v>
      </c>
      <c r="S188" t="str">
        <v>Range("Cmplx_Bk_CCBm20") = wb2.Worksheets("Complex Geometry").Range("Cmplx_Bk_CCBm20")</v>
      </c>
      <c r="V188" t="s">
        <v>209</v>
      </c>
      <c r="W188" t="str">
        <v>wb2.Worksheets("Complex Geometry").Range("Cmplx_Bk_CCBm20") = Cmplx_Bk_CCBm20</v>
      </c>
    </row>
    <row r="189" spans="1:23" x14ac:dyDescent="0.25">
      <c r="A189">
        <v>183</v>
      </c>
      <c r="B189" t="s">
        <v>1114</v>
      </c>
      <c r="C189" s="94" t="str">
        <f>'Bent Search'!$G$233</f>
        <v>Left</v>
      </c>
      <c r="D189" s="93" t="s">
        <v>1115</v>
      </c>
      <c r="E189">
        <v>233</v>
      </c>
      <c r="H189">
        <v>135</v>
      </c>
      <c r="I189" t="str">
        <v>Cmplx_Fd_PGLBm1</v>
      </c>
      <c r="J189">
        <v>-4</v>
      </c>
      <c r="K189" t="str">
        <v>Bent Search'!$G$186</v>
      </c>
      <c r="L189">
        <v>186</v>
      </c>
      <c r="P189" t="str">
        <v>Cmplx_Fd_PGLBm1 = Range("Cmplx_Fd_PGLBm1")</v>
      </c>
      <c r="R189" t="s">
        <v>209</v>
      </c>
      <c r="S189" t="str">
        <v>Range("Cmplx_Fd_PGLBm1") = wb2.Worksheets("Complex Geometry").Range("Cmplx_Fd_PGLBm1")</v>
      </c>
      <c r="V189" t="s">
        <v>209</v>
      </c>
      <c r="W189" t="str">
        <v>wb2.Worksheets("Complex Geometry").Range("Cmplx_Fd_PGLBm1") = Cmplx_Fd_PGLBm1</v>
      </c>
    </row>
    <row r="190" spans="1:23" x14ac:dyDescent="0.25">
      <c r="A190">
        <v>184</v>
      </c>
      <c r="B190" t="s">
        <v>599</v>
      </c>
      <c r="C190" s="94" t="str">
        <f>'Bent Search'!$G$48</f>
        <v>Class 2</v>
      </c>
      <c r="D190" s="93" t="s">
        <v>382</v>
      </c>
      <c r="E190">
        <v>48</v>
      </c>
      <c r="H190">
        <v>146</v>
      </c>
      <c r="I190" t="str">
        <v>Cmplx_Fd_PGLBm2</v>
      </c>
      <c r="J190">
        <v>8.5</v>
      </c>
      <c r="K190" t="str">
        <v>Bent Search'!$G$187</v>
      </c>
      <c r="L190">
        <v>187</v>
      </c>
      <c r="P190" t="str">
        <v>Cmplx_Fd_PGLBm2 = Range("Cmplx_Fd_PGLBm2")</v>
      </c>
      <c r="R190" t="s">
        <v>209</v>
      </c>
      <c r="S190" t="str">
        <v>Range("Cmplx_Fd_PGLBm2") = wb2.Worksheets("Complex Geometry").Range("Cmplx_Fd_PGLBm2")</v>
      </c>
      <c r="V190" t="s">
        <v>209</v>
      </c>
      <c r="W190" t="str">
        <v>wb2.Worksheets("Complex Geometry").Range("Cmplx_Fd_PGLBm2") = Cmplx_Fd_PGLBm2</v>
      </c>
    </row>
    <row r="191" spans="1:23" x14ac:dyDescent="0.25">
      <c r="A191">
        <v>185</v>
      </c>
      <c r="B191" t="s">
        <v>601</v>
      </c>
      <c r="C191" s="94">
        <f>'Bent Search'!$G$120</f>
        <v>2.8333333333333335</v>
      </c>
      <c r="D191" s="93" t="s">
        <v>632</v>
      </c>
      <c r="E191">
        <v>120</v>
      </c>
      <c r="H191">
        <v>148</v>
      </c>
      <c r="I191" t="str">
        <v>Cmplx_Fd_PGLBm3</v>
      </c>
      <c r="J191">
        <v>8.5</v>
      </c>
      <c r="K191" t="str">
        <v>Bent Search'!$G$188</v>
      </c>
      <c r="L191">
        <v>188</v>
      </c>
      <c r="P191" t="str">
        <v>Cmplx_Fd_PGLBm3 = Range("Cmplx_Fd_PGLBm3")</v>
      </c>
      <c r="R191" t="s">
        <v>209</v>
      </c>
      <c r="S191" t="str">
        <v>Range("Cmplx_Fd_PGLBm3") = wb2.Worksheets("Complex Geometry").Range("Cmplx_Fd_PGLBm3")</v>
      </c>
      <c r="V191" t="s">
        <v>209</v>
      </c>
      <c r="W191" t="str">
        <v>wb2.Worksheets("Complex Geometry").Range("Cmplx_Fd_PGLBm3") = Cmplx_Fd_PGLBm3</v>
      </c>
    </row>
    <row r="192" spans="1:23" x14ac:dyDescent="0.25">
      <c r="A192">
        <v>186</v>
      </c>
      <c r="B192" t="s">
        <v>603</v>
      </c>
      <c r="C192" s="94" t="str">
        <f>'Bent Search'!$G$129</f>
        <v/>
      </c>
      <c r="D192" s="93" t="s">
        <v>612</v>
      </c>
      <c r="E192">
        <v>129</v>
      </c>
      <c r="H192">
        <v>149</v>
      </c>
      <c r="I192" t="str">
        <v>Cmplx_Fd_PGLBm4</v>
      </c>
      <c r="J192">
        <v>8.5</v>
      </c>
      <c r="K192" t="str">
        <v>Bent Search'!$G$189</v>
      </c>
      <c r="L192">
        <v>189</v>
      </c>
      <c r="P192" t="str">
        <v>Cmplx_Fd_PGLBm4 = Range("Cmplx_Fd_PGLBm4")</v>
      </c>
      <c r="R192" t="s">
        <v>209</v>
      </c>
      <c r="S192" t="str">
        <v>Range("Cmplx_Fd_PGLBm4") = wb2.Worksheets("Complex Geometry").Range("Cmplx_Fd_PGLBm4")</v>
      </c>
      <c r="V192" t="s">
        <v>209</v>
      </c>
      <c r="W192" t="str">
        <v>wb2.Worksheets("Complex Geometry").Range("Cmplx_Fd_PGLBm4") = Cmplx_Fd_PGLBm4</v>
      </c>
    </row>
    <row r="193" spans="1:23" x14ac:dyDescent="0.25">
      <c r="A193">
        <v>187</v>
      </c>
      <c r="B193" t="s">
        <v>605</v>
      </c>
      <c r="C193" t="str">
        <f>'Bent Search'!$G$130</f>
        <v/>
      </c>
      <c r="D193" s="93" t="s">
        <v>614</v>
      </c>
      <c r="E193">
        <v>130</v>
      </c>
      <c r="H193">
        <v>150</v>
      </c>
      <c r="I193" t="str">
        <v>Cmplx_Fd_PGLBm5</v>
      </c>
      <c r="J193">
        <v>8.5</v>
      </c>
      <c r="K193" t="str">
        <v>Bent Search'!$G$190</v>
      </c>
      <c r="L193">
        <v>190</v>
      </c>
      <c r="P193" t="str">
        <v>Cmplx_Fd_PGLBm5 = Range("Cmplx_Fd_PGLBm5")</v>
      </c>
      <c r="R193" t="s">
        <v>209</v>
      </c>
      <c r="S193" t="str">
        <v>Range("Cmplx_Fd_PGLBm5") = wb2.Worksheets("Complex Geometry").Range("Cmplx_Fd_PGLBm5")</v>
      </c>
      <c r="V193" t="s">
        <v>209</v>
      </c>
      <c r="W193" t="str">
        <v>wb2.Worksheets("Complex Geometry").Range("Cmplx_Fd_PGLBm5") = Cmplx_Fd_PGLBm5</v>
      </c>
    </row>
    <row r="194" spans="1:23" x14ac:dyDescent="0.25">
      <c r="A194">
        <v>188</v>
      </c>
      <c r="B194" t="s">
        <v>607</v>
      </c>
      <c r="C194" t="str">
        <f>'Bent Search'!$G$131</f>
        <v/>
      </c>
      <c r="D194" s="93" t="s">
        <v>616</v>
      </c>
      <c r="E194">
        <v>131</v>
      </c>
      <c r="H194">
        <v>151</v>
      </c>
      <c r="I194" t="str">
        <v>Cmplx_Fd_PGLBm6</v>
      </c>
      <c r="J194">
        <v>3.5139999999999998</v>
      </c>
      <c r="K194" t="str">
        <v>Bent Search'!$G$191</v>
      </c>
      <c r="L194">
        <v>191</v>
      </c>
      <c r="P194" t="str">
        <v>Cmplx_Fd_PGLBm6 = Range("Cmplx_Fd_PGLBm6")</v>
      </c>
      <c r="R194" t="s">
        <v>209</v>
      </c>
      <c r="S194" t="str">
        <v>Range("Cmplx_Fd_PGLBm6") = wb2.Worksheets("Complex Geometry").Range("Cmplx_Fd_PGLBm6")</v>
      </c>
      <c r="V194" t="s">
        <v>209</v>
      </c>
      <c r="W194" t="str">
        <v>wb2.Worksheets("Complex Geometry").Range("Cmplx_Fd_PGLBm6") = Cmplx_Fd_PGLBm6</v>
      </c>
    </row>
    <row r="195" spans="1:23" x14ac:dyDescent="0.25">
      <c r="A195">
        <v>189</v>
      </c>
      <c r="B195" t="s">
        <v>609</v>
      </c>
      <c r="C195" t="str">
        <f>'Bent Search'!$G$132</f>
        <v/>
      </c>
      <c r="D195" s="93" t="s">
        <v>618</v>
      </c>
      <c r="E195">
        <v>132</v>
      </c>
      <c r="H195">
        <v>152</v>
      </c>
      <c r="I195" t="str">
        <v>Cmplx_Fd_PGLBm7</v>
      </c>
      <c r="J195" t="str">
        <v/>
      </c>
      <c r="K195" t="str">
        <v>Bent Search'!$G$192</v>
      </c>
      <c r="L195">
        <v>192</v>
      </c>
      <c r="P195" t="str">
        <v>Cmplx_Fd_PGLBm7 = Range("Cmplx_Fd_PGLBm7")</v>
      </c>
      <c r="R195" t="s">
        <v>209</v>
      </c>
      <c r="S195" t="str">
        <v>Range("Cmplx_Fd_PGLBm7") = wb2.Worksheets("Complex Geometry").Range("Cmplx_Fd_PGLBm7")</v>
      </c>
      <c r="V195" t="s">
        <v>209</v>
      </c>
      <c r="W195" t="str">
        <v>wb2.Worksheets("Complex Geometry").Range("Cmplx_Fd_PGLBm7") = Cmplx_Fd_PGLBm7</v>
      </c>
    </row>
    <row r="196" spans="1:23" x14ac:dyDescent="0.25">
      <c r="A196">
        <v>190</v>
      </c>
      <c r="B196" t="s">
        <v>611</v>
      </c>
      <c r="C196" s="94" t="str">
        <f>'Bent Search'!$G$133</f>
        <v/>
      </c>
      <c r="D196" s="93" t="s">
        <v>620</v>
      </c>
      <c r="E196">
        <v>133</v>
      </c>
      <c r="H196">
        <v>153</v>
      </c>
      <c r="I196" t="str">
        <v>Cmplx_Fd_PGLBm8</v>
      </c>
      <c r="J196" t="str">
        <v/>
      </c>
      <c r="K196" t="str">
        <v>Bent Search'!$G$193</v>
      </c>
      <c r="L196">
        <v>193</v>
      </c>
      <c r="P196" t="str">
        <v>Cmplx_Fd_PGLBm8 = Range("Cmplx_Fd_PGLBm8")</v>
      </c>
      <c r="R196" t="s">
        <v>209</v>
      </c>
      <c r="S196" t="str">
        <v>Range("Cmplx_Fd_PGLBm8") = wb2.Worksheets("Complex Geometry").Range("Cmplx_Fd_PGLBm8")</v>
      </c>
      <c r="V196" t="s">
        <v>209</v>
      </c>
      <c r="W196" t="str">
        <v>wb2.Worksheets("Complex Geometry").Range("Cmplx_Fd_PGLBm8") = Cmplx_Fd_PGLBm8</v>
      </c>
    </row>
    <row r="197" spans="1:23" x14ac:dyDescent="0.25">
      <c r="A197">
        <v>191</v>
      </c>
      <c r="B197" t="s">
        <v>613</v>
      </c>
      <c r="C197" s="94" t="str">
        <f>'Bent Search'!$G$134</f>
        <v/>
      </c>
      <c r="D197" s="93" t="s">
        <v>622</v>
      </c>
      <c r="E197">
        <v>134</v>
      </c>
      <c r="H197">
        <v>154</v>
      </c>
      <c r="I197" t="str">
        <v>Cmplx_Fd_PGLBm9</v>
      </c>
      <c r="J197" t="str">
        <v/>
      </c>
      <c r="K197" t="str">
        <v>Bent Search'!$G$194</v>
      </c>
      <c r="L197">
        <v>194</v>
      </c>
      <c r="P197" t="str">
        <v>Cmplx_Fd_PGLBm9 = Range("Cmplx_Fd_PGLBm9")</v>
      </c>
      <c r="R197" t="s">
        <v>209</v>
      </c>
      <c r="S197" t="str">
        <v>Range("Cmplx_Fd_PGLBm9") = wb2.Worksheets("Complex Geometry").Range("Cmplx_Fd_PGLBm9")</v>
      </c>
      <c r="V197" t="s">
        <v>209</v>
      </c>
      <c r="W197" t="str">
        <v>wb2.Worksheets("Complex Geometry").Range("Cmplx_Fd_PGLBm9") = Cmplx_Fd_PGLBm9</v>
      </c>
    </row>
    <row r="198" spans="1:23" x14ac:dyDescent="0.25">
      <c r="A198">
        <v>192</v>
      </c>
      <c r="B198" t="s">
        <v>615</v>
      </c>
      <c r="C198" t="str">
        <f>'Bent Search'!$G$135</f>
        <v/>
      </c>
      <c r="D198" s="93" t="s">
        <v>626</v>
      </c>
      <c r="E198">
        <v>135</v>
      </c>
      <c r="H198">
        <v>136</v>
      </c>
      <c r="I198" t="str">
        <v>Cmplx_Fd_PGLBm10</v>
      </c>
      <c r="J198" t="str">
        <v/>
      </c>
      <c r="K198" t="str">
        <v>Bent Search'!$G$195</v>
      </c>
      <c r="L198">
        <v>195</v>
      </c>
      <c r="P198" t="str">
        <v>Cmplx_Fd_PGLBm10 = Range("Cmplx_Fd_PGLBm10")</v>
      </c>
      <c r="R198" t="s">
        <v>209</v>
      </c>
      <c r="S198" t="str">
        <v>Range("Cmplx_Fd_PGLBm10") = wb2.Worksheets("Complex Geometry").Range("Cmplx_Fd_PGLBm10")</v>
      </c>
      <c r="V198" t="s">
        <v>209</v>
      </c>
      <c r="W198" t="str">
        <v>wb2.Worksheets("Complex Geometry").Range("Cmplx_Fd_PGLBm10") = Cmplx_Fd_PGLBm10</v>
      </c>
    </row>
    <row r="199" spans="1:23" x14ac:dyDescent="0.25">
      <c r="A199">
        <v>193</v>
      </c>
      <c r="B199" t="s">
        <v>617</v>
      </c>
      <c r="C199" s="94" t="str">
        <f>'Bent Search'!$G$136</f>
        <v/>
      </c>
      <c r="D199" s="93" t="s">
        <v>468</v>
      </c>
      <c r="E199">
        <v>136</v>
      </c>
      <c r="H199">
        <v>137</v>
      </c>
      <c r="I199" t="str">
        <v>Cmplx_Fd_PGLBm11</v>
      </c>
      <c r="J199" t="str">
        <v/>
      </c>
      <c r="K199" t="str">
        <v>Bent Search'!$G$196</v>
      </c>
      <c r="L199">
        <v>196</v>
      </c>
      <c r="P199" t="str">
        <v>Cmplx_Fd_PGLBm11 = Range("Cmplx_Fd_PGLBm11")</v>
      </c>
      <c r="R199" t="s">
        <v>209</v>
      </c>
      <c r="S199" t="str">
        <v>Range("Cmplx_Fd_PGLBm11") = wb2.Worksheets("Complex Geometry").Range("Cmplx_Fd_PGLBm11")</v>
      </c>
      <c r="V199" t="s">
        <v>209</v>
      </c>
      <c r="W199" t="str">
        <v>wb2.Worksheets("Complex Geometry").Range("Cmplx_Fd_PGLBm11") = Cmplx_Fd_PGLBm11</v>
      </c>
    </row>
    <row r="200" spans="1:23" x14ac:dyDescent="0.25">
      <c r="A200">
        <v>194</v>
      </c>
      <c r="B200" t="s">
        <v>619</v>
      </c>
      <c r="C200" s="94" t="str">
        <f>'Bent Search'!$G$137</f>
        <v/>
      </c>
      <c r="D200" s="93" t="s">
        <v>550</v>
      </c>
      <c r="E200">
        <v>137</v>
      </c>
      <c r="H200">
        <v>138</v>
      </c>
      <c r="I200" t="str">
        <v>Cmplx_Fd_PGLBm12</v>
      </c>
      <c r="J200" t="str">
        <v/>
      </c>
      <c r="K200" t="str">
        <v>Bent Search'!$G$197</v>
      </c>
      <c r="L200">
        <v>197</v>
      </c>
      <c r="P200" t="str">
        <v>Cmplx_Fd_PGLBm12 = Range("Cmplx_Fd_PGLBm12")</v>
      </c>
      <c r="R200" t="s">
        <v>209</v>
      </c>
      <c r="S200" t="str">
        <v>Range("Cmplx_Fd_PGLBm12") = wb2.Worksheets("Complex Geometry").Range("Cmplx_Fd_PGLBm12")</v>
      </c>
      <c r="V200" t="s">
        <v>209</v>
      </c>
      <c r="W200" t="str">
        <v>wb2.Worksheets("Complex Geometry").Range("Cmplx_Fd_PGLBm12") = Cmplx_Fd_PGLBm12</v>
      </c>
    </row>
    <row r="201" spans="1:23" x14ac:dyDescent="0.25">
      <c r="A201">
        <v>195</v>
      </c>
      <c r="B201" t="s">
        <v>621</v>
      </c>
      <c r="C201" t="str">
        <f>'Bent Search'!$G$138</f>
        <v/>
      </c>
      <c r="D201" s="93" t="s">
        <v>705</v>
      </c>
      <c r="E201">
        <v>138</v>
      </c>
      <c r="H201">
        <v>139</v>
      </c>
      <c r="I201" t="str">
        <v>Cmplx_Fd_PGLBm13</v>
      </c>
      <c r="J201" t="str">
        <v/>
      </c>
      <c r="K201" t="str">
        <v>Bent Search'!$G$198</v>
      </c>
      <c r="L201">
        <v>198</v>
      </c>
      <c r="P201" t="str">
        <v>Cmplx_Fd_PGLBm13 = Range("Cmplx_Fd_PGLBm13")</v>
      </c>
      <c r="R201" t="s">
        <v>209</v>
      </c>
      <c r="S201" t="str">
        <v>Range("Cmplx_Fd_PGLBm13") = wb2.Worksheets("Complex Geometry").Range("Cmplx_Fd_PGLBm13")</v>
      </c>
      <c r="V201" t="s">
        <v>209</v>
      </c>
      <c r="W201" t="str">
        <v>wb2.Worksheets("Complex Geometry").Range("Cmplx_Fd_PGLBm13") = Cmplx_Fd_PGLBm13</v>
      </c>
    </row>
    <row r="202" spans="1:23" x14ac:dyDescent="0.25">
      <c r="A202">
        <v>196</v>
      </c>
      <c r="B202" t="s">
        <v>623</v>
      </c>
      <c r="C202">
        <f>'Bent Search'!$G$121</f>
        <v>8.5</v>
      </c>
      <c r="D202" s="93" t="s">
        <v>634</v>
      </c>
      <c r="E202">
        <v>121</v>
      </c>
      <c r="H202">
        <v>140</v>
      </c>
      <c r="I202" t="str">
        <v>Cmplx_Fd_PGLBm14</v>
      </c>
      <c r="J202" t="str">
        <v/>
      </c>
      <c r="K202" t="str">
        <v>Bent Search'!$G$199</v>
      </c>
      <c r="L202">
        <v>199</v>
      </c>
      <c r="P202" t="str">
        <v>Cmplx_Fd_PGLBm14 = Range("Cmplx_Fd_PGLBm14")</v>
      </c>
      <c r="R202" t="s">
        <v>209</v>
      </c>
      <c r="S202" t="str">
        <v>Range("Cmplx_Fd_PGLBm14") = wb2.Worksheets("Complex Geometry").Range("Cmplx_Fd_PGLBm14")</v>
      </c>
      <c r="V202" t="s">
        <v>209</v>
      </c>
      <c r="W202" t="str">
        <v>wb2.Worksheets("Complex Geometry").Range("Cmplx_Fd_PGLBm14") = Cmplx_Fd_PGLBm14</v>
      </c>
    </row>
    <row r="203" spans="1:23" x14ac:dyDescent="0.25">
      <c r="A203">
        <v>197</v>
      </c>
      <c r="B203" t="s">
        <v>625</v>
      </c>
      <c r="C203" t="str">
        <f>'Bent Search'!$G$139</f>
        <v/>
      </c>
      <c r="D203" s="93" t="s">
        <v>364</v>
      </c>
      <c r="E203">
        <v>139</v>
      </c>
      <c r="H203">
        <v>141</v>
      </c>
      <c r="I203" t="str">
        <v>Cmplx_Fd_PGLBm15</v>
      </c>
      <c r="J203" t="str">
        <v/>
      </c>
      <c r="K203" t="str">
        <v>Bent Search'!$G$200</v>
      </c>
      <c r="L203">
        <v>200</v>
      </c>
      <c r="P203" t="str">
        <v>Cmplx_Fd_PGLBm15 = Range("Cmplx_Fd_PGLBm15")</v>
      </c>
      <c r="R203" t="s">
        <v>209</v>
      </c>
      <c r="S203" t="str">
        <v>Range("Cmplx_Fd_PGLBm15") = wb2.Worksheets("Complex Geometry").Range("Cmplx_Fd_PGLBm15")</v>
      </c>
      <c r="V203" t="s">
        <v>209</v>
      </c>
      <c r="W203" t="str">
        <v>wb2.Worksheets("Complex Geometry").Range("Cmplx_Fd_PGLBm15") = Cmplx_Fd_PGLBm15</v>
      </c>
    </row>
    <row r="204" spans="1:23" x14ac:dyDescent="0.25">
      <c r="A204">
        <v>198</v>
      </c>
      <c r="B204" t="s">
        <v>627</v>
      </c>
      <c r="C204" s="94">
        <f>'Bent Search'!$G$122</f>
        <v>8.5</v>
      </c>
      <c r="D204" s="93" t="s">
        <v>636</v>
      </c>
      <c r="E204">
        <v>122</v>
      </c>
      <c r="H204">
        <v>142</v>
      </c>
      <c r="I204" t="str">
        <v>Cmplx_Fd_PGLBm16</v>
      </c>
      <c r="J204" t="str">
        <v/>
      </c>
      <c r="K204" t="str">
        <v>Bent Search'!$G$201</v>
      </c>
      <c r="L204">
        <v>201</v>
      </c>
      <c r="P204" t="str">
        <v>Cmplx_Fd_PGLBm16 = Range("Cmplx_Fd_PGLBm16")</v>
      </c>
      <c r="R204" t="s">
        <v>209</v>
      </c>
      <c r="S204" t="str">
        <v>Range("Cmplx_Fd_PGLBm16") = wb2.Worksheets("Complex Geometry").Range("Cmplx_Fd_PGLBm16")</v>
      </c>
      <c r="V204" t="s">
        <v>209</v>
      </c>
      <c r="W204" t="str">
        <v>wb2.Worksheets("Complex Geometry").Range("Cmplx_Fd_PGLBm16") = Cmplx_Fd_PGLBm16</v>
      </c>
    </row>
    <row r="205" spans="1:23" x14ac:dyDescent="0.25">
      <c r="A205">
        <v>199</v>
      </c>
      <c r="B205" t="s">
        <v>629</v>
      </c>
      <c r="C205" s="94">
        <f>'Bent Search'!$G$123</f>
        <v>8.5</v>
      </c>
      <c r="D205" s="93" t="s">
        <v>638</v>
      </c>
      <c r="E205">
        <v>123</v>
      </c>
      <c r="H205">
        <v>143</v>
      </c>
      <c r="I205" t="str">
        <v>Cmplx_Fd_PGLBm17</v>
      </c>
      <c r="J205" t="str">
        <v/>
      </c>
      <c r="K205" t="str">
        <v>Bent Search'!$G$202</v>
      </c>
      <c r="L205">
        <v>202</v>
      </c>
      <c r="P205" t="str">
        <v>Cmplx_Fd_PGLBm17 = Range("Cmplx_Fd_PGLBm17")</v>
      </c>
      <c r="R205" t="s">
        <v>209</v>
      </c>
      <c r="S205" t="str">
        <v>Range("Cmplx_Fd_PGLBm17") = wb2.Worksheets("Complex Geometry").Range("Cmplx_Fd_PGLBm17")</v>
      </c>
      <c r="V205" t="s">
        <v>209</v>
      </c>
      <c r="W205" t="str">
        <v>wb2.Worksheets("Complex Geometry").Range("Cmplx_Fd_PGLBm17") = Cmplx_Fd_PGLBm17</v>
      </c>
    </row>
    <row r="206" spans="1:23" x14ac:dyDescent="0.25">
      <c r="A206">
        <v>200</v>
      </c>
      <c r="B206" t="s">
        <v>631</v>
      </c>
      <c r="C206" s="94">
        <f>'Bent Search'!$G$124</f>
        <v>8.5</v>
      </c>
      <c r="D206" s="93" t="s">
        <v>640</v>
      </c>
      <c r="E206">
        <v>124</v>
      </c>
      <c r="H206">
        <v>144</v>
      </c>
      <c r="I206" t="str">
        <v>Cmplx_Fd_PGLBm18</v>
      </c>
      <c r="J206" t="str">
        <v/>
      </c>
      <c r="K206" t="str">
        <v>Bent Search'!$G$203</v>
      </c>
      <c r="L206">
        <v>203</v>
      </c>
      <c r="P206" t="str">
        <v>Cmplx_Fd_PGLBm18 = Range("Cmplx_Fd_PGLBm18")</v>
      </c>
      <c r="R206" t="s">
        <v>209</v>
      </c>
      <c r="S206" t="str">
        <v>Range("Cmplx_Fd_PGLBm18") = wb2.Worksheets("Complex Geometry").Range("Cmplx_Fd_PGLBm18")</v>
      </c>
      <c r="V206" t="s">
        <v>209</v>
      </c>
      <c r="W206" t="str">
        <v>wb2.Worksheets("Complex Geometry").Range("Cmplx_Fd_PGLBm18") = Cmplx_Fd_PGLBm18</v>
      </c>
    </row>
    <row r="207" spans="1:23" x14ac:dyDescent="0.25">
      <c r="A207">
        <v>201</v>
      </c>
      <c r="B207" t="s">
        <v>633</v>
      </c>
      <c r="C207">
        <f>'Bent Search'!$G$125</f>
        <v>3.5139999999999998</v>
      </c>
      <c r="D207" s="93" t="s">
        <v>604</v>
      </c>
      <c r="E207">
        <v>125</v>
      </c>
      <c r="H207">
        <v>145</v>
      </c>
      <c r="I207" t="str">
        <v>Cmplx_Fd_PGLBm19</v>
      </c>
      <c r="J207" t="str">
        <v/>
      </c>
      <c r="K207" t="str">
        <v>Bent Search'!$G$204</v>
      </c>
      <c r="L207">
        <v>204</v>
      </c>
      <c r="P207" t="str">
        <v>Cmplx_Fd_PGLBm19 = Range("Cmplx_Fd_PGLBm19")</v>
      </c>
      <c r="R207" t="s">
        <v>209</v>
      </c>
      <c r="S207" t="str">
        <v>Range("Cmplx_Fd_PGLBm19") = wb2.Worksheets("Complex Geometry").Range("Cmplx_Fd_PGLBm19")</v>
      </c>
      <c r="V207" t="s">
        <v>209</v>
      </c>
      <c r="W207" t="str">
        <v>wb2.Worksheets("Complex Geometry").Range("Cmplx_Fd_PGLBm19") = Cmplx_Fd_PGLBm19</v>
      </c>
    </row>
    <row r="208" spans="1:23" x14ac:dyDescent="0.25">
      <c r="A208">
        <v>202</v>
      </c>
      <c r="B208" t="s">
        <v>635</v>
      </c>
      <c r="C208" t="str">
        <f>'Bent Search'!$G$126</f>
        <v/>
      </c>
      <c r="D208" s="93" t="s">
        <v>606</v>
      </c>
      <c r="E208">
        <v>126</v>
      </c>
      <c r="H208">
        <v>147</v>
      </c>
      <c r="I208" t="str">
        <v>Cmplx_Fd_PGLBm20</v>
      </c>
      <c r="J208" t="str">
        <v/>
      </c>
      <c r="K208" t="str">
        <v>Bent Search'!$G$205</v>
      </c>
      <c r="L208">
        <v>205</v>
      </c>
      <c r="P208" t="str">
        <v>Cmplx_Fd_PGLBm20 = Range("Cmplx_Fd_PGLBm20")</v>
      </c>
      <c r="R208" t="s">
        <v>209</v>
      </c>
      <c r="S208" t="str">
        <v>Range("Cmplx_Fd_PGLBm20") = wb2.Worksheets("Complex Geometry").Range("Cmplx_Fd_PGLBm20")</v>
      </c>
      <c r="V208" t="s">
        <v>209</v>
      </c>
      <c r="W208" t="str">
        <v>wb2.Worksheets("Complex Geometry").Range("Cmplx_Fd_PGLBm20") = Cmplx_Fd_PGLBm20</v>
      </c>
    </row>
    <row r="209" spans="1:23" x14ac:dyDescent="0.25">
      <c r="A209">
        <v>203</v>
      </c>
      <c r="B209" t="s">
        <v>637</v>
      </c>
      <c r="C209" s="94" t="str">
        <f>'Bent Search'!$G$127</f>
        <v/>
      </c>
      <c r="D209" s="93" t="s">
        <v>608</v>
      </c>
      <c r="E209">
        <v>127</v>
      </c>
      <c r="H209">
        <v>115</v>
      </c>
      <c r="I209" t="str">
        <v>Cmplx_Fd_CCBm1</v>
      </c>
      <c r="J209">
        <v>112.54</v>
      </c>
      <c r="K209" t="str">
        <v>Bent Search'!$G$206</v>
      </c>
      <c r="L209">
        <v>206</v>
      </c>
      <c r="P209" t="str">
        <v>Cmplx_Fd_CCBm1 = Range("Cmplx_Fd_CCBm1")</v>
      </c>
      <c r="R209" t="s">
        <v>209</v>
      </c>
      <c r="S209" t="str">
        <v>Range("Cmplx_Fd_CCBm1") = wb2.Worksheets("Complex Geometry").Range("Cmplx_Fd_CCBm1")</v>
      </c>
      <c r="V209" t="s">
        <v>209</v>
      </c>
      <c r="W209" t="str">
        <v>wb2.Worksheets("Complex Geometry").Range("Cmplx_Fd_CCBm1") = Cmplx_Fd_CCBm1</v>
      </c>
    </row>
    <row r="210" spans="1:23" x14ac:dyDescent="0.25">
      <c r="A210">
        <v>204</v>
      </c>
      <c r="B210" t="s">
        <v>639</v>
      </c>
      <c r="C210" s="94" t="str">
        <f>'Bent Search'!$G$128</f>
        <v/>
      </c>
      <c r="D210" s="93" t="s">
        <v>610</v>
      </c>
      <c r="E210">
        <v>128</v>
      </c>
      <c r="H210">
        <v>126</v>
      </c>
      <c r="I210" t="str">
        <v>Cmplx_Fd_CCBm2</v>
      </c>
      <c r="J210">
        <v>112.45399999999999</v>
      </c>
      <c r="K210" t="str">
        <v>Bent Search'!$G$207</v>
      </c>
      <c r="L210">
        <v>207</v>
      </c>
      <c r="P210" t="str">
        <v>Cmplx_Fd_CCBm2 = Range("Cmplx_Fd_CCBm2")</v>
      </c>
      <c r="R210" t="s">
        <v>209</v>
      </c>
      <c r="S210" t="str">
        <v>Range("Cmplx_Fd_CCBm2") = wb2.Worksheets("Complex Geometry").Range("Cmplx_Fd_CCBm2")</v>
      </c>
      <c r="V210" t="s">
        <v>209</v>
      </c>
      <c r="W210" t="str">
        <v>wb2.Worksheets("Complex Geometry").Range("Cmplx_Fd_CCBm2") = Cmplx_Fd_CCBm2</v>
      </c>
    </row>
    <row r="211" spans="1:23" x14ac:dyDescent="0.25">
      <c r="A211">
        <v>205</v>
      </c>
      <c r="B211" t="s">
        <v>641</v>
      </c>
      <c r="C211" s="94">
        <f>'Bent Search'!$G$46</f>
        <v>3.6</v>
      </c>
      <c r="D211" s="93" t="s">
        <v>600</v>
      </c>
      <c r="E211">
        <v>46</v>
      </c>
      <c r="H211">
        <v>128</v>
      </c>
      <c r="I211" t="str">
        <v>Cmplx_Fd_CCBm3</v>
      </c>
      <c r="J211">
        <v>112.369</v>
      </c>
      <c r="K211" t="str">
        <v>Bent Search'!$G$208</v>
      </c>
      <c r="L211">
        <v>208</v>
      </c>
      <c r="P211" t="str">
        <v>Cmplx_Fd_CCBm3 = Range("Cmplx_Fd_CCBm3")</v>
      </c>
      <c r="R211" t="s">
        <v>209</v>
      </c>
      <c r="S211" t="str">
        <v>Range("Cmplx_Fd_CCBm3") = wb2.Worksheets("Complex Geometry").Range("Cmplx_Fd_CCBm3")</v>
      </c>
      <c r="V211" t="s">
        <v>209</v>
      </c>
      <c r="W211" t="str">
        <v>wb2.Worksheets("Complex Geometry").Range("Cmplx_Fd_CCBm3") = Cmplx_Fd_CCBm3</v>
      </c>
    </row>
    <row r="212" spans="1:23" x14ac:dyDescent="0.25">
      <c r="A212">
        <v>206</v>
      </c>
      <c r="B212" t="s">
        <v>643</v>
      </c>
      <c r="C212" s="94">
        <f>'Bent Search'!$G$119</f>
        <v>6</v>
      </c>
      <c r="D212" s="93" t="s">
        <v>630</v>
      </c>
      <c r="E212">
        <v>119</v>
      </c>
      <c r="H212">
        <v>129</v>
      </c>
      <c r="I212" t="str">
        <v>Cmplx_Fd_CCBm4</v>
      </c>
      <c r="J212">
        <v>112.28400000000001</v>
      </c>
      <c r="K212" t="str">
        <v>Bent Search'!$G$209</v>
      </c>
      <c r="L212">
        <v>209</v>
      </c>
      <c r="P212" t="str">
        <v>Cmplx_Fd_CCBm4 = Range("Cmplx_Fd_CCBm4")</v>
      </c>
      <c r="R212" t="s">
        <v>209</v>
      </c>
      <c r="S212" t="str">
        <v>Range("Cmplx_Fd_CCBm4") = wb2.Worksheets("Complex Geometry").Range("Cmplx_Fd_CCBm4")</v>
      </c>
      <c r="V212" t="s">
        <v>209</v>
      </c>
      <c r="W212" t="str">
        <v>wb2.Worksheets("Complex Geometry").Range("Cmplx_Fd_CCBm4") = Cmplx_Fd_CCBm4</v>
      </c>
    </row>
    <row r="213" spans="1:23" x14ac:dyDescent="0.25">
      <c r="A213">
        <v>207</v>
      </c>
      <c r="B213" t="s">
        <v>645</v>
      </c>
      <c r="C213" s="94">
        <f>'Bent Search'!$G$18</f>
        <v>1.75</v>
      </c>
      <c r="D213" s="93" t="s">
        <v>682</v>
      </c>
      <c r="E213">
        <v>18</v>
      </c>
      <c r="H213">
        <v>130</v>
      </c>
      <c r="I213" t="str">
        <v>Cmplx_Fd_CCBm5</v>
      </c>
      <c r="J213">
        <v>112.19799999999999</v>
      </c>
      <c r="K213" t="str">
        <v>Bent Search'!$G$210</v>
      </c>
      <c r="L213">
        <v>210</v>
      </c>
      <c r="P213" t="str">
        <v>Cmplx_Fd_CCBm5 = Range("Cmplx_Fd_CCBm5")</v>
      </c>
      <c r="R213" t="s">
        <v>209</v>
      </c>
      <c r="S213" t="str">
        <v>Range("Cmplx_Fd_CCBm5") = wb2.Worksheets("Complex Geometry").Range("Cmplx_Fd_CCBm5")</v>
      </c>
      <c r="V213" t="s">
        <v>209</v>
      </c>
      <c r="W213" t="str">
        <v>wb2.Worksheets("Complex Geometry").Range("Cmplx_Fd_CCBm5") = Cmplx_Fd_CCBm5</v>
      </c>
    </row>
    <row r="214" spans="1:23" x14ac:dyDescent="0.25">
      <c r="A214" s="190">
        <v>208</v>
      </c>
      <c r="B214" s="190" t="s">
        <v>647</v>
      </c>
      <c r="C214" s="191" t="str">
        <f>'Bent Search'!$G$16</f>
        <v>IV</v>
      </c>
      <c r="D214" s="192" t="s">
        <v>650</v>
      </c>
      <c r="E214" s="190">
        <v>16</v>
      </c>
      <c r="H214">
        <v>131</v>
      </c>
      <c r="I214" t="str">
        <v>Cmplx_Fd_CCBm6</v>
      </c>
      <c r="J214">
        <v>112.24299999999999</v>
      </c>
      <c r="K214" t="str">
        <v>Bent Search'!$G$211</v>
      </c>
      <c r="L214">
        <v>211</v>
      </c>
      <c r="P214" t="str">
        <v>Cmplx_Fd_CCBm6 = Range("Cmplx_Fd_CCBm6")</v>
      </c>
      <c r="R214" t="s">
        <v>209</v>
      </c>
      <c r="S214" t="str">
        <v>Range("Cmplx_Fd_CCBm6") = wb2.Worksheets("Complex Geometry").Range("Cmplx_Fd_CCBm6")</v>
      </c>
      <c r="V214" t="s">
        <v>209</v>
      </c>
      <c r="W214" t="str">
        <v>wb2.Worksheets("Complex Geometry").Range("Cmplx_Fd_CCBm6") = Cmplx_Fd_CCBm6</v>
      </c>
    </row>
    <row r="215" spans="1:23" x14ac:dyDescent="0.25">
      <c r="A215">
        <v>209</v>
      </c>
      <c r="B215" t="s">
        <v>649</v>
      </c>
      <c r="C215">
        <f>'Bent Search'!$G$17</f>
        <v>1</v>
      </c>
      <c r="D215" s="93" t="s">
        <v>646</v>
      </c>
      <c r="E215">
        <v>17</v>
      </c>
      <c r="H215">
        <v>132</v>
      </c>
      <c r="I215" t="str">
        <v>Cmplx_Fd_CCBm7</v>
      </c>
      <c r="J215" t="str">
        <v/>
      </c>
      <c r="K215" t="str">
        <v>Bent Search'!$G$212</v>
      </c>
      <c r="L215">
        <v>212</v>
      </c>
      <c r="P215" t="str">
        <v>Cmplx_Fd_CCBm7 = Range("Cmplx_Fd_CCBm7")</v>
      </c>
      <c r="R215" t="s">
        <v>209</v>
      </c>
      <c r="S215" t="str">
        <v>Range("Cmplx_Fd_CCBm7") = wb2.Worksheets("Complex Geometry").Range("Cmplx_Fd_CCBm7")</v>
      </c>
      <c r="V215" t="s">
        <v>209</v>
      </c>
      <c r="W215" t="str">
        <v>wb2.Worksheets("Complex Geometry").Range("Cmplx_Fd_CCBm7") = Cmplx_Fd_CCBm7</v>
      </c>
    </row>
    <row r="216" spans="1:23" x14ac:dyDescent="0.25">
      <c r="A216">
        <v>210</v>
      </c>
      <c r="B216" t="s">
        <v>651</v>
      </c>
      <c r="C216" s="94">
        <f>'Bent Search'!$G$28</f>
        <v>115</v>
      </c>
      <c r="D216" s="93" t="s">
        <v>695</v>
      </c>
      <c r="E216">
        <v>28</v>
      </c>
      <c r="H216">
        <v>133</v>
      </c>
      <c r="I216" t="str">
        <v>Cmplx_Fd_CCBm8</v>
      </c>
      <c r="J216" t="str">
        <v/>
      </c>
      <c r="K216" t="str">
        <v>Bent Search'!$G$213</v>
      </c>
      <c r="L216">
        <v>213</v>
      </c>
      <c r="P216" t="str">
        <v>Cmplx_Fd_CCBm8 = Range("Cmplx_Fd_CCBm8")</v>
      </c>
      <c r="R216" t="s">
        <v>209</v>
      </c>
      <c r="S216" t="str">
        <v>Range("Cmplx_Fd_CCBm8") = wb2.Worksheets("Complex Geometry").Range("Cmplx_Fd_CCBm8")</v>
      </c>
      <c r="V216" t="s">
        <v>209</v>
      </c>
      <c r="W216" t="str">
        <v>wb2.Worksheets("Complex Geometry").Range("Cmplx_Fd_CCBm8") = Cmplx_Fd_CCBm8</v>
      </c>
    </row>
    <row r="217" spans="1:23" x14ac:dyDescent="0.25">
      <c r="A217">
        <v>211</v>
      </c>
      <c r="B217" t="s">
        <v>653</v>
      </c>
      <c r="C217" s="94">
        <f>'Bent Search'!$G$54</f>
        <v>0</v>
      </c>
      <c r="D217" s="93" t="s">
        <v>380</v>
      </c>
      <c r="E217">
        <v>54</v>
      </c>
      <c r="H217">
        <v>134</v>
      </c>
      <c r="I217" t="str">
        <v>Cmplx_Fd_CCBm9</v>
      </c>
      <c r="J217" t="str">
        <v/>
      </c>
      <c r="K217" t="str">
        <v>Bent Search'!$G$214</v>
      </c>
      <c r="L217">
        <v>214</v>
      </c>
      <c r="P217" t="str">
        <v>Cmplx_Fd_CCBm9 = Range("Cmplx_Fd_CCBm9")</v>
      </c>
      <c r="R217" t="s">
        <v>209</v>
      </c>
      <c r="S217" t="str">
        <v>Range("Cmplx_Fd_CCBm9") = wb2.Worksheets("Complex Geometry").Range("Cmplx_Fd_CCBm9")</v>
      </c>
      <c r="V217" t="s">
        <v>209</v>
      </c>
      <c r="W217" t="str">
        <v>wb2.Worksheets("Complex Geometry").Range("Cmplx_Fd_CCBm9") = Cmplx_Fd_CCBm9</v>
      </c>
    </row>
    <row r="218" spans="1:23" x14ac:dyDescent="0.25">
      <c r="A218">
        <v>212</v>
      </c>
      <c r="B218" t="s">
        <v>655</v>
      </c>
      <c r="C218" s="94">
        <f>'Bent Search'!$G$9</f>
        <v>0</v>
      </c>
      <c r="D218" s="93" t="s">
        <v>658</v>
      </c>
      <c r="E218">
        <v>9</v>
      </c>
      <c r="H218">
        <v>116</v>
      </c>
      <c r="I218" t="str">
        <v>Cmplx_Fd_CCBm10</v>
      </c>
      <c r="J218" t="str">
        <v/>
      </c>
      <c r="K218" t="str">
        <v>Bent Search'!$G$215</v>
      </c>
      <c r="L218">
        <v>215</v>
      </c>
      <c r="P218" t="str">
        <v>Cmplx_Fd_CCBm10 = Range("Cmplx_Fd_CCBm10")</v>
      </c>
      <c r="R218" t="s">
        <v>209</v>
      </c>
      <c r="S218" t="str">
        <v>Range("Cmplx_Fd_CCBm10") = wb2.Worksheets("Complex Geometry").Range("Cmplx_Fd_CCBm10")</v>
      </c>
      <c r="V218" t="s">
        <v>209</v>
      </c>
      <c r="W218" t="str">
        <v>wb2.Worksheets("Complex Geometry").Range("Cmplx_Fd_CCBm10") = Cmplx_Fd_CCBm10</v>
      </c>
    </row>
    <row r="219" spans="1:23" x14ac:dyDescent="0.25">
      <c r="A219">
        <v>213</v>
      </c>
      <c r="B219" t="s">
        <v>657</v>
      </c>
      <c r="C219" s="94">
        <f>'Bent Search'!$G$10</f>
        <v>0.14000000000000001</v>
      </c>
      <c r="D219" s="93" t="s">
        <v>719</v>
      </c>
      <c r="E219">
        <v>10</v>
      </c>
      <c r="H219">
        <v>117</v>
      </c>
      <c r="I219" t="str">
        <v>Cmplx_Fd_CCBm11</v>
      </c>
      <c r="J219" t="str">
        <v/>
      </c>
      <c r="K219" t="str">
        <v>Bent Search'!$G$216</v>
      </c>
      <c r="L219">
        <v>216</v>
      </c>
      <c r="P219" t="str">
        <v>Cmplx_Fd_CCBm11 = Range("Cmplx_Fd_CCBm11")</v>
      </c>
      <c r="R219" t="s">
        <v>209</v>
      </c>
      <c r="S219" t="str">
        <v>Range("Cmplx_Fd_CCBm11") = wb2.Worksheets("Complex Geometry").Range("Cmplx_Fd_CCBm11")</v>
      </c>
      <c r="V219" t="s">
        <v>209</v>
      </c>
      <c r="W219" t="str">
        <v>wb2.Worksheets("Complex Geometry").Range("Cmplx_Fd_CCBm11") = Cmplx_Fd_CCBm11</v>
      </c>
    </row>
    <row r="220" spans="1:23" x14ac:dyDescent="0.25">
      <c r="A220">
        <v>214</v>
      </c>
      <c r="B220" t="s">
        <v>659</v>
      </c>
      <c r="C220">
        <f>'Bent Search'!$G$47</f>
        <v>60</v>
      </c>
      <c r="D220" s="93" t="s">
        <v>348</v>
      </c>
      <c r="E220">
        <v>47</v>
      </c>
      <c r="H220">
        <v>118</v>
      </c>
      <c r="I220" t="str">
        <v>Cmplx_Fd_CCBm12</v>
      </c>
      <c r="J220" t="str">
        <v/>
      </c>
      <c r="K220" t="str">
        <v>Bent Search'!$G$217</v>
      </c>
      <c r="L220">
        <v>217</v>
      </c>
      <c r="P220" t="str">
        <v>Cmplx_Fd_CCBm12 = Range("Cmplx_Fd_CCBm12")</v>
      </c>
      <c r="R220" t="s">
        <v>209</v>
      </c>
      <c r="S220" t="str">
        <v>Range("Cmplx_Fd_CCBm12") = wb2.Worksheets("Complex Geometry").Range("Cmplx_Fd_CCBm12")</v>
      </c>
      <c r="V220" t="s">
        <v>209</v>
      </c>
      <c r="W220" t="str">
        <v>wb2.Worksheets("Complex Geometry").Range("Cmplx_Fd_CCBm12") = Cmplx_Fd_CCBm12</v>
      </c>
    </row>
    <row r="221" spans="1:23" x14ac:dyDescent="0.25">
      <c r="A221">
        <v>215</v>
      </c>
      <c r="B221" t="s">
        <v>1116</v>
      </c>
      <c r="C221" s="94" t="b">
        <f>'Bent Search'!$G$74</f>
        <v>0</v>
      </c>
      <c r="D221" s="93" t="s">
        <v>304</v>
      </c>
      <c r="E221">
        <v>74</v>
      </c>
      <c r="H221">
        <v>119</v>
      </c>
      <c r="I221" t="str">
        <v>Cmplx_Fd_CCBm13</v>
      </c>
      <c r="J221" t="str">
        <v/>
      </c>
      <c r="K221" t="str">
        <v>Bent Search'!$G$218</v>
      </c>
      <c r="L221">
        <v>218</v>
      </c>
      <c r="P221" t="str">
        <v>Cmplx_Fd_CCBm13 = Range("Cmplx_Fd_CCBm13")</v>
      </c>
      <c r="R221" t="s">
        <v>209</v>
      </c>
      <c r="S221" t="str">
        <v>Range("Cmplx_Fd_CCBm13") = wb2.Worksheets("Complex Geometry").Range("Cmplx_Fd_CCBm13")</v>
      </c>
      <c r="V221" t="s">
        <v>209</v>
      </c>
      <c r="W221" t="str">
        <v>wb2.Worksheets("Complex Geometry").Range("Cmplx_Fd_CCBm13") = Cmplx_Fd_CCBm13</v>
      </c>
    </row>
    <row r="222" spans="1:23" x14ac:dyDescent="0.25">
      <c r="A222">
        <v>216</v>
      </c>
      <c r="B222" t="s">
        <v>1117</v>
      </c>
      <c r="C222" s="94">
        <f>'Bent Search'!$G$231</f>
        <v>0.5</v>
      </c>
      <c r="D222" s="93" t="s">
        <v>1118</v>
      </c>
      <c r="E222">
        <v>231</v>
      </c>
      <c r="H222">
        <v>120</v>
      </c>
      <c r="I222" t="str">
        <v>Cmplx_Fd_CCBm14</v>
      </c>
      <c r="J222" t="str">
        <v/>
      </c>
      <c r="K222" t="str">
        <v>Bent Search'!$G$219</v>
      </c>
      <c r="L222">
        <v>219</v>
      </c>
      <c r="P222" t="str">
        <v>Cmplx_Fd_CCBm14 = Range("Cmplx_Fd_CCBm14")</v>
      </c>
      <c r="R222" t="s">
        <v>209</v>
      </c>
      <c r="S222" t="str">
        <v>Range("Cmplx_Fd_CCBm14") = wb2.Worksheets("Complex Geometry").Range("Cmplx_Fd_CCBm14")</v>
      </c>
      <c r="V222" t="s">
        <v>209</v>
      </c>
      <c r="W222" t="str">
        <v>wb2.Worksheets("Complex Geometry").Range("Cmplx_Fd_CCBm14") = Cmplx_Fd_CCBm14</v>
      </c>
    </row>
    <row r="223" spans="1:23" x14ac:dyDescent="0.25">
      <c r="A223">
        <v>217</v>
      </c>
      <c r="B223" t="s">
        <v>1119</v>
      </c>
      <c r="C223" s="94" t="b">
        <f>'Bent Search'!$G$234</f>
        <v>1</v>
      </c>
      <c r="D223" s="93" t="s">
        <v>1120</v>
      </c>
      <c r="E223">
        <v>234</v>
      </c>
      <c r="H223">
        <v>121</v>
      </c>
      <c r="I223" t="str">
        <v>Cmplx_Fd_CCBm15</v>
      </c>
      <c r="J223" t="str">
        <v/>
      </c>
      <c r="K223" t="str">
        <v>Bent Search'!$G$220</v>
      </c>
      <c r="L223">
        <v>220</v>
      </c>
      <c r="P223" t="str">
        <v>Cmplx_Fd_CCBm15 = Range("Cmplx_Fd_CCBm15")</v>
      </c>
      <c r="R223" t="s">
        <v>209</v>
      </c>
      <c r="S223" t="str">
        <v>Range("Cmplx_Fd_CCBm15") = wb2.Worksheets("Complex Geometry").Range("Cmplx_Fd_CCBm15")</v>
      </c>
      <c r="V223" t="s">
        <v>209</v>
      </c>
      <c r="W223" t="str">
        <v>wb2.Worksheets("Complex Geometry").Range("Cmplx_Fd_CCBm15") = Cmplx_Fd_CCBm15</v>
      </c>
    </row>
    <row r="224" spans="1:23" x14ac:dyDescent="0.25">
      <c r="A224">
        <v>218</v>
      </c>
      <c r="B224" t="s">
        <v>1121</v>
      </c>
      <c r="C224" s="94" t="b">
        <f>'Bent Search'!$G$236</f>
        <v>1</v>
      </c>
      <c r="D224" s="93" t="s">
        <v>1122</v>
      </c>
      <c r="E224">
        <v>236</v>
      </c>
      <c r="H224">
        <v>122</v>
      </c>
      <c r="I224" t="str">
        <v>Cmplx_Fd_CCBm16</v>
      </c>
      <c r="J224" t="str">
        <v/>
      </c>
      <c r="K224" t="str">
        <v>Bent Search'!$G$221</v>
      </c>
      <c r="L224">
        <v>221</v>
      </c>
      <c r="P224" t="str">
        <v>Cmplx_Fd_CCBm16 = Range("Cmplx_Fd_CCBm16")</v>
      </c>
      <c r="R224" t="s">
        <v>209</v>
      </c>
      <c r="S224" t="str">
        <v>Range("Cmplx_Fd_CCBm16") = wb2.Worksheets("Complex Geometry").Range("Cmplx_Fd_CCBm16")</v>
      </c>
      <c r="V224" t="s">
        <v>209</v>
      </c>
      <c r="W224" t="str">
        <v>wb2.Worksheets("Complex Geometry").Range("Cmplx_Fd_CCBm16") = Cmplx_Fd_CCBm16</v>
      </c>
    </row>
    <row r="225" spans="1:23" x14ac:dyDescent="0.25">
      <c r="A225">
        <v>219</v>
      </c>
      <c r="B225" t="s">
        <v>1123</v>
      </c>
      <c r="C225" s="94">
        <f>'Bent Search'!$G$256</f>
        <v>275.21342716603323</v>
      </c>
      <c r="D225" s="93" t="s">
        <v>1124</v>
      </c>
      <c r="E225">
        <v>256</v>
      </c>
      <c r="H225">
        <v>123</v>
      </c>
      <c r="I225" t="str">
        <v>Cmplx_Fd_CCBm17</v>
      </c>
      <c r="J225" t="str">
        <v/>
      </c>
      <c r="K225" t="str">
        <v>Bent Search'!$G$222</v>
      </c>
      <c r="L225">
        <v>222</v>
      </c>
      <c r="P225" t="str">
        <v>Cmplx_Fd_CCBm17 = Range("Cmplx_Fd_CCBm17")</v>
      </c>
      <c r="R225" t="s">
        <v>209</v>
      </c>
      <c r="S225" t="str">
        <v>Range("Cmplx_Fd_CCBm17") = wb2.Worksheets("Complex Geometry").Range("Cmplx_Fd_CCBm17")</v>
      </c>
      <c r="V225" t="s">
        <v>209</v>
      </c>
      <c r="W225" t="str">
        <v>wb2.Worksheets("Complex Geometry").Range("Cmplx_Fd_CCBm17") = Cmplx_Fd_CCBm17</v>
      </c>
    </row>
    <row r="226" spans="1:23" x14ac:dyDescent="0.25">
      <c r="A226">
        <v>220</v>
      </c>
      <c r="B226" t="s">
        <v>661</v>
      </c>
      <c r="C226" s="94">
        <f>'Bent Search'!$G$57</f>
        <v>63</v>
      </c>
      <c r="D226" s="93" t="s">
        <v>374</v>
      </c>
      <c r="E226">
        <v>57</v>
      </c>
      <c r="H226">
        <v>124</v>
      </c>
      <c r="I226" t="str">
        <v>Cmplx_Fd_CCBm18</v>
      </c>
      <c r="J226" t="str">
        <v/>
      </c>
      <c r="K226" t="str">
        <v>Bent Search'!$G$223</v>
      </c>
      <c r="L226">
        <v>223</v>
      </c>
      <c r="P226" t="str">
        <v>Cmplx_Fd_CCBm18 = Range("Cmplx_Fd_CCBm18")</v>
      </c>
      <c r="R226" t="s">
        <v>209</v>
      </c>
      <c r="S226" t="str">
        <v>Range("Cmplx_Fd_CCBm18") = wb2.Worksheets("Complex Geometry").Range("Cmplx_Fd_CCBm18")</v>
      </c>
      <c r="V226" t="s">
        <v>209</v>
      </c>
      <c r="W226" t="str">
        <v>wb2.Worksheets("Complex Geometry").Range("Cmplx_Fd_CCBm18") = Cmplx_Fd_CCBm18</v>
      </c>
    </row>
    <row r="227" spans="1:23" x14ac:dyDescent="0.25">
      <c r="A227">
        <v>221</v>
      </c>
      <c r="B227" t="s">
        <v>1125</v>
      </c>
      <c r="C227" t="str">
        <f>'Bent Search'!$F$2</f>
        <v>InvT_LRFD_v5.00_sarah.xlsm</v>
      </c>
      <c r="D227" s="93" t="s">
        <v>1126</v>
      </c>
      <c r="E227" t="e">
        <v>#VALUE!</v>
      </c>
      <c r="H227">
        <v>125</v>
      </c>
      <c r="I227" t="str">
        <v>Cmplx_Fd_CCBm19</v>
      </c>
      <c r="J227" t="str">
        <v/>
      </c>
      <c r="K227" t="str">
        <v>Bent Search'!$G$224</v>
      </c>
      <c r="L227">
        <v>224</v>
      </c>
      <c r="P227" t="str">
        <v>Cmplx_Fd_CCBm19 = Range("Cmplx_Fd_CCBm19")</v>
      </c>
      <c r="R227" t="s">
        <v>209</v>
      </c>
      <c r="S227" t="str">
        <v>Range("Cmplx_Fd_CCBm19") = wb2.Worksheets("Complex Geometry").Range("Cmplx_Fd_CCBm19")</v>
      </c>
      <c r="V227" t="s">
        <v>209</v>
      </c>
      <c r="W227" t="str">
        <v>wb2.Worksheets("Complex Geometry").Range("Cmplx_Fd_CCBm19") = Cmplx_Fd_CCBm19</v>
      </c>
    </row>
    <row r="228" spans="1:23" x14ac:dyDescent="0.25">
      <c r="A228">
        <v>222</v>
      </c>
      <c r="B228" t="s">
        <v>1127</v>
      </c>
      <c r="C228" t="str">
        <f>'Bent Search'!$G$226</f>
        <v>No</v>
      </c>
      <c r="D228" s="93" t="s">
        <v>1128</v>
      </c>
      <c r="E228">
        <v>226</v>
      </c>
      <c r="H228">
        <v>127</v>
      </c>
      <c r="I228" t="str">
        <v>Cmplx_Fd_CCBm20</v>
      </c>
      <c r="J228" t="str">
        <v/>
      </c>
      <c r="K228" t="str">
        <v>Bent Search'!$G$225</v>
      </c>
      <c r="L228">
        <v>225</v>
      </c>
      <c r="P228" t="str">
        <v>Cmplx_Fd_CCBm20 = Range("Cmplx_Fd_CCBm20")</v>
      </c>
      <c r="R228" t="s">
        <v>209</v>
      </c>
      <c r="S228" t="str">
        <v>Range("Cmplx_Fd_CCBm20") = wb2.Worksheets("Complex Geometry").Range("Cmplx_Fd_CCBm20")</v>
      </c>
      <c r="V228" t="s">
        <v>209</v>
      </c>
      <c r="W228" t="str">
        <v>wb2.Worksheets("Complex Geometry").Range("Cmplx_Fd_CCBm20") = Cmplx_Fd_CCBm20</v>
      </c>
    </row>
    <row r="229" spans="1:23" x14ac:dyDescent="0.25">
      <c r="A229">
        <v>223</v>
      </c>
      <c r="B229" t="s">
        <v>1129</v>
      </c>
      <c r="C229" t="b">
        <f>'Bent Search'!$A$5</f>
        <v>1</v>
      </c>
      <c r="D229" s="93" t="s">
        <v>1130</v>
      </c>
      <c r="E229" t="e">
        <v>#VALUE!</v>
      </c>
      <c r="H229">
        <v>222</v>
      </c>
      <c r="I229" t="str">
        <v>IsPedestalContinuous</v>
      </c>
      <c r="J229" t="str">
        <v>No</v>
      </c>
      <c r="K229" t="str">
        <v>Bent Search'!$G$226</v>
      </c>
      <c r="L229">
        <v>226</v>
      </c>
      <c r="P229" t="str">
        <v>IsPedestalContinuous = Range("IsPedestalContinuous")</v>
      </c>
      <c r="R229" t="s">
        <v>1139</v>
      </c>
      <c r="S229" t="str">
        <v>Range("IsPedestalContinuous") = wb2.Worksheets("Conc DL").Range("IsPedestalContinuous")</v>
      </c>
      <c r="V229" t="s">
        <v>1139</v>
      </c>
      <c r="W229" t="str">
        <v>wb2.Worksheets("Conc DL").Range("IsPedestalContinuous") = IsPedestalContinuous</v>
      </c>
    </row>
    <row r="230" spans="1:23" x14ac:dyDescent="0.25">
      <c r="A230">
        <v>224</v>
      </c>
      <c r="B230" t="s">
        <v>1131</v>
      </c>
      <c r="C230">
        <f>'Bent Search'!$G$227</f>
        <v>0</v>
      </c>
      <c r="D230" s="93" t="s">
        <v>1132</v>
      </c>
      <c r="E230">
        <v>227</v>
      </c>
      <c r="H230">
        <v>224</v>
      </c>
      <c r="I230" t="str">
        <v>MiscCapWt</v>
      </c>
      <c r="J230">
        <v>0</v>
      </c>
      <c r="K230" t="str">
        <v>Bent Search'!$G$227</v>
      </c>
      <c r="L230">
        <v>227</v>
      </c>
      <c r="P230" t="str">
        <v>MiscCapWt = Range("MiscCapWt")</v>
      </c>
      <c r="R230" t="s">
        <v>1139</v>
      </c>
      <c r="S230" t="str">
        <v>Range("MiscCapWt") = wb2.Worksheets("Conc DL").Range("MiscCapWt")</v>
      </c>
      <c r="V230" t="s">
        <v>1139</v>
      </c>
      <c r="W230" t="str">
        <v>wb2.Worksheets("Conc DL").Range("MiscCapWt") = MiscCapWt</v>
      </c>
    </row>
    <row r="231" spans="1:23" x14ac:dyDescent="0.25">
      <c r="A231">
        <v>225</v>
      </c>
      <c r="B231" t="s">
        <v>1133</v>
      </c>
      <c r="C231" t="str">
        <f>'Bent Search'!$F$1</f>
        <v>I_LRFD_Cap_Dsnr_V8.0sarah.xlsm</v>
      </c>
      <c r="D231" s="93" t="s">
        <v>1134</v>
      </c>
      <c r="E231" t="e">
        <v>#VALUE!</v>
      </c>
      <c r="H231">
        <v>3</v>
      </c>
      <c r="I231" t="str">
        <v>addl_DC_P</v>
      </c>
      <c r="J231">
        <v>0</v>
      </c>
      <c r="K231" t="str">
        <v>Bent Search'!$G$228</v>
      </c>
      <c r="L231">
        <v>228</v>
      </c>
      <c r="P231" t="str">
        <v>addl_DC_P = Range("addl_DC_P")</v>
      </c>
      <c r="R231" t="s">
        <v>1140</v>
      </c>
      <c r="S231" t="str">
        <v>Range("addl_DC_P") = wb2.Worksheets("Dead Load Moment").Range("addl_DC_P")</v>
      </c>
      <c r="V231" t="s">
        <v>1140</v>
      </c>
      <c r="W231" t="str">
        <v>wb2.Worksheets("Dead Load Moment").Range("addl_DC_P") = addl_DC_P</v>
      </c>
    </row>
    <row r="232" spans="1:23" x14ac:dyDescent="0.25">
      <c r="A232">
        <v>226</v>
      </c>
      <c r="B232" t="s">
        <v>663</v>
      </c>
      <c r="C232">
        <f>'Bent Search'!$G$78</f>
        <v>3</v>
      </c>
      <c r="D232" s="93" t="s">
        <v>578</v>
      </c>
      <c r="E232">
        <v>78</v>
      </c>
      <c r="H232">
        <v>1</v>
      </c>
      <c r="I232" t="str">
        <v>addl_DC_M</v>
      </c>
      <c r="J232">
        <v>0</v>
      </c>
      <c r="K232" t="str">
        <v>Bent Search'!$G$229</v>
      </c>
      <c r="L232">
        <v>229</v>
      </c>
      <c r="P232" t="str">
        <v>addl_DC_M = Range("addl_DC_M")</v>
      </c>
      <c r="R232" t="s">
        <v>1140</v>
      </c>
      <c r="S232" t="str">
        <v>Range("addl_DC_M") = wb2.Worksheets("Dead Load Moment").Range("addl_DC_M")</v>
      </c>
      <c r="V232" t="s">
        <v>1140</v>
      </c>
      <c r="W232" t="str">
        <v>wb2.Worksheets("Dead Load Moment").Range("addl_DC_M") = addl_DC_M</v>
      </c>
    </row>
    <row r="233" spans="1:23" x14ac:dyDescent="0.25">
      <c r="A233">
        <v>227</v>
      </c>
      <c r="B233" t="s">
        <v>665</v>
      </c>
      <c r="C233">
        <f>'Bent Search'!$G$81</f>
        <v>1</v>
      </c>
      <c r="D233" s="93" t="s">
        <v>376</v>
      </c>
      <c r="E233">
        <v>81</v>
      </c>
      <c r="H233">
        <v>2</v>
      </c>
      <c r="I233" t="str">
        <v>addl_DC_Mx</v>
      </c>
      <c r="J233">
        <v>0</v>
      </c>
      <c r="K233" t="str">
        <v>Bent Search'!$G$230</v>
      </c>
      <c r="L233">
        <v>230</v>
      </c>
      <c r="P233" t="str">
        <v>addl_DC_Mx = Range("addl_DC_Mx")</v>
      </c>
      <c r="R233" t="s">
        <v>1140</v>
      </c>
      <c r="S233" t="str">
        <v>Range("addl_DC_Mx") = wb2.Worksheets("Dead Load Moment").Range("addl_DC_Mx")</v>
      </c>
      <c r="V233" t="s">
        <v>1140</v>
      </c>
      <c r="W233" t="str">
        <v>wb2.Worksheets("Dead Load Moment").Range("addl_DC_Mx") = addl_DC_Mx</v>
      </c>
    </row>
    <row r="234" spans="1:23" x14ac:dyDescent="0.25">
      <c r="A234">
        <v>228</v>
      </c>
      <c r="B234" t="s">
        <v>667</v>
      </c>
      <c r="C234" s="94">
        <f>'Bent Search'!$G$55</f>
        <v>0</v>
      </c>
      <c r="D234" s="93" t="s">
        <v>662</v>
      </c>
      <c r="E234">
        <v>55</v>
      </c>
      <c r="H234">
        <v>216</v>
      </c>
      <c r="I234" t="str">
        <v>InputIncrement</v>
      </c>
      <c r="J234">
        <v>0.5</v>
      </c>
      <c r="K234" t="str">
        <v>Bent Search'!$G$231</v>
      </c>
      <c r="L234">
        <v>231</v>
      </c>
      <c r="P234" t="str">
        <v>InputIncrement = Range("InputIncrement")</v>
      </c>
      <c r="R234" t="s">
        <v>1141</v>
      </c>
      <c r="S234" t="str">
        <v>Range("InputIncrement") = wb2.Worksheets("CAP18 Input").Range("InputIncrement")</v>
      </c>
      <c r="V234" t="s">
        <v>1141</v>
      </c>
      <c r="W234" t="str">
        <v>wb2.Worksheets("CAP18 Input").Range("InputIncrement") = InputIncrement</v>
      </c>
    </row>
    <row r="235" spans="1:23" x14ac:dyDescent="0.25">
      <c r="A235">
        <v>229</v>
      </c>
      <c r="B235" t="s">
        <v>669</v>
      </c>
      <c r="C235">
        <f>'Bent Search'!$G$23</f>
        <v>2.8333333333333335</v>
      </c>
      <c r="D235" s="93" t="s">
        <v>676</v>
      </c>
      <c r="E235">
        <v>23</v>
      </c>
      <c r="H235">
        <v>65</v>
      </c>
      <c r="I235" t="str">
        <v>CAP18NegMomLocation</v>
      </c>
      <c r="J235" t="str">
        <v>Force at Face of Column</v>
      </c>
      <c r="K235" t="str">
        <v>Bent Search'!$G$232</v>
      </c>
      <c r="L235">
        <v>232</v>
      </c>
      <c r="P235" t="str">
        <v>CAP18NegMomLocation = Range("CAP18NegMomLocation")</v>
      </c>
      <c r="R235" t="s">
        <v>1142</v>
      </c>
      <c r="S235" t="str">
        <v>Range("CAP18NegMomLocation") = wb2.Worksheets("CAP18 Out(1)").Range("CAP18NegMomLocation")</v>
      </c>
      <c r="V235" t="s">
        <v>1142</v>
      </c>
      <c r="W235" t="str">
        <v>wb2.Worksheets("CAP18 Out(1)").Range("CAP18NegMomLocation") = CAP18NegMomLocation</v>
      </c>
    </row>
    <row r="236" spans="1:23" x14ac:dyDescent="0.25">
      <c r="A236">
        <v>230</v>
      </c>
      <c r="B236" t="s">
        <v>671</v>
      </c>
      <c r="C236">
        <f>'Bent Search'!$G$21</f>
        <v>2.8333333333333335</v>
      </c>
      <c r="D236" s="93" t="s">
        <v>674</v>
      </c>
      <c r="E236">
        <v>21</v>
      </c>
      <c r="H236">
        <v>183</v>
      </c>
      <c r="I236" t="str">
        <v>ExGirConsideredSC</v>
      </c>
      <c r="J236" t="str">
        <v>Left</v>
      </c>
      <c r="K236" t="str">
        <v>Bent Search'!$G$233</v>
      </c>
      <c r="L236">
        <v>233</v>
      </c>
      <c r="P236" t="str">
        <v>ExGirConsideredSC = Range("ExGirConsideredSC")</v>
      </c>
      <c r="R236" t="s">
        <v>1145</v>
      </c>
      <c r="S236" t="str">
        <v>Range("ExGirConsideredSC") = wb2.Worksheets("Inv Tee-SC").Range("ExGirConsideredSC")</v>
      </c>
      <c r="V236" t="s">
        <v>1145</v>
      </c>
      <c r="W236" t="str">
        <v>wb2.Worksheets("Inv Tee-SC").Range("ExGirConsideredSC") = ExGirConsideredSC</v>
      </c>
    </row>
    <row r="237" spans="1:23" x14ac:dyDescent="0.25">
      <c r="A237">
        <v>231</v>
      </c>
      <c r="B237" t="s">
        <v>673</v>
      </c>
      <c r="C237">
        <f>'Bent Search'!$G$22</f>
        <v>2.8333333333333335</v>
      </c>
      <c r="D237" s="93" t="s">
        <v>670</v>
      </c>
      <c r="E237">
        <v>22</v>
      </c>
      <c r="H237">
        <v>217</v>
      </c>
      <c r="I237" t="str">
        <v>INTBMLLDF</v>
      </c>
      <c r="J237" t="b">
        <v>1</v>
      </c>
      <c r="K237" t="str">
        <v>Bent Search'!$G$234</v>
      </c>
      <c r="L237">
        <v>234</v>
      </c>
      <c r="P237" t="str">
        <v>INTBMLLDF = Range("INTBMLLDF")</v>
      </c>
      <c r="R237" t="s">
        <v>1145</v>
      </c>
      <c r="S237" t="str">
        <v>Range("INTBMLLDF") = wb2.Worksheets("Inv Tee-SC").Range("INTBMLLDF")</v>
      </c>
      <c r="V237" t="s">
        <v>1145</v>
      </c>
      <c r="W237" t="str">
        <v>wb2.Worksheets("Inv Tee-SC").Range("INTBMLLDF") = INTBMLLDF</v>
      </c>
    </row>
    <row r="238" spans="1:23" x14ac:dyDescent="0.25">
      <c r="A238">
        <v>232</v>
      </c>
      <c r="B238" t="s">
        <v>675</v>
      </c>
      <c r="C238">
        <f>'Bent Search'!$G$24</f>
        <v>2.8333333333333335</v>
      </c>
      <c r="D238" s="93" t="s">
        <v>709</v>
      </c>
      <c r="E238">
        <v>24</v>
      </c>
      <c r="H238">
        <v>182</v>
      </c>
      <c r="I238" t="str">
        <v>ExGirConsidered</v>
      </c>
      <c r="J238" t="str">
        <v>Left</v>
      </c>
      <c r="K238" t="str">
        <v>Bent Search'!$G$235</v>
      </c>
      <c r="L238">
        <v>235</v>
      </c>
      <c r="P238" t="str">
        <v>ExGirConsidered = Range("ExGirConsidered")</v>
      </c>
      <c r="R238" t="s">
        <v>1146</v>
      </c>
      <c r="S238" t="str">
        <v>Range("ExGirConsidered") = wb2.Worksheets("Inv Tee").Range("ExGirConsidered")</v>
      </c>
      <c r="V238" t="s">
        <v>1146</v>
      </c>
      <c r="W238" t="str">
        <v>wb2.Worksheets("Inv Tee").Range("ExGirConsidered") = ExGirConsidered</v>
      </c>
    </row>
    <row r="239" spans="1:23" x14ac:dyDescent="0.25">
      <c r="A239">
        <v>233</v>
      </c>
      <c r="B239" t="s">
        <v>677</v>
      </c>
      <c r="C239" s="94">
        <f>'Bent Search'!$G$15</f>
        <v>1</v>
      </c>
      <c r="D239" s="93" t="s">
        <v>648</v>
      </c>
      <c r="E239">
        <v>15</v>
      </c>
      <c r="H239">
        <v>218</v>
      </c>
      <c r="I239" t="str">
        <v>INTBMLLDFMC</v>
      </c>
      <c r="J239" t="b">
        <v>1</v>
      </c>
      <c r="K239" t="str">
        <v>Bent Search'!$G$236</v>
      </c>
      <c r="L239">
        <v>236</v>
      </c>
      <c r="P239" t="str">
        <v>INTBMLLDFMC = Range("INTBMLLDFMC")</v>
      </c>
      <c r="R239" t="s">
        <v>1146</v>
      </c>
      <c r="S239" t="str">
        <v>Range("INTBMLLDFMC") = wb2.Worksheets("Inv Tee").Range("INTBMLLDFMC")</v>
      </c>
      <c r="V239" t="s">
        <v>1146</v>
      </c>
      <c r="W239" t="str">
        <v>wb2.Worksheets("Inv Tee").Range("INTBMLLDFMC") = INTBMLLDFMC</v>
      </c>
    </row>
    <row r="240" spans="1:23" x14ac:dyDescent="0.25">
      <c r="A240">
        <v>234</v>
      </c>
      <c r="B240" t="s">
        <v>679</v>
      </c>
      <c r="C240" s="94">
        <f>'Bent Search'!$G$20</f>
        <v>-6.833333333333333</v>
      </c>
      <c r="D240" s="93" t="s">
        <v>672</v>
      </c>
      <c r="E240">
        <v>20</v>
      </c>
      <c r="H240">
        <v>6</v>
      </c>
      <c r="I240" t="str">
        <v>addl_LL_P</v>
      </c>
      <c r="J240">
        <v>0</v>
      </c>
      <c r="K240" t="str">
        <v>Bent Search'!$G$237</v>
      </c>
      <c r="L240">
        <v>237</v>
      </c>
      <c r="P240" t="str">
        <v>addl_LL_P = Range("addl_LL_P")</v>
      </c>
      <c r="R240" t="s">
        <v>1147</v>
      </c>
      <c r="S240" t="str">
        <v>Range("addl_LL_P") = wb2.Worksheets("Live Load on Column").Range("addl_LL_P")</v>
      </c>
      <c r="V240" t="s">
        <v>1147</v>
      </c>
      <c r="W240" t="str">
        <v>wb2.Worksheets("Live Load on Column").Range("addl_LL_P") = addl_LL_P</v>
      </c>
    </row>
    <row r="241" spans="1:23" x14ac:dyDescent="0.25">
      <c r="A241">
        <v>235</v>
      </c>
      <c r="B241" t="s">
        <v>681</v>
      </c>
      <c r="C241">
        <f>'Bent Search'!$G$19</f>
        <v>0</v>
      </c>
      <c r="D241" s="93" t="s">
        <v>680</v>
      </c>
      <c r="E241">
        <v>19</v>
      </c>
      <c r="H241">
        <v>5</v>
      </c>
      <c r="I241" t="str">
        <v>addl_Ll_My</v>
      </c>
      <c r="J241">
        <v>0</v>
      </c>
      <c r="K241" t="str">
        <v>Bent Search'!$G$238</v>
      </c>
      <c r="L241">
        <v>238</v>
      </c>
      <c r="P241" t="str">
        <v>addl_Ll_My = Range("addl_Ll_My")</v>
      </c>
      <c r="R241" t="s">
        <v>1147</v>
      </c>
      <c r="S241" t="str">
        <v>Range("addl_Ll_My") = wb2.Worksheets("Live Load on Column").Range("addl_Ll_My")</v>
      </c>
      <c r="V241" t="s">
        <v>1147</v>
      </c>
      <c r="W241" t="str">
        <v>wb2.Worksheets("Live Load on Column").Range("addl_Ll_My") = addl_Ll_My</v>
      </c>
    </row>
    <row r="242" spans="1:23" x14ac:dyDescent="0.25">
      <c r="A242">
        <v>236</v>
      </c>
      <c r="B242" s="93" t="s">
        <v>1135</v>
      </c>
      <c r="C242" t="e">
        <f>'Bent Search'!$M$3:$AH$153</f>
        <v>#VALUE!</v>
      </c>
      <c r="D242" s="93" t="s">
        <v>1136</v>
      </c>
      <c r="E242" t="e">
        <v>#VALUE!</v>
      </c>
      <c r="H242">
        <v>4</v>
      </c>
      <c r="I242" t="str">
        <v>addl_LL_Mx</v>
      </c>
      <c r="J242">
        <v>0</v>
      </c>
      <c r="K242" t="str">
        <v>Bent Search'!$G$239</v>
      </c>
      <c r="L242">
        <v>239</v>
      </c>
      <c r="P242" t="str">
        <v>addl_LL_Mx = Range("addl_LL_Mx")</v>
      </c>
      <c r="R242" t="s">
        <v>1147</v>
      </c>
      <c r="S242" t="str">
        <v>Range("addl_LL_Mx") = wb2.Worksheets("Live Load on Column").Range("addl_LL_Mx")</v>
      </c>
      <c r="V242" t="s">
        <v>1147</v>
      </c>
      <c r="W242" t="str">
        <v>wb2.Worksheets("Live Load on Column").Range("addl_LL_Mx") = addl_LL_Mx</v>
      </c>
    </row>
    <row r="243" spans="1:23" x14ac:dyDescent="0.25">
      <c r="A243">
        <v>237</v>
      </c>
      <c r="B243" t="s">
        <v>683</v>
      </c>
      <c r="C243" t="str">
        <f>'Bent Search'!$G$4</f>
        <v>Bent 75R</v>
      </c>
      <c r="D243" s="93" t="s">
        <v>584</v>
      </c>
      <c r="E243">
        <v>4</v>
      </c>
      <c r="H243">
        <v>58</v>
      </c>
      <c r="I243" t="str">
        <v>BR_Neglect</v>
      </c>
      <c r="J243" t="str">
        <v>Consider only the 5% of Truck + lane load in accordance with the TxDOT LRFD BDM</v>
      </c>
      <c r="K243" t="str">
        <v>Bent Search'!$G$240</v>
      </c>
      <c r="L243">
        <v>240</v>
      </c>
      <c r="P243" t="str">
        <v>BR_Neglect = Range("BR_Neglect")</v>
      </c>
      <c r="R243" t="s">
        <v>1148</v>
      </c>
      <c r="S243" t="str">
        <v>Range("BR_Neglect") = wb2.Worksheets("CE &amp; BR").Range("BR_Neglect")</v>
      </c>
      <c r="V243" t="s">
        <v>1148</v>
      </c>
      <c r="W243" t="str">
        <v>wb2.Worksheets("CE &amp; BR").Range("BR_Neglect") = BR_Neglect</v>
      </c>
    </row>
    <row r="244" spans="1:23" x14ac:dyDescent="0.25">
      <c r="A244">
        <v>238</v>
      </c>
      <c r="B244" t="s">
        <v>684</v>
      </c>
      <c r="C244" t="str">
        <f>'Bent Search'!$G$32</f>
        <v>None</v>
      </c>
      <c r="D244" s="93" t="s">
        <v>687</v>
      </c>
      <c r="E244">
        <v>32</v>
      </c>
      <c r="H244">
        <v>176</v>
      </c>
      <c r="I244" t="str">
        <v>DesignWindSpeed</v>
      </c>
      <c r="J244">
        <v>115</v>
      </c>
      <c r="K244" t="str">
        <v>Bent Search'!$G$241</v>
      </c>
      <c r="L244">
        <v>241</v>
      </c>
      <c r="P244" t="str">
        <v>DesignWindSpeed = Range("DesignWindSpeed")</v>
      </c>
      <c r="R244" t="s">
        <v>1149</v>
      </c>
      <c r="S244" t="str">
        <v>Range("DesignWindSpeed") = wb2.Worksheets("Wind Loads").Range("DesignWindSpeed")</v>
      </c>
      <c r="V244" t="s">
        <v>1149</v>
      </c>
      <c r="W244" t="str">
        <v>wb2.Worksheets("Wind Loads").Range("DesignWindSpeed") = DesignWindSpeed</v>
      </c>
    </row>
    <row r="245" spans="1:23" x14ac:dyDescent="0.25">
      <c r="A245">
        <v>239</v>
      </c>
      <c r="B245" t="s">
        <v>686</v>
      </c>
      <c r="C245" s="94" t="str">
        <f>'Bent Search'!$G$34</f>
        <v/>
      </c>
      <c r="D245" s="93" t="s">
        <v>691</v>
      </c>
      <c r="E245">
        <v>34</v>
      </c>
      <c r="H245">
        <v>181</v>
      </c>
      <c r="I245" t="str">
        <v>ElevationAdjust</v>
      </c>
      <c r="J245">
        <v>0</v>
      </c>
      <c r="K245" t="str">
        <v>Bent Search'!$G$242</v>
      </c>
      <c r="L245">
        <v>242</v>
      </c>
      <c r="P245" t="str">
        <v>ElevationAdjust = Range("ElevationAdjust")</v>
      </c>
      <c r="R245" t="s">
        <v>1149</v>
      </c>
      <c r="S245" t="str">
        <v>Range("ElevationAdjust") = wb2.Worksheets("Wind Loads").Range("ElevationAdjust")</v>
      </c>
      <c r="V245" t="s">
        <v>1149</v>
      </c>
      <c r="W245" t="str">
        <v>wb2.Worksheets("Wind Loads").Range("ElevationAdjust") = ElevationAdjust</v>
      </c>
    </row>
    <row r="246" spans="1:23" x14ac:dyDescent="0.25">
      <c r="A246">
        <v>240</v>
      </c>
      <c r="B246" t="s">
        <v>688</v>
      </c>
      <c r="C246" s="94" t="str">
        <f>'Bent Search'!$G$33</f>
        <v/>
      </c>
      <c r="D246" s="93" t="s">
        <v>693</v>
      </c>
      <c r="E246">
        <v>33</v>
      </c>
      <c r="H246">
        <v>246</v>
      </c>
      <c r="I246" t="str">
        <v>RoughnessCategory</v>
      </c>
      <c r="J246" t="str">
        <v>C</v>
      </c>
      <c r="K246" t="str">
        <v>Bent Search'!$G$243</v>
      </c>
      <c r="L246">
        <v>243</v>
      </c>
      <c r="P246" t="str">
        <v>RoughnessCategory = Range("RoughnessCategory")</v>
      </c>
      <c r="R246" t="s">
        <v>1149</v>
      </c>
      <c r="S246" t="str">
        <v>Range("RoughnessCategory") = wb2.Worksheets("Wind Loads").Range("RoughnessCategory")</v>
      </c>
      <c r="V246" t="s">
        <v>1149</v>
      </c>
      <c r="W246" t="str">
        <v>wb2.Worksheets("Wind Loads").Range("RoughnessCategory") = RoughnessCategory</v>
      </c>
    </row>
    <row r="247" spans="1:23" s="194" customFormat="1" x14ac:dyDescent="0.25">
      <c r="A247" s="194">
        <v>241</v>
      </c>
      <c r="B247" s="194" t="s">
        <v>690</v>
      </c>
      <c r="C247" s="195" t="str">
        <f>'Bent Search'!$G$36</f>
        <v/>
      </c>
      <c r="D247" s="196" t="s">
        <v>701</v>
      </c>
      <c r="E247" s="194">
        <v>36</v>
      </c>
      <c r="H247" s="194">
        <v>61</v>
      </c>
      <c r="I247" s="194" t="str">
        <v>Brg_Width</v>
      </c>
      <c r="J247" s="194">
        <v>22</v>
      </c>
      <c r="K247" s="194" t="str">
        <v>Bent Search'!$G$244</v>
      </c>
      <c r="L247" s="194">
        <v>244</v>
      </c>
      <c r="P247" t="str">
        <v>Brg_Width = Range("Brg_Width")</v>
      </c>
      <c r="S247" s="194" t="e">
        <v>#N/A</v>
      </c>
      <c r="W247" s="194" t="e">
        <v>#N/A</v>
      </c>
    </row>
    <row r="248" spans="1:23" s="194" customFormat="1" x14ac:dyDescent="0.25">
      <c r="A248" s="194">
        <v>242</v>
      </c>
      <c r="B248" s="194" t="s">
        <v>692</v>
      </c>
      <c r="C248" s="195" t="str">
        <f>'Bent Search'!$G$35</f>
        <v/>
      </c>
      <c r="D248" s="196" t="s">
        <v>703</v>
      </c>
      <c r="E248" s="194">
        <v>35</v>
      </c>
      <c r="H248" s="194">
        <v>60</v>
      </c>
      <c r="I248" s="194" t="str">
        <v>Brg_Length</v>
      </c>
      <c r="J248" s="194">
        <v>9</v>
      </c>
      <c r="K248" s="194" t="str">
        <v>Bent Search'!$G$245</v>
      </c>
      <c r="L248" s="194">
        <v>245</v>
      </c>
      <c r="P248" t="str">
        <v>Brg_Length = Range("Brg_Length")</v>
      </c>
      <c r="S248" s="194" t="e">
        <v>#N/A</v>
      </c>
      <c r="W248" s="194" t="e">
        <v>#N/A</v>
      </c>
    </row>
    <row r="249" spans="1:23" s="194" customFormat="1" x14ac:dyDescent="0.25">
      <c r="A249" s="194">
        <v>243</v>
      </c>
      <c r="B249" s="194" t="s">
        <v>943</v>
      </c>
      <c r="C249" s="195" t="b">
        <f>'Bent Search'!$G$29</f>
        <v>0</v>
      </c>
      <c r="D249" s="196" t="s">
        <v>697</v>
      </c>
      <c r="E249" s="194">
        <v>29</v>
      </c>
      <c r="H249" s="194">
        <v>19</v>
      </c>
      <c r="I249" s="194" t="str">
        <v>BarSinsideLegs</v>
      </c>
      <c r="J249" s="194">
        <v>2</v>
      </c>
      <c r="K249" s="194" t="str">
        <v>Bent Search'!$G$246</v>
      </c>
      <c r="L249" s="194">
        <v>246</v>
      </c>
      <c r="P249" t="str">
        <v>BarSinsideLegs = Range("BarSinsideLegs")</v>
      </c>
      <c r="S249" s="194" t="e">
        <v>#N/A</v>
      </c>
      <c r="W249" s="194" t="e">
        <v>#N/A</v>
      </c>
    </row>
    <row r="250" spans="1:23" s="194" customFormat="1" x14ac:dyDescent="0.25">
      <c r="A250" s="194">
        <v>244</v>
      </c>
      <c r="B250" s="194" t="s">
        <v>694</v>
      </c>
      <c r="C250" s="194" t="str">
        <f>'Bent Search'!$G$30</f>
        <v>T4</v>
      </c>
      <c r="D250" s="196" t="s">
        <v>685</v>
      </c>
      <c r="E250" s="194">
        <v>30</v>
      </c>
      <c r="H250" s="194">
        <v>24</v>
      </c>
      <c r="I250" s="194" t="str">
        <v>BarSspacing</v>
      </c>
      <c r="J250" s="194">
        <v>6</v>
      </c>
      <c r="K250" s="194" t="str">
        <v>Bent Search'!$G$247</v>
      </c>
      <c r="L250" s="194">
        <v>247</v>
      </c>
      <c r="P250" t="str">
        <v>BarSspacing = Range("BarSspacing")</v>
      </c>
      <c r="S250" s="194" t="e">
        <v>#N/A</v>
      </c>
      <c r="W250" s="194" t="e">
        <v>#N/A</v>
      </c>
    </row>
    <row r="251" spans="1:23" s="194" customFormat="1" x14ac:dyDescent="0.25">
      <c r="A251" s="194">
        <v>245</v>
      </c>
      <c r="B251" s="194" t="s">
        <v>696</v>
      </c>
      <c r="C251" s="194" t="str">
        <f>'Bent Search'!$G$31</f>
        <v>T4</v>
      </c>
      <c r="D251" s="196" t="s">
        <v>689</v>
      </c>
      <c r="E251" s="194">
        <v>31</v>
      </c>
      <c r="H251" s="194">
        <v>20</v>
      </c>
      <c r="I251" s="194" t="str">
        <v>BarsM</v>
      </c>
      <c r="J251" s="194" t="str">
        <v>#9</v>
      </c>
      <c r="K251" s="194" t="str">
        <v>Bent Search'!$G$248</v>
      </c>
      <c r="L251" s="194">
        <v>248</v>
      </c>
      <c r="P251" t="str">
        <v>BarsM = Range("BarsM")</v>
      </c>
      <c r="S251" s="194" t="e">
        <v>#N/A</v>
      </c>
      <c r="W251" s="194" t="e">
        <v>#N/A</v>
      </c>
    </row>
    <row r="252" spans="1:23" s="194" customFormat="1" x14ac:dyDescent="0.25">
      <c r="A252" s="194">
        <v>246</v>
      </c>
      <c r="B252" s="194" t="s">
        <v>1137</v>
      </c>
      <c r="C252" s="194" t="str">
        <f>'Bent Search'!$G$243</f>
        <v>C</v>
      </c>
      <c r="D252" s="196" t="s">
        <v>1138</v>
      </c>
      <c r="E252" s="194">
        <v>243</v>
      </c>
      <c r="H252" s="194">
        <v>21</v>
      </c>
      <c r="I252" s="194" t="str">
        <v>BarsMspacing</v>
      </c>
      <c r="J252" s="194" t="str">
        <v>EVERY</v>
      </c>
      <c r="K252" s="194" t="str">
        <v>Bent Search'!$G$249</v>
      </c>
      <c r="L252" s="194">
        <v>249</v>
      </c>
      <c r="P252" t="str">
        <v>BarsMspacing = Range("BarsMspacing")</v>
      </c>
      <c r="S252" s="194" t="e">
        <v>#N/A</v>
      </c>
      <c r="W252" s="194" t="e">
        <v>#N/A</v>
      </c>
    </row>
    <row r="253" spans="1:23" s="194" customFormat="1" x14ac:dyDescent="0.25">
      <c r="A253" s="194">
        <v>247</v>
      </c>
      <c r="B253" s="194" t="s">
        <v>698</v>
      </c>
      <c r="C253" s="195">
        <f>'Bent Search'!$G$39</f>
        <v>0.15</v>
      </c>
      <c r="D253" s="196" t="s">
        <v>711</v>
      </c>
      <c r="E253" s="194">
        <v>39</v>
      </c>
      <c r="H253" s="194">
        <v>22</v>
      </c>
      <c r="I253" s="194" t="str">
        <v>BarsN</v>
      </c>
      <c r="J253" s="194" t="str">
        <v>#5</v>
      </c>
      <c r="K253" s="194" t="str">
        <v>Bent Search'!$G$250</v>
      </c>
      <c r="L253" s="194">
        <v>250</v>
      </c>
      <c r="P253" t="str">
        <v>BarsN = Range("BarsN")</v>
      </c>
      <c r="S253" s="194" t="e">
        <v>#N/A</v>
      </c>
      <c r="W253" s="194" t="e">
        <v>#N/A</v>
      </c>
    </row>
    <row r="254" spans="1:23" s="194" customFormat="1" x14ac:dyDescent="0.25">
      <c r="A254" s="194">
        <v>248</v>
      </c>
      <c r="B254" s="194" t="s">
        <v>700</v>
      </c>
      <c r="C254" s="195">
        <f>'Bent Search'!$G$38</f>
        <v>0</v>
      </c>
      <c r="D254" s="196" t="s">
        <v>713</v>
      </c>
      <c r="E254" s="194">
        <v>38</v>
      </c>
      <c r="H254" s="194">
        <v>23</v>
      </c>
      <c r="I254" s="194" t="str">
        <v>BarsNspacing</v>
      </c>
      <c r="J254" s="194" t="str">
        <v>EVERY</v>
      </c>
      <c r="K254" s="194" t="str">
        <v>Bent Search'!$G$251</v>
      </c>
      <c r="L254" s="194">
        <v>251</v>
      </c>
      <c r="P254" t="str">
        <v>BarsNspacing = Range("BarsNspacing")</v>
      </c>
      <c r="S254" s="194" t="e">
        <v>#N/A</v>
      </c>
      <c r="W254" s="194" t="e">
        <v>#N/A</v>
      </c>
    </row>
    <row r="255" spans="1:23" s="194" customFormat="1" x14ac:dyDescent="0.25">
      <c r="A255" s="194">
        <v>249</v>
      </c>
      <c r="B255" s="194" t="s">
        <v>702</v>
      </c>
      <c r="C255" s="195">
        <f>'Bent Search'!$G$37</f>
        <v>0</v>
      </c>
      <c r="D255" s="196" t="s">
        <v>699</v>
      </c>
      <c r="E255" s="194">
        <v>37</v>
      </c>
      <c r="H255" s="194">
        <v>26</v>
      </c>
      <c r="I255" s="194" t="str">
        <v>BarsTstem</v>
      </c>
      <c r="J255" s="194" t="str">
        <v>#5</v>
      </c>
      <c r="K255" s="194" t="str">
        <v>Bent Search'!$G$252</v>
      </c>
      <c r="L255" s="194">
        <v>252</v>
      </c>
      <c r="P255" t="str">
        <v>BarsTstem = Range("BarsTstem")</v>
      </c>
      <c r="S255" s="194" t="e">
        <v>#N/A</v>
      </c>
      <c r="W255" s="194" t="e">
        <v>#N/A</v>
      </c>
    </row>
    <row r="256" spans="1:23" s="194" customFormat="1" x14ac:dyDescent="0.25">
      <c r="A256" s="194">
        <v>250</v>
      </c>
      <c r="B256" s="194" t="s">
        <v>704</v>
      </c>
      <c r="C256" s="194">
        <f>'Bent Search'!$G$142</f>
        <v>43.182291666666664</v>
      </c>
      <c r="D256" s="196" t="s">
        <v>428</v>
      </c>
      <c r="E256" s="194">
        <v>142</v>
      </c>
      <c r="H256" s="194">
        <v>27</v>
      </c>
      <c r="I256" s="194" t="str">
        <v>BarsTstemNo</v>
      </c>
      <c r="J256" s="194">
        <v>3</v>
      </c>
      <c r="K256" s="194" t="str">
        <v>Bent Search'!$G$253</v>
      </c>
      <c r="L256" s="194">
        <v>253</v>
      </c>
      <c r="P256" t="str">
        <v>BarsTstemNo = Range("BarsTstemNo")</v>
      </c>
      <c r="S256" s="194" t="e">
        <v>#N/A</v>
      </c>
      <c r="W256" s="194" t="e">
        <v>#N/A</v>
      </c>
    </row>
    <row r="257" spans="1:23" s="194" customFormat="1" x14ac:dyDescent="0.25">
      <c r="A257" s="194">
        <v>251</v>
      </c>
      <c r="B257" s="194" t="s">
        <v>706</v>
      </c>
      <c r="C257" s="194">
        <f>'Bent Search'!$G$8</f>
        <v>7</v>
      </c>
      <c r="D257" s="196" t="s">
        <v>656</v>
      </c>
      <c r="E257" s="194">
        <v>8</v>
      </c>
      <c r="H257" s="194">
        <v>25</v>
      </c>
      <c r="I257" s="194" t="str">
        <v>BarsTledgeNo</v>
      </c>
      <c r="J257" s="194">
        <v>3</v>
      </c>
      <c r="K257" s="194" t="str">
        <v>Bent Search'!$G$254</v>
      </c>
      <c r="L257" s="194">
        <v>254</v>
      </c>
      <c r="P257" t="str">
        <v>BarsTledgeNo = Range("BarsTledgeNo")</v>
      </c>
      <c r="S257" s="194" t="e">
        <v>#N/A</v>
      </c>
      <c r="W257" s="194" t="e">
        <v>#N/A</v>
      </c>
    </row>
    <row r="258" spans="1:23" s="194" customFormat="1" x14ac:dyDescent="0.25">
      <c r="A258" s="194">
        <v>252</v>
      </c>
      <c r="B258" s="194" t="s">
        <v>708</v>
      </c>
      <c r="C258" s="194" t="str">
        <f>'Bent Search'!$G$25</f>
        <v>Yes</v>
      </c>
      <c r="D258" s="196" t="s">
        <v>592</v>
      </c>
      <c r="E258" s="194">
        <v>25</v>
      </c>
      <c r="H258" s="194">
        <v>28</v>
      </c>
      <c r="I258" s="194" t="str">
        <v>BarsTtopLedgeNo</v>
      </c>
      <c r="J258" s="194">
        <v>2</v>
      </c>
      <c r="K258" s="194" t="str">
        <v>Bent Search'!$G$255</v>
      </c>
      <c r="L258" s="194">
        <v>255</v>
      </c>
      <c r="P258" t="str">
        <v>BarsTtopLedgeNo = Range("BarsTtopLedgeNo")</v>
      </c>
      <c r="S258" s="194" t="e">
        <v>#N/A</v>
      </c>
      <c r="W258" s="194" t="e">
        <v>#N/A</v>
      </c>
    </row>
    <row r="259" spans="1:23" s="194" customFormat="1" x14ac:dyDescent="0.25">
      <c r="A259" s="194">
        <v>253</v>
      </c>
      <c r="B259" s="194" t="s">
        <v>710</v>
      </c>
      <c r="C259" s="195" t="str">
        <f>'Bent Search'!$G$41</f>
        <v/>
      </c>
      <c r="D259" s="196" t="s">
        <v>715</v>
      </c>
      <c r="E259" s="194">
        <v>41</v>
      </c>
      <c r="H259" s="194">
        <v>219</v>
      </c>
      <c r="I259" s="194" t="str">
        <v>InvT_P_Ext_srv</v>
      </c>
      <c r="J259" s="194">
        <v>275.21342716603323</v>
      </c>
      <c r="K259" s="194" t="str">
        <v>Bent Search'!$G$256</v>
      </c>
      <c r="L259" s="194">
        <v>256</v>
      </c>
      <c r="P259" s="194" t="str">
        <v>InvT_P_Ext_srv = Range("InvT_P_Ext_srv")</v>
      </c>
      <c r="S259" s="194" t="e">
        <v>#N/A</v>
      </c>
      <c r="W259" s="194" t="e">
        <v>#N/A</v>
      </c>
    </row>
    <row r="260" spans="1:23" s="194" customFormat="1" x14ac:dyDescent="0.25">
      <c r="A260" s="194">
        <v>254</v>
      </c>
      <c r="B260" s="194" t="s">
        <v>712</v>
      </c>
      <c r="C260" s="195" t="str">
        <f>'Bent Search'!$G$40</f>
        <v/>
      </c>
      <c r="D260" s="196" t="s">
        <v>717</v>
      </c>
      <c r="E260" s="194">
        <v>40</v>
      </c>
      <c r="H260" s="194">
        <v>221</v>
      </c>
      <c r="I260" s="194" t="str">
        <v>InvTName</v>
      </c>
      <c r="J260" s="194" t="str">
        <v>InvT_LRFD_v5.00_sarah.xlsm</v>
      </c>
      <c r="K260" s="194" t="str">
        <v>Bent Search'!$F$2</v>
      </c>
      <c r="L260" s="194" t="e">
        <v>#VALUE!</v>
      </c>
      <c r="P260" s="194" t="str">
        <v>InvTName = Range("InvTName")</v>
      </c>
      <c r="S260" s="194" t="e">
        <v>#N/A</v>
      </c>
      <c r="W260" s="194" t="e">
        <v>#N/A</v>
      </c>
    </row>
    <row r="261" spans="1:23" s="194" customFormat="1" x14ac:dyDescent="0.25">
      <c r="A261" s="194">
        <v>255</v>
      </c>
      <c r="B261" s="194" t="s">
        <v>714</v>
      </c>
      <c r="C261" s="195" t="str">
        <f>'Bent Search'!$G$43</f>
        <v/>
      </c>
      <c r="D261" s="196" t="s">
        <v>372</v>
      </c>
      <c r="E261" s="194">
        <v>43</v>
      </c>
      <c r="H261" s="194">
        <v>223</v>
      </c>
      <c r="I261" s="194" t="str">
        <v>IsSearchMode</v>
      </c>
      <c r="J261" s="194" t="b">
        <v>1</v>
      </c>
      <c r="K261" s="194" t="str">
        <v>Bent Search'!$A$5</v>
      </c>
      <c r="L261" s="194" t="e">
        <v>#VALUE!</v>
      </c>
      <c r="P261" s="194" t="str">
        <v>IsSearchMode = Range("IsSearchMode")</v>
      </c>
      <c r="S261" s="194" t="e">
        <v>#N/A</v>
      </c>
      <c r="W261" s="194" t="e">
        <v>#N/A</v>
      </c>
    </row>
    <row r="262" spans="1:23" s="194" customFormat="1" x14ac:dyDescent="0.25">
      <c r="A262" s="194">
        <v>256</v>
      </c>
      <c r="B262" s="194" t="s">
        <v>716</v>
      </c>
      <c r="C262" s="195" t="str">
        <f>'Bent Search'!$G$42</f>
        <v/>
      </c>
      <c r="D262" s="196" t="s">
        <v>386</v>
      </c>
      <c r="E262" s="194">
        <v>42</v>
      </c>
      <c r="H262" s="194">
        <v>225</v>
      </c>
      <c r="I262" s="194" t="str">
        <v>ModuleIName</v>
      </c>
      <c r="J262" s="194" t="str">
        <v>I_LRFD_Cap_Dsnr_V8.0sarah.xlsm</v>
      </c>
      <c r="K262" s="194" t="str">
        <v>Bent Search'!$F$1</v>
      </c>
      <c r="L262" s="194" t="e">
        <v>#VALUE!</v>
      </c>
      <c r="P262" s="194" t="str">
        <v>ModuleIName = Range("ModuleIName")</v>
      </c>
      <c r="S262" s="194" t="e">
        <v>#N/A</v>
      </c>
      <c r="W262" s="194" t="e">
        <v>#N/A</v>
      </c>
    </row>
    <row r="263" spans="1:23" s="194" customFormat="1" x14ac:dyDescent="0.25">
      <c r="A263" s="194">
        <v>257</v>
      </c>
      <c r="B263" s="194" t="s">
        <v>718</v>
      </c>
      <c r="C263" s="194">
        <f>'Bent Search'!$G$11</f>
        <v>0</v>
      </c>
      <c r="D263" s="196" t="s">
        <v>356</v>
      </c>
      <c r="E263" s="194">
        <v>11</v>
      </c>
      <c r="H263" s="194">
        <v>236</v>
      </c>
      <c r="I263" s="194" t="str">
        <v>Bent Search'!Print_Area</v>
      </c>
      <c r="J263" s="194" t="e">
        <v>#VALUE!</v>
      </c>
      <c r="K263" s="194" t="str">
        <v>Bent Search'!$M$310:$AH$460</v>
      </c>
      <c r="L263" s="194" t="e">
        <v>#VALUE!</v>
      </c>
      <c r="P263" s="194" t="str">
        <v>Bent Search'!Print_Area = Range("Bent Search'!Print_Area")</v>
      </c>
      <c r="S263" s="194" t="e">
        <v>#N/A</v>
      </c>
      <c r="W263" s="194" t="e">
        <v>#N/A</v>
      </c>
    </row>
    <row r="264" spans="1:23" x14ac:dyDescent="0.25">
      <c r="D264" s="93"/>
    </row>
    <row r="265" spans="1:23" x14ac:dyDescent="0.25">
      <c r="D265" s="93"/>
    </row>
    <row r="266" spans="1:23" x14ac:dyDescent="0.25">
      <c r="D266" s="93"/>
    </row>
    <row r="267" spans="1:23" x14ac:dyDescent="0.25">
      <c r="D267" s="93"/>
    </row>
    <row r="268" spans="1:23" x14ac:dyDescent="0.25">
      <c r="D268" s="93"/>
    </row>
    <row r="271" spans="1:23" x14ac:dyDescent="0.25">
      <c r="A271" s="360" t="s">
        <v>729</v>
      </c>
      <c r="B271" s="360"/>
      <c r="C271" s="360"/>
      <c r="D271" s="360"/>
      <c r="E271" s="360"/>
      <c r="H271" s="360" t="s">
        <v>725</v>
      </c>
      <c r="I271" s="360"/>
      <c r="J271" s="360"/>
      <c r="K271" s="360"/>
      <c r="L271" s="360"/>
      <c r="P271" s="98" t="s">
        <v>727</v>
      </c>
      <c r="R271" s="360" t="s">
        <v>728</v>
      </c>
      <c r="S271" s="360"/>
      <c r="V271" s="360" t="s">
        <v>848</v>
      </c>
      <c r="W271" s="360"/>
    </row>
    <row r="272" spans="1:23" x14ac:dyDescent="0.25">
      <c r="A272" s="96" t="s">
        <v>720</v>
      </c>
      <c r="B272" s="96" t="s">
        <v>721</v>
      </c>
      <c r="C272" s="96" t="s">
        <v>722</v>
      </c>
      <c r="D272" s="97" t="s">
        <v>723</v>
      </c>
      <c r="E272" s="96" t="s">
        <v>724</v>
      </c>
      <c r="H272" s="96" t="s">
        <v>720</v>
      </c>
      <c r="I272" s="96" t="s">
        <v>721</v>
      </c>
      <c r="J272" s="96" t="s">
        <v>722</v>
      </c>
      <c r="K272" s="97" t="s">
        <v>723</v>
      </c>
      <c r="L272" s="96" t="s">
        <v>724</v>
      </c>
      <c r="P272" s="96" t="s">
        <v>726</v>
      </c>
      <c r="R272" s="96" t="s">
        <v>730</v>
      </c>
      <c r="S272" s="96" t="s">
        <v>726</v>
      </c>
      <c r="V272" s="96" t="s">
        <v>730</v>
      </c>
      <c r="W272" s="96" t="s">
        <v>726</v>
      </c>
    </row>
    <row r="273" spans="1:23" x14ac:dyDescent="0.25">
      <c r="A273">
        <v>1</v>
      </c>
      <c r="B273" t="s">
        <v>849</v>
      </c>
      <c r="E273">
        <v>1</v>
      </c>
      <c r="H273" cm="1">
        <f t="array" ref="H273:L286">_xlfn._xlws.SORT(A273:E286,5,)</f>
        <v>1</v>
      </c>
      <c r="I273" t="str">
        <v>Brg_Width</v>
      </c>
      <c r="J273">
        <v>0</v>
      </c>
      <c r="K273">
        <v>0</v>
      </c>
      <c r="L273">
        <v>1</v>
      </c>
      <c r="R273" t="s">
        <v>731</v>
      </c>
      <c r="S273" t="str" cm="1">
        <f t="array" ref="S273:S286">_xlfn.LET(_xlpm.list,_xlfn.CHOOSECOLS(_xlfn.ANCHORARRAY(H273),2),"Range("""&amp;_xlpm.list&amp;""") = wb2.Worksheets(""" &amp; R273:R286 &amp; """).Range(""" &amp;_xlpm.list&amp; """)" )</f>
        <v>Range("Brg_Width") = wb2.Worksheets("Geometry").Range("Brg_Width")</v>
      </c>
      <c r="V273" t="s">
        <v>731</v>
      </c>
      <c r="W273" t="str" cm="1">
        <f t="array" ref="W273:W286">_xlfn.LET(_xlpm.list,_xlfn.CHOOSECOLS(_xlfn.ANCHORARRAY(H273),2),"wb3.Worksheets(""" &amp; V273:V286 &amp; """).Range(""" &amp;_xlpm.list&amp; """) = " &amp; _xlpm.list)</f>
        <v>wb3.Worksheets("Geometry").Range("Brg_Width") = Brg_Width</v>
      </c>
    </row>
    <row r="274" spans="1:23" x14ac:dyDescent="0.25">
      <c r="A274">
        <v>2</v>
      </c>
      <c r="B274" t="s">
        <v>850</v>
      </c>
      <c r="E274">
        <v>2</v>
      </c>
      <c r="H274">
        <v>2</v>
      </c>
      <c r="I274" t="str">
        <v>Brg_Length</v>
      </c>
      <c r="J274">
        <v>0</v>
      </c>
      <c r="K274">
        <v>0</v>
      </c>
      <c r="L274">
        <v>2</v>
      </c>
      <c r="R274" t="s">
        <v>731</v>
      </c>
      <c r="S274" t="str">
        <v>Range("Brg_Length") = wb2.Worksheets("Geometry").Range("Brg_Length")</v>
      </c>
      <c r="V274" t="s">
        <v>731</v>
      </c>
      <c r="W274" t="str">
        <v>wb3.Worksheets("Geometry").Range("Brg_Length") = Brg_Length</v>
      </c>
    </row>
    <row r="275" spans="1:23" x14ac:dyDescent="0.25">
      <c r="A275">
        <v>3</v>
      </c>
      <c r="B275" t="s">
        <v>852</v>
      </c>
      <c r="E275">
        <v>3</v>
      </c>
      <c r="H275">
        <v>13</v>
      </c>
      <c r="I275" t="str">
        <v>BarS</v>
      </c>
      <c r="J275">
        <v>0</v>
      </c>
      <c r="K275">
        <v>0</v>
      </c>
      <c r="L275">
        <v>2.1</v>
      </c>
      <c r="R275" t="s">
        <v>731</v>
      </c>
      <c r="S275" t="str">
        <v>Range("BarS") = wb2.Worksheets("Geometry").Range("BarS")</v>
      </c>
      <c r="V275" t="s">
        <v>731</v>
      </c>
      <c r="W275" t="str">
        <v>wb3.Worksheets("Geometry").Range("BarS") = BarS</v>
      </c>
    </row>
    <row r="276" spans="1:23" x14ac:dyDescent="0.25">
      <c r="A276">
        <v>4</v>
      </c>
      <c r="B276" t="s">
        <v>851</v>
      </c>
      <c r="E276">
        <v>4</v>
      </c>
      <c r="H276">
        <v>14</v>
      </c>
      <c r="I276" t="str">
        <v>BarSArrange</v>
      </c>
      <c r="J276">
        <v>0</v>
      </c>
      <c r="K276">
        <v>0</v>
      </c>
      <c r="L276">
        <v>2.2000000000000002</v>
      </c>
      <c r="R276" t="s">
        <v>731</v>
      </c>
      <c r="S276" t="str">
        <v>Range("BarSArrange") = wb2.Worksheets("Geometry").Range("BarSArrange")</v>
      </c>
      <c r="V276" t="s">
        <v>731</v>
      </c>
      <c r="W276" t="str">
        <v>wb3.Worksheets("Geometry").Range("BarSArrange") = BarSArrange</v>
      </c>
    </row>
    <row r="277" spans="1:23" x14ac:dyDescent="0.25">
      <c r="A277">
        <v>5</v>
      </c>
      <c r="B277" t="s">
        <v>853</v>
      </c>
      <c r="E277">
        <v>5</v>
      </c>
      <c r="H277">
        <v>3</v>
      </c>
      <c r="I277" t="str">
        <v>BarSinsideLegs</v>
      </c>
      <c r="J277">
        <v>0</v>
      </c>
      <c r="K277">
        <v>0</v>
      </c>
      <c r="L277">
        <v>3</v>
      </c>
      <c r="R277" t="s">
        <v>731</v>
      </c>
      <c r="S277" t="str">
        <v>Range("BarSinsideLegs") = wb2.Worksheets("Geometry").Range("BarSinsideLegs")</v>
      </c>
      <c r="V277" t="s">
        <v>731</v>
      </c>
      <c r="W277" t="str">
        <v>wb3.Worksheets("Geometry").Range("BarSinsideLegs") = BarSinsideLegs</v>
      </c>
    </row>
    <row r="278" spans="1:23" x14ac:dyDescent="0.25">
      <c r="A278">
        <v>6</v>
      </c>
      <c r="B278" t="s">
        <v>854</v>
      </c>
      <c r="E278">
        <v>6</v>
      </c>
      <c r="H278">
        <v>4</v>
      </c>
      <c r="I278" t="str">
        <v>BarSspacing</v>
      </c>
      <c r="J278">
        <v>0</v>
      </c>
      <c r="K278">
        <v>0</v>
      </c>
      <c r="L278">
        <v>4</v>
      </c>
      <c r="R278" t="s">
        <v>731</v>
      </c>
      <c r="S278" t="str">
        <v>Range("BarSspacing") = wb2.Worksheets("Geometry").Range("BarSspacing")</v>
      </c>
      <c r="V278" t="s">
        <v>731</v>
      </c>
      <c r="W278" t="str">
        <v>wb3.Worksheets("Geometry").Range("BarSspacing") = BarSspacing</v>
      </c>
    </row>
    <row r="279" spans="1:23" x14ac:dyDescent="0.25">
      <c r="A279">
        <v>7</v>
      </c>
      <c r="B279" t="s">
        <v>855</v>
      </c>
      <c r="E279">
        <v>7</v>
      </c>
      <c r="H279">
        <v>5</v>
      </c>
      <c r="I279" t="str">
        <v>BarsM</v>
      </c>
      <c r="J279">
        <v>0</v>
      </c>
      <c r="K279">
        <v>0</v>
      </c>
      <c r="L279">
        <v>5</v>
      </c>
      <c r="R279" t="s">
        <v>731</v>
      </c>
      <c r="S279" t="str">
        <v>Range("BarsM") = wb2.Worksheets("Geometry").Range("BarsM")</v>
      </c>
      <c r="V279" t="s">
        <v>731</v>
      </c>
      <c r="W279" t="str">
        <v>wb3.Worksheets("Geometry").Range("BarsM") = BarsM</v>
      </c>
    </row>
    <row r="280" spans="1:23" x14ac:dyDescent="0.25">
      <c r="A280">
        <v>8</v>
      </c>
      <c r="B280" t="s">
        <v>856</v>
      </c>
      <c r="E280">
        <v>8</v>
      </c>
      <c r="H280">
        <v>6</v>
      </c>
      <c r="I280" t="str">
        <v>BarsMspacing</v>
      </c>
      <c r="J280">
        <v>0</v>
      </c>
      <c r="K280">
        <v>0</v>
      </c>
      <c r="L280">
        <v>6</v>
      </c>
      <c r="R280" t="s">
        <v>731</v>
      </c>
      <c r="S280" t="str">
        <v>Range("BarsMspacing") = wb2.Worksheets("Geometry").Range("BarsMspacing")</v>
      </c>
      <c r="V280" t="s">
        <v>731</v>
      </c>
      <c r="W280" t="str">
        <v>wb3.Worksheets("Geometry").Range("BarsMspacing") = BarsMspacing</v>
      </c>
    </row>
    <row r="281" spans="1:23" x14ac:dyDescent="0.25">
      <c r="A281">
        <v>9</v>
      </c>
      <c r="B281" t="s">
        <v>857</v>
      </c>
      <c r="E281">
        <v>9</v>
      </c>
      <c r="H281">
        <v>7</v>
      </c>
      <c r="I281" t="str">
        <v>BarsN</v>
      </c>
      <c r="J281">
        <v>0</v>
      </c>
      <c r="K281">
        <v>0</v>
      </c>
      <c r="L281">
        <v>7</v>
      </c>
      <c r="R281" t="s">
        <v>731</v>
      </c>
      <c r="S281" t="str">
        <v>Range("BarsN") = wb2.Worksheets("Geometry").Range("BarsN")</v>
      </c>
      <c r="V281" t="s">
        <v>731</v>
      </c>
      <c r="W281" t="str">
        <v>wb3.Worksheets("Geometry").Range("BarsN") = BarsN</v>
      </c>
    </row>
    <row r="282" spans="1:23" x14ac:dyDescent="0.25">
      <c r="A282">
        <v>10</v>
      </c>
      <c r="B282" t="s">
        <v>858</v>
      </c>
      <c r="E282">
        <v>10</v>
      </c>
      <c r="H282">
        <v>8</v>
      </c>
      <c r="I282" t="str">
        <v>BarsNspacing</v>
      </c>
      <c r="J282">
        <v>0</v>
      </c>
      <c r="K282">
        <v>0</v>
      </c>
      <c r="L282">
        <v>8</v>
      </c>
      <c r="R282" t="s">
        <v>731</v>
      </c>
      <c r="S282" t="str">
        <v>Range("BarsNspacing") = wb2.Worksheets("Geometry").Range("BarsNspacing")</v>
      </c>
      <c r="V282" t="s">
        <v>731</v>
      </c>
      <c r="W282" t="str">
        <v>wb3.Worksheets("Geometry").Range("BarsNspacing") = BarsNspacing</v>
      </c>
    </row>
    <row r="283" spans="1:23" x14ac:dyDescent="0.25">
      <c r="A283">
        <v>11</v>
      </c>
      <c r="B283" t="s">
        <v>859</v>
      </c>
      <c r="E283">
        <v>11</v>
      </c>
      <c r="H283">
        <v>9</v>
      </c>
      <c r="I283" t="str">
        <v>BarsTstem</v>
      </c>
      <c r="J283">
        <v>0</v>
      </c>
      <c r="K283">
        <v>0</v>
      </c>
      <c r="L283">
        <v>9</v>
      </c>
      <c r="R283" t="s">
        <v>731</v>
      </c>
      <c r="S283" t="str">
        <v>Range("BarsTstem") = wb2.Worksheets("Geometry").Range("BarsTstem")</v>
      </c>
      <c r="V283" t="s">
        <v>731</v>
      </c>
      <c r="W283" t="str">
        <v>wb3.Worksheets("Geometry").Range("BarsTstem") = BarsTstem</v>
      </c>
    </row>
    <row r="284" spans="1:23" x14ac:dyDescent="0.25">
      <c r="A284">
        <v>12</v>
      </c>
      <c r="B284" t="s">
        <v>1096</v>
      </c>
      <c r="E284">
        <v>12</v>
      </c>
      <c r="H284">
        <v>10</v>
      </c>
      <c r="I284" t="str">
        <v>BarsTstemNo</v>
      </c>
      <c r="J284">
        <v>0</v>
      </c>
      <c r="K284">
        <v>0</v>
      </c>
      <c r="L284">
        <v>10</v>
      </c>
      <c r="R284" t="s">
        <v>731</v>
      </c>
      <c r="S284" t="str">
        <v>Range("BarsTstemNo") = wb2.Worksheets("Geometry").Range("BarsTstemNo")</v>
      </c>
      <c r="V284" t="s">
        <v>731</v>
      </c>
      <c r="W284" t="str">
        <v>wb3.Worksheets("Geometry").Range("BarsTstemNo") = BarsTstemNo</v>
      </c>
    </row>
    <row r="285" spans="1:23" x14ac:dyDescent="0.25">
      <c r="A285">
        <v>13</v>
      </c>
      <c r="B285" t="s">
        <v>291</v>
      </c>
      <c r="E285">
        <v>2.1</v>
      </c>
      <c r="H285">
        <v>11</v>
      </c>
      <c r="I285" t="str">
        <v>BarsTledgeNo</v>
      </c>
      <c r="J285">
        <v>0</v>
      </c>
      <c r="K285">
        <v>0</v>
      </c>
      <c r="L285">
        <v>11</v>
      </c>
      <c r="R285" t="s">
        <v>731</v>
      </c>
      <c r="S285" t="str">
        <v>Range("BarsTledgeNo") = wb2.Worksheets("Geometry").Range("BarsTledgeNo")</v>
      </c>
      <c r="V285" t="s">
        <v>731</v>
      </c>
      <c r="W285" t="str">
        <v>wb3.Worksheets("Geometry").Range("BarsTledgeNo") = BarsTledgeNo</v>
      </c>
    </row>
    <row r="286" spans="1:23" x14ac:dyDescent="0.25">
      <c r="A286">
        <v>14</v>
      </c>
      <c r="B286" t="s">
        <v>297</v>
      </c>
      <c r="E286">
        <v>2.2000000000000002</v>
      </c>
      <c r="H286">
        <v>12</v>
      </c>
      <c r="I286" t="str">
        <v>BarsTtopLedgeNo</v>
      </c>
      <c r="J286">
        <v>0</v>
      </c>
      <c r="K286">
        <v>0</v>
      </c>
      <c r="L286">
        <v>12</v>
      </c>
      <c r="R286" t="s">
        <v>731</v>
      </c>
      <c r="S286" t="str">
        <v>Range("BarsTtopLedgeNo") = wb2.Worksheets("Geometry").Range("BarsTtopLedgeNo")</v>
      </c>
      <c r="V286" t="s">
        <v>731</v>
      </c>
      <c r="W286" t="str">
        <v>wb3.Worksheets("Geometry").Range("BarsTtopLedgeNo") = BarsTtopLedgeNo</v>
      </c>
    </row>
  </sheetData>
  <dataConsolidate/>
  <mergeCells count="8">
    <mergeCell ref="A5:E5"/>
    <mergeCell ref="H5:L5"/>
    <mergeCell ref="R5:S5"/>
    <mergeCell ref="V5:W5"/>
    <mergeCell ref="A271:E271"/>
    <mergeCell ref="H271:L271"/>
    <mergeCell ref="R271:S271"/>
    <mergeCell ref="V271:W271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E2347-857D-4066-B20A-CCD007C81966}">
  <sheetPr codeName="Sheet2">
    <tabColor theme="6"/>
  </sheetPr>
  <dimension ref="B2:B254"/>
  <sheetViews>
    <sheetView workbookViewId="0"/>
  </sheetViews>
  <sheetFormatPr defaultRowHeight="15" x14ac:dyDescent="0.25"/>
  <cols>
    <col min="2" max="2" width="57.85546875" bestFit="1" customWidth="1"/>
  </cols>
  <sheetData>
    <row r="2" spans="2:2" x14ac:dyDescent="0.25">
      <c r="B2" t="s">
        <v>1154</v>
      </c>
    </row>
    <row r="3" spans="2:2" x14ac:dyDescent="0.25">
      <c r="B3" t="s">
        <v>1155</v>
      </c>
    </row>
    <row r="4" spans="2:2" x14ac:dyDescent="0.25">
      <c r="B4" t="s">
        <v>1156</v>
      </c>
    </row>
    <row r="5" spans="2:2" x14ac:dyDescent="0.25">
      <c r="B5" t="s">
        <v>1157</v>
      </c>
    </row>
    <row r="6" spans="2:2" x14ac:dyDescent="0.25">
      <c r="B6" t="s">
        <v>1158</v>
      </c>
    </row>
    <row r="7" spans="2:2" x14ac:dyDescent="0.25">
      <c r="B7" t="s">
        <v>1159</v>
      </c>
    </row>
    <row r="8" spans="2:2" x14ac:dyDescent="0.25">
      <c r="B8" t="s">
        <v>1160</v>
      </c>
    </row>
    <row r="9" spans="2:2" x14ac:dyDescent="0.25">
      <c r="B9" t="s">
        <v>1161</v>
      </c>
    </row>
    <row r="10" spans="2:2" x14ac:dyDescent="0.25">
      <c r="B10" t="s">
        <v>1162</v>
      </c>
    </row>
    <row r="11" spans="2:2" x14ac:dyDescent="0.25">
      <c r="B11" t="s">
        <v>1163</v>
      </c>
    </row>
    <row r="12" spans="2:2" x14ac:dyDescent="0.25">
      <c r="B12" t="s">
        <v>1164</v>
      </c>
    </row>
    <row r="13" spans="2:2" x14ac:dyDescent="0.25">
      <c r="B13" t="s">
        <v>1165</v>
      </c>
    </row>
    <row r="14" spans="2:2" x14ac:dyDescent="0.25">
      <c r="B14" t="s">
        <v>1166</v>
      </c>
    </row>
    <row r="15" spans="2:2" x14ac:dyDescent="0.25">
      <c r="B15" t="s">
        <v>1167</v>
      </c>
    </row>
    <row r="16" spans="2:2" x14ac:dyDescent="0.25">
      <c r="B16" t="s">
        <v>1168</v>
      </c>
    </row>
    <row r="17" spans="2:2" x14ac:dyDescent="0.25">
      <c r="B17" t="s">
        <v>1169</v>
      </c>
    </row>
    <row r="18" spans="2:2" x14ac:dyDescent="0.25">
      <c r="B18" t="s">
        <v>1170</v>
      </c>
    </row>
    <row r="19" spans="2:2" x14ac:dyDescent="0.25">
      <c r="B19" t="s">
        <v>1171</v>
      </c>
    </row>
    <row r="20" spans="2:2" x14ac:dyDescent="0.25">
      <c r="B20" t="s">
        <v>1172</v>
      </c>
    </row>
    <row r="21" spans="2:2" x14ac:dyDescent="0.25">
      <c r="B21" t="s">
        <v>1173</v>
      </c>
    </row>
    <row r="22" spans="2:2" x14ac:dyDescent="0.25">
      <c r="B22" t="s">
        <v>1174</v>
      </c>
    </row>
    <row r="23" spans="2:2" x14ac:dyDescent="0.25">
      <c r="B23" t="s">
        <v>1175</v>
      </c>
    </row>
    <row r="24" spans="2:2" x14ac:dyDescent="0.25">
      <c r="B24" t="s">
        <v>1176</v>
      </c>
    </row>
    <row r="25" spans="2:2" x14ac:dyDescent="0.25">
      <c r="B25" t="s">
        <v>1177</v>
      </c>
    </row>
    <row r="26" spans="2:2" x14ac:dyDescent="0.25">
      <c r="B26" t="s">
        <v>1178</v>
      </c>
    </row>
    <row r="27" spans="2:2" x14ac:dyDescent="0.25">
      <c r="B27" t="s">
        <v>1179</v>
      </c>
    </row>
    <row r="28" spans="2:2" x14ac:dyDescent="0.25">
      <c r="B28" t="s">
        <v>1180</v>
      </c>
    </row>
    <row r="29" spans="2:2" x14ac:dyDescent="0.25">
      <c r="B29" t="s">
        <v>1181</v>
      </c>
    </row>
    <row r="30" spans="2:2" x14ac:dyDescent="0.25">
      <c r="B30" t="s">
        <v>1182</v>
      </c>
    </row>
    <row r="31" spans="2:2" x14ac:dyDescent="0.25">
      <c r="B31" t="s">
        <v>1183</v>
      </c>
    </row>
    <row r="32" spans="2:2" x14ac:dyDescent="0.25">
      <c r="B32" t="s">
        <v>1184</v>
      </c>
    </row>
    <row r="33" spans="2:2" x14ac:dyDescent="0.25">
      <c r="B33" t="s">
        <v>1185</v>
      </c>
    </row>
    <row r="34" spans="2:2" x14ac:dyDescent="0.25">
      <c r="B34" t="s">
        <v>1186</v>
      </c>
    </row>
    <row r="35" spans="2:2" x14ac:dyDescent="0.25">
      <c r="B35" t="s">
        <v>1187</v>
      </c>
    </row>
    <row r="36" spans="2:2" x14ac:dyDescent="0.25">
      <c r="B36" t="s">
        <v>1188</v>
      </c>
    </row>
    <row r="37" spans="2:2" x14ac:dyDescent="0.25">
      <c r="B37" t="s">
        <v>1189</v>
      </c>
    </row>
    <row r="38" spans="2:2" x14ac:dyDescent="0.25">
      <c r="B38" t="s">
        <v>1190</v>
      </c>
    </row>
    <row r="39" spans="2:2" x14ac:dyDescent="0.25">
      <c r="B39" t="s">
        <v>1191</v>
      </c>
    </row>
    <row r="40" spans="2:2" x14ac:dyDescent="0.25">
      <c r="B40" t="s">
        <v>1192</v>
      </c>
    </row>
    <row r="41" spans="2:2" x14ac:dyDescent="0.25">
      <c r="B41" t="s">
        <v>1193</v>
      </c>
    </row>
    <row r="42" spans="2:2" x14ac:dyDescent="0.25">
      <c r="B42" t="s">
        <v>1194</v>
      </c>
    </row>
    <row r="43" spans="2:2" x14ac:dyDescent="0.25">
      <c r="B43" t="s">
        <v>1195</v>
      </c>
    </row>
    <row r="44" spans="2:2" x14ac:dyDescent="0.25">
      <c r="B44" t="s">
        <v>1196</v>
      </c>
    </row>
    <row r="45" spans="2:2" x14ac:dyDescent="0.25">
      <c r="B45" t="s">
        <v>1197</v>
      </c>
    </row>
    <row r="46" spans="2:2" x14ac:dyDescent="0.25">
      <c r="B46" t="s">
        <v>1198</v>
      </c>
    </row>
    <row r="47" spans="2:2" x14ac:dyDescent="0.25">
      <c r="B47" t="s">
        <v>1199</v>
      </c>
    </row>
    <row r="48" spans="2:2" x14ac:dyDescent="0.25">
      <c r="B48" t="s">
        <v>1200</v>
      </c>
    </row>
    <row r="49" spans="2:2" x14ac:dyDescent="0.25">
      <c r="B49" t="s">
        <v>1201</v>
      </c>
    </row>
    <row r="50" spans="2:2" x14ac:dyDescent="0.25">
      <c r="B50" t="s">
        <v>1202</v>
      </c>
    </row>
    <row r="51" spans="2:2" x14ac:dyDescent="0.25">
      <c r="B51" t="s">
        <v>1203</v>
      </c>
    </row>
    <row r="52" spans="2:2" x14ac:dyDescent="0.25">
      <c r="B52" t="s">
        <v>1204</v>
      </c>
    </row>
    <row r="53" spans="2:2" x14ac:dyDescent="0.25">
      <c r="B53" t="s">
        <v>1205</v>
      </c>
    </row>
    <row r="54" spans="2:2" x14ac:dyDescent="0.25">
      <c r="B54" t="s">
        <v>1206</v>
      </c>
    </row>
    <row r="55" spans="2:2" x14ac:dyDescent="0.25">
      <c r="B55" t="s">
        <v>1207</v>
      </c>
    </row>
    <row r="56" spans="2:2" x14ac:dyDescent="0.25">
      <c r="B56" t="s">
        <v>1208</v>
      </c>
    </row>
    <row r="57" spans="2:2" x14ac:dyDescent="0.25">
      <c r="B57" t="s">
        <v>1209</v>
      </c>
    </row>
    <row r="58" spans="2:2" x14ac:dyDescent="0.25">
      <c r="B58" t="s">
        <v>1210</v>
      </c>
    </row>
    <row r="59" spans="2:2" x14ac:dyDescent="0.25">
      <c r="B59" t="s">
        <v>1211</v>
      </c>
    </row>
    <row r="60" spans="2:2" x14ac:dyDescent="0.25">
      <c r="B60" t="s">
        <v>1212</v>
      </c>
    </row>
    <row r="61" spans="2:2" x14ac:dyDescent="0.25">
      <c r="B61" t="s">
        <v>1213</v>
      </c>
    </row>
    <row r="62" spans="2:2" x14ac:dyDescent="0.25">
      <c r="B62" t="s">
        <v>1214</v>
      </c>
    </row>
    <row r="63" spans="2:2" x14ac:dyDescent="0.25">
      <c r="B63" t="s">
        <v>1215</v>
      </c>
    </row>
    <row r="64" spans="2:2" x14ac:dyDescent="0.25">
      <c r="B64" t="s">
        <v>1216</v>
      </c>
    </row>
    <row r="65" spans="2:2" x14ac:dyDescent="0.25">
      <c r="B65" t="s">
        <v>1217</v>
      </c>
    </row>
    <row r="66" spans="2:2" x14ac:dyDescent="0.25">
      <c r="B66" t="s">
        <v>1218</v>
      </c>
    </row>
    <row r="67" spans="2:2" x14ac:dyDescent="0.25">
      <c r="B67" t="s">
        <v>1219</v>
      </c>
    </row>
    <row r="68" spans="2:2" x14ac:dyDescent="0.25">
      <c r="B68" t="s">
        <v>1220</v>
      </c>
    </row>
    <row r="69" spans="2:2" x14ac:dyDescent="0.25">
      <c r="B69" t="s">
        <v>1221</v>
      </c>
    </row>
    <row r="70" spans="2:2" x14ac:dyDescent="0.25">
      <c r="B70" t="s">
        <v>1222</v>
      </c>
    </row>
    <row r="71" spans="2:2" x14ac:dyDescent="0.25">
      <c r="B71" t="s">
        <v>1223</v>
      </c>
    </row>
    <row r="72" spans="2:2" x14ac:dyDescent="0.25">
      <c r="B72" t="s">
        <v>1224</v>
      </c>
    </row>
    <row r="73" spans="2:2" x14ac:dyDescent="0.25">
      <c r="B73" t="s">
        <v>1225</v>
      </c>
    </row>
    <row r="74" spans="2:2" x14ac:dyDescent="0.25">
      <c r="B74" t="s">
        <v>1226</v>
      </c>
    </row>
    <row r="75" spans="2:2" x14ac:dyDescent="0.25">
      <c r="B75" t="s">
        <v>1227</v>
      </c>
    </row>
    <row r="76" spans="2:2" x14ac:dyDescent="0.25">
      <c r="B76" t="s">
        <v>1228</v>
      </c>
    </row>
    <row r="77" spans="2:2" x14ac:dyDescent="0.25">
      <c r="B77" t="s">
        <v>1229</v>
      </c>
    </row>
    <row r="78" spans="2:2" x14ac:dyDescent="0.25">
      <c r="B78" t="s">
        <v>1230</v>
      </c>
    </row>
    <row r="79" spans="2:2" x14ac:dyDescent="0.25">
      <c r="B79" t="s">
        <v>1231</v>
      </c>
    </row>
    <row r="80" spans="2:2" x14ac:dyDescent="0.25">
      <c r="B80" t="s">
        <v>1232</v>
      </c>
    </row>
    <row r="81" spans="2:2" x14ac:dyDescent="0.25">
      <c r="B81" t="s">
        <v>1233</v>
      </c>
    </row>
    <row r="82" spans="2:2" x14ac:dyDescent="0.25">
      <c r="B82" t="s">
        <v>1234</v>
      </c>
    </row>
    <row r="83" spans="2:2" x14ac:dyDescent="0.25">
      <c r="B83" t="s">
        <v>1235</v>
      </c>
    </row>
    <row r="84" spans="2:2" x14ac:dyDescent="0.25">
      <c r="B84" t="s">
        <v>1236</v>
      </c>
    </row>
    <row r="85" spans="2:2" x14ac:dyDescent="0.25">
      <c r="B85" t="s">
        <v>1237</v>
      </c>
    </row>
    <row r="86" spans="2:2" x14ac:dyDescent="0.25">
      <c r="B86" t="s">
        <v>1238</v>
      </c>
    </row>
    <row r="87" spans="2:2" x14ac:dyDescent="0.25">
      <c r="B87" t="s">
        <v>1239</v>
      </c>
    </row>
    <row r="88" spans="2:2" x14ac:dyDescent="0.25">
      <c r="B88" t="s">
        <v>1240</v>
      </c>
    </row>
    <row r="89" spans="2:2" x14ac:dyDescent="0.25">
      <c r="B89" t="s">
        <v>1241</v>
      </c>
    </row>
    <row r="90" spans="2:2" x14ac:dyDescent="0.25">
      <c r="B90" t="s">
        <v>1242</v>
      </c>
    </row>
    <row r="91" spans="2:2" x14ac:dyDescent="0.25">
      <c r="B91" t="s">
        <v>1243</v>
      </c>
    </row>
    <row r="92" spans="2:2" x14ac:dyDescent="0.25">
      <c r="B92" t="s">
        <v>1244</v>
      </c>
    </row>
    <row r="93" spans="2:2" x14ac:dyDescent="0.25">
      <c r="B93" t="s">
        <v>1245</v>
      </c>
    </row>
    <row r="94" spans="2:2" x14ac:dyDescent="0.25">
      <c r="B94" t="s">
        <v>1246</v>
      </c>
    </row>
    <row r="95" spans="2:2" x14ac:dyDescent="0.25">
      <c r="B95" t="s">
        <v>1247</v>
      </c>
    </row>
    <row r="96" spans="2:2" x14ac:dyDescent="0.25">
      <c r="B96" t="s">
        <v>1248</v>
      </c>
    </row>
    <row r="97" spans="2:2" x14ac:dyDescent="0.25">
      <c r="B97" t="s">
        <v>1249</v>
      </c>
    </row>
    <row r="98" spans="2:2" x14ac:dyDescent="0.25">
      <c r="B98" t="s">
        <v>1250</v>
      </c>
    </row>
    <row r="99" spans="2:2" x14ac:dyDescent="0.25">
      <c r="B99" t="s">
        <v>1251</v>
      </c>
    </row>
    <row r="100" spans="2:2" x14ac:dyDescent="0.25">
      <c r="B100" t="s">
        <v>1252</v>
      </c>
    </row>
    <row r="101" spans="2:2" x14ac:dyDescent="0.25">
      <c r="B101" t="s">
        <v>1253</v>
      </c>
    </row>
    <row r="102" spans="2:2" x14ac:dyDescent="0.25">
      <c r="B102" t="s">
        <v>1254</v>
      </c>
    </row>
    <row r="103" spans="2:2" x14ac:dyDescent="0.25">
      <c r="B103" t="s">
        <v>1255</v>
      </c>
    </row>
    <row r="104" spans="2:2" x14ac:dyDescent="0.25">
      <c r="B104" t="s">
        <v>1256</v>
      </c>
    </row>
    <row r="105" spans="2:2" x14ac:dyDescent="0.25">
      <c r="B105" t="s">
        <v>1257</v>
      </c>
    </row>
    <row r="106" spans="2:2" x14ac:dyDescent="0.25">
      <c r="B106" t="s">
        <v>1258</v>
      </c>
    </row>
    <row r="107" spans="2:2" x14ac:dyDescent="0.25">
      <c r="B107" t="s">
        <v>1259</v>
      </c>
    </row>
    <row r="108" spans="2:2" x14ac:dyDescent="0.25">
      <c r="B108" t="s">
        <v>1260</v>
      </c>
    </row>
    <row r="109" spans="2:2" x14ac:dyDescent="0.25">
      <c r="B109" t="s">
        <v>1261</v>
      </c>
    </row>
    <row r="110" spans="2:2" x14ac:dyDescent="0.25">
      <c r="B110" t="s">
        <v>1262</v>
      </c>
    </row>
    <row r="111" spans="2:2" x14ac:dyDescent="0.25">
      <c r="B111" t="s">
        <v>1263</v>
      </c>
    </row>
    <row r="112" spans="2:2" x14ac:dyDescent="0.25">
      <c r="B112" t="s">
        <v>1264</v>
      </c>
    </row>
    <row r="113" spans="2:2" x14ac:dyDescent="0.25">
      <c r="B113" t="s">
        <v>1265</v>
      </c>
    </row>
    <row r="114" spans="2:2" x14ac:dyDescent="0.25">
      <c r="B114" t="s">
        <v>1266</v>
      </c>
    </row>
    <row r="115" spans="2:2" x14ac:dyDescent="0.25">
      <c r="B115" t="s">
        <v>1267</v>
      </c>
    </row>
    <row r="116" spans="2:2" x14ac:dyDescent="0.25">
      <c r="B116" t="s">
        <v>1268</v>
      </c>
    </row>
    <row r="117" spans="2:2" x14ac:dyDescent="0.25">
      <c r="B117" t="s">
        <v>1269</v>
      </c>
    </row>
    <row r="118" spans="2:2" x14ac:dyDescent="0.25">
      <c r="B118" t="s">
        <v>1270</v>
      </c>
    </row>
    <row r="119" spans="2:2" x14ac:dyDescent="0.25">
      <c r="B119" t="s">
        <v>1271</v>
      </c>
    </row>
    <row r="120" spans="2:2" x14ac:dyDescent="0.25">
      <c r="B120" t="s">
        <v>1272</v>
      </c>
    </row>
    <row r="121" spans="2:2" x14ac:dyDescent="0.25">
      <c r="B121" t="s">
        <v>1273</v>
      </c>
    </row>
    <row r="122" spans="2:2" x14ac:dyDescent="0.25">
      <c r="B122" t="s">
        <v>1274</v>
      </c>
    </row>
    <row r="123" spans="2:2" x14ac:dyDescent="0.25">
      <c r="B123" t="s">
        <v>1275</v>
      </c>
    </row>
    <row r="124" spans="2:2" x14ac:dyDescent="0.25">
      <c r="B124" t="s">
        <v>1276</v>
      </c>
    </row>
    <row r="125" spans="2:2" x14ac:dyDescent="0.25">
      <c r="B125" t="s">
        <v>1277</v>
      </c>
    </row>
    <row r="126" spans="2:2" x14ac:dyDescent="0.25">
      <c r="B126" t="s">
        <v>1278</v>
      </c>
    </row>
    <row r="127" spans="2:2" x14ac:dyDescent="0.25">
      <c r="B127" t="s">
        <v>1279</v>
      </c>
    </row>
    <row r="128" spans="2:2" x14ac:dyDescent="0.25">
      <c r="B128" t="s">
        <v>1280</v>
      </c>
    </row>
    <row r="129" spans="2:2" x14ac:dyDescent="0.25">
      <c r="B129" t="s">
        <v>1281</v>
      </c>
    </row>
    <row r="130" spans="2:2" x14ac:dyDescent="0.25">
      <c r="B130" t="s">
        <v>1282</v>
      </c>
    </row>
    <row r="131" spans="2:2" x14ac:dyDescent="0.25">
      <c r="B131" t="s">
        <v>1283</v>
      </c>
    </row>
    <row r="132" spans="2:2" x14ac:dyDescent="0.25">
      <c r="B132" t="s">
        <v>1284</v>
      </c>
    </row>
    <row r="133" spans="2:2" x14ac:dyDescent="0.25">
      <c r="B133" t="s">
        <v>1285</v>
      </c>
    </row>
    <row r="134" spans="2:2" x14ac:dyDescent="0.25">
      <c r="B134" t="s">
        <v>1286</v>
      </c>
    </row>
    <row r="135" spans="2:2" x14ac:dyDescent="0.25">
      <c r="B135" t="s">
        <v>1287</v>
      </c>
    </row>
    <row r="136" spans="2:2" x14ac:dyDescent="0.25">
      <c r="B136" t="s">
        <v>1288</v>
      </c>
    </row>
    <row r="137" spans="2:2" x14ac:dyDescent="0.25">
      <c r="B137" t="s">
        <v>1289</v>
      </c>
    </row>
    <row r="138" spans="2:2" x14ac:dyDescent="0.25">
      <c r="B138" t="s">
        <v>1290</v>
      </c>
    </row>
    <row r="139" spans="2:2" x14ac:dyDescent="0.25">
      <c r="B139" t="s">
        <v>1291</v>
      </c>
    </row>
    <row r="140" spans="2:2" x14ac:dyDescent="0.25">
      <c r="B140" t="s">
        <v>1292</v>
      </c>
    </row>
    <row r="141" spans="2:2" x14ac:dyDescent="0.25">
      <c r="B141" t="s">
        <v>1293</v>
      </c>
    </row>
    <row r="142" spans="2:2" x14ac:dyDescent="0.25">
      <c r="B142" t="s">
        <v>1294</v>
      </c>
    </row>
    <row r="143" spans="2:2" x14ac:dyDescent="0.25">
      <c r="B143" t="s">
        <v>1295</v>
      </c>
    </row>
    <row r="144" spans="2:2" x14ac:dyDescent="0.25">
      <c r="B144" t="s">
        <v>1296</v>
      </c>
    </row>
    <row r="145" spans="2:2" x14ac:dyDescent="0.25">
      <c r="B145" t="s">
        <v>1297</v>
      </c>
    </row>
    <row r="146" spans="2:2" x14ac:dyDescent="0.25">
      <c r="B146" t="s">
        <v>1298</v>
      </c>
    </row>
    <row r="147" spans="2:2" x14ac:dyDescent="0.25">
      <c r="B147" t="s">
        <v>1299</v>
      </c>
    </row>
    <row r="148" spans="2:2" x14ac:dyDescent="0.25">
      <c r="B148" t="s">
        <v>1300</v>
      </c>
    </row>
    <row r="149" spans="2:2" x14ac:dyDescent="0.25">
      <c r="B149" t="s">
        <v>1301</v>
      </c>
    </row>
    <row r="150" spans="2:2" x14ac:dyDescent="0.25">
      <c r="B150" t="s">
        <v>1302</v>
      </c>
    </row>
    <row r="151" spans="2:2" x14ac:dyDescent="0.25">
      <c r="B151" t="s">
        <v>1303</v>
      </c>
    </row>
    <row r="152" spans="2:2" x14ac:dyDescent="0.25">
      <c r="B152" t="s">
        <v>1304</v>
      </c>
    </row>
    <row r="153" spans="2:2" x14ac:dyDescent="0.25">
      <c r="B153" t="s">
        <v>1305</v>
      </c>
    </row>
    <row r="154" spans="2:2" x14ac:dyDescent="0.25">
      <c r="B154" t="s">
        <v>1306</v>
      </c>
    </row>
    <row r="155" spans="2:2" x14ac:dyDescent="0.25">
      <c r="B155" t="s">
        <v>1307</v>
      </c>
    </row>
    <row r="156" spans="2:2" x14ac:dyDescent="0.25">
      <c r="B156" t="s">
        <v>1308</v>
      </c>
    </row>
    <row r="157" spans="2:2" x14ac:dyDescent="0.25">
      <c r="B157" t="s">
        <v>1309</v>
      </c>
    </row>
    <row r="158" spans="2:2" x14ac:dyDescent="0.25">
      <c r="B158" t="s">
        <v>1310</v>
      </c>
    </row>
    <row r="159" spans="2:2" x14ac:dyDescent="0.25">
      <c r="B159" t="s">
        <v>1311</v>
      </c>
    </row>
    <row r="160" spans="2:2" x14ac:dyDescent="0.25">
      <c r="B160" t="s">
        <v>1312</v>
      </c>
    </row>
    <row r="161" spans="2:2" x14ac:dyDescent="0.25">
      <c r="B161" t="s">
        <v>1313</v>
      </c>
    </row>
    <row r="162" spans="2:2" x14ac:dyDescent="0.25">
      <c r="B162" t="s">
        <v>1314</v>
      </c>
    </row>
    <row r="163" spans="2:2" x14ac:dyDescent="0.25">
      <c r="B163" t="s">
        <v>1315</v>
      </c>
    </row>
    <row r="164" spans="2:2" x14ac:dyDescent="0.25">
      <c r="B164" t="s">
        <v>1316</v>
      </c>
    </row>
    <row r="165" spans="2:2" x14ac:dyDescent="0.25">
      <c r="B165" t="s">
        <v>1317</v>
      </c>
    </row>
    <row r="166" spans="2:2" x14ac:dyDescent="0.25">
      <c r="B166" t="s">
        <v>1318</v>
      </c>
    </row>
    <row r="167" spans="2:2" x14ac:dyDescent="0.25">
      <c r="B167" t="s">
        <v>1319</v>
      </c>
    </row>
    <row r="168" spans="2:2" x14ac:dyDescent="0.25">
      <c r="B168" t="s">
        <v>1320</v>
      </c>
    </row>
    <row r="169" spans="2:2" x14ac:dyDescent="0.25">
      <c r="B169" t="s">
        <v>1321</v>
      </c>
    </row>
    <row r="170" spans="2:2" x14ac:dyDescent="0.25">
      <c r="B170" t="s">
        <v>1322</v>
      </c>
    </row>
    <row r="171" spans="2:2" x14ac:dyDescent="0.25">
      <c r="B171" t="s">
        <v>1323</v>
      </c>
    </row>
    <row r="172" spans="2:2" x14ac:dyDescent="0.25">
      <c r="B172" t="s">
        <v>1324</v>
      </c>
    </row>
    <row r="173" spans="2:2" x14ac:dyDescent="0.25">
      <c r="B173" t="s">
        <v>1325</v>
      </c>
    </row>
    <row r="174" spans="2:2" x14ac:dyDescent="0.25">
      <c r="B174" t="s">
        <v>1326</v>
      </c>
    </row>
    <row r="175" spans="2:2" x14ac:dyDescent="0.25">
      <c r="B175" t="s">
        <v>1327</v>
      </c>
    </row>
    <row r="176" spans="2:2" x14ac:dyDescent="0.25">
      <c r="B176" t="s">
        <v>1328</v>
      </c>
    </row>
    <row r="177" spans="2:2" x14ac:dyDescent="0.25">
      <c r="B177" t="s">
        <v>1329</v>
      </c>
    </row>
    <row r="178" spans="2:2" x14ac:dyDescent="0.25">
      <c r="B178" t="s">
        <v>1330</v>
      </c>
    </row>
    <row r="179" spans="2:2" x14ac:dyDescent="0.25">
      <c r="B179" t="s">
        <v>1331</v>
      </c>
    </row>
    <row r="180" spans="2:2" x14ac:dyDescent="0.25">
      <c r="B180" t="s">
        <v>1332</v>
      </c>
    </row>
    <row r="181" spans="2:2" x14ac:dyDescent="0.25">
      <c r="B181" t="s">
        <v>1333</v>
      </c>
    </row>
    <row r="182" spans="2:2" x14ac:dyDescent="0.25">
      <c r="B182" t="s">
        <v>1334</v>
      </c>
    </row>
    <row r="183" spans="2:2" x14ac:dyDescent="0.25">
      <c r="B183" t="s">
        <v>1335</v>
      </c>
    </row>
    <row r="184" spans="2:2" x14ac:dyDescent="0.25">
      <c r="B184" t="s">
        <v>1336</v>
      </c>
    </row>
    <row r="185" spans="2:2" x14ac:dyDescent="0.25">
      <c r="B185" t="s">
        <v>1337</v>
      </c>
    </row>
    <row r="186" spans="2:2" x14ac:dyDescent="0.25">
      <c r="B186" t="s">
        <v>1338</v>
      </c>
    </row>
    <row r="187" spans="2:2" x14ac:dyDescent="0.25">
      <c r="B187" t="s">
        <v>1339</v>
      </c>
    </row>
    <row r="188" spans="2:2" x14ac:dyDescent="0.25">
      <c r="B188" t="s">
        <v>1340</v>
      </c>
    </row>
    <row r="189" spans="2:2" x14ac:dyDescent="0.25">
      <c r="B189" t="s">
        <v>1341</v>
      </c>
    </row>
    <row r="190" spans="2:2" x14ac:dyDescent="0.25">
      <c r="B190" t="s">
        <v>1342</v>
      </c>
    </row>
    <row r="191" spans="2:2" x14ac:dyDescent="0.25">
      <c r="B191" t="s">
        <v>1343</v>
      </c>
    </row>
    <row r="192" spans="2:2" x14ac:dyDescent="0.25">
      <c r="B192" t="s">
        <v>1344</v>
      </c>
    </row>
    <row r="193" spans="2:2" x14ac:dyDescent="0.25">
      <c r="B193" t="s">
        <v>1345</v>
      </c>
    </row>
    <row r="194" spans="2:2" x14ac:dyDescent="0.25">
      <c r="B194" t="s">
        <v>1346</v>
      </c>
    </row>
    <row r="195" spans="2:2" x14ac:dyDescent="0.25">
      <c r="B195" t="s">
        <v>1347</v>
      </c>
    </row>
    <row r="196" spans="2:2" x14ac:dyDescent="0.25">
      <c r="B196" t="s">
        <v>1348</v>
      </c>
    </row>
    <row r="197" spans="2:2" x14ac:dyDescent="0.25">
      <c r="B197" t="s">
        <v>1349</v>
      </c>
    </row>
    <row r="198" spans="2:2" x14ac:dyDescent="0.25">
      <c r="B198" t="s">
        <v>1350</v>
      </c>
    </row>
    <row r="199" spans="2:2" x14ac:dyDescent="0.25">
      <c r="B199" t="s">
        <v>1351</v>
      </c>
    </row>
    <row r="200" spans="2:2" x14ac:dyDescent="0.25">
      <c r="B200" t="s">
        <v>1352</v>
      </c>
    </row>
    <row r="201" spans="2:2" x14ac:dyDescent="0.25">
      <c r="B201" t="s">
        <v>1353</v>
      </c>
    </row>
    <row r="202" spans="2:2" x14ac:dyDescent="0.25">
      <c r="B202" t="s">
        <v>1354</v>
      </c>
    </row>
    <row r="203" spans="2:2" x14ac:dyDescent="0.25">
      <c r="B203" t="s">
        <v>1355</v>
      </c>
    </row>
    <row r="204" spans="2:2" x14ac:dyDescent="0.25">
      <c r="B204" t="s">
        <v>1356</v>
      </c>
    </row>
    <row r="205" spans="2:2" x14ac:dyDescent="0.25">
      <c r="B205" t="s">
        <v>1357</v>
      </c>
    </row>
    <row r="206" spans="2:2" x14ac:dyDescent="0.25">
      <c r="B206" t="s">
        <v>1358</v>
      </c>
    </row>
    <row r="207" spans="2:2" x14ac:dyDescent="0.25">
      <c r="B207" t="s">
        <v>1359</v>
      </c>
    </row>
    <row r="208" spans="2:2" x14ac:dyDescent="0.25">
      <c r="B208" t="s">
        <v>1360</v>
      </c>
    </row>
    <row r="209" spans="2:2" x14ac:dyDescent="0.25">
      <c r="B209" t="s">
        <v>1361</v>
      </c>
    </row>
    <row r="210" spans="2:2" x14ac:dyDescent="0.25">
      <c r="B210" t="s">
        <v>1362</v>
      </c>
    </row>
    <row r="211" spans="2:2" x14ac:dyDescent="0.25">
      <c r="B211" t="s">
        <v>1363</v>
      </c>
    </row>
    <row r="212" spans="2:2" x14ac:dyDescent="0.25">
      <c r="B212" t="s">
        <v>1364</v>
      </c>
    </row>
    <row r="213" spans="2:2" x14ac:dyDescent="0.25">
      <c r="B213" t="s">
        <v>1365</v>
      </c>
    </row>
    <row r="214" spans="2:2" x14ac:dyDescent="0.25">
      <c r="B214" t="s">
        <v>1366</v>
      </c>
    </row>
    <row r="215" spans="2:2" x14ac:dyDescent="0.25">
      <c r="B215" t="s">
        <v>1367</v>
      </c>
    </row>
    <row r="216" spans="2:2" x14ac:dyDescent="0.25">
      <c r="B216" t="s">
        <v>1368</v>
      </c>
    </row>
    <row r="217" spans="2:2" x14ac:dyDescent="0.25">
      <c r="B217" t="s">
        <v>1369</v>
      </c>
    </row>
    <row r="218" spans="2:2" x14ac:dyDescent="0.25">
      <c r="B218" t="s">
        <v>1370</v>
      </c>
    </row>
    <row r="219" spans="2:2" x14ac:dyDescent="0.25">
      <c r="B219" t="s">
        <v>1371</v>
      </c>
    </row>
    <row r="220" spans="2:2" x14ac:dyDescent="0.25">
      <c r="B220" t="s">
        <v>1372</v>
      </c>
    </row>
    <row r="221" spans="2:2" x14ac:dyDescent="0.25">
      <c r="B221" t="s">
        <v>1373</v>
      </c>
    </row>
    <row r="222" spans="2:2" x14ac:dyDescent="0.25">
      <c r="B222" t="s">
        <v>1374</v>
      </c>
    </row>
    <row r="223" spans="2:2" x14ac:dyDescent="0.25">
      <c r="B223" t="s">
        <v>1375</v>
      </c>
    </row>
    <row r="224" spans="2:2" x14ac:dyDescent="0.25">
      <c r="B224" t="s">
        <v>1376</v>
      </c>
    </row>
    <row r="225" spans="2:2" x14ac:dyDescent="0.25">
      <c r="B225" t="s">
        <v>1377</v>
      </c>
    </row>
    <row r="226" spans="2:2" x14ac:dyDescent="0.25">
      <c r="B226" t="s">
        <v>1378</v>
      </c>
    </row>
    <row r="227" spans="2:2" x14ac:dyDescent="0.25">
      <c r="B227" t="s">
        <v>1379</v>
      </c>
    </row>
    <row r="228" spans="2:2" x14ac:dyDescent="0.25">
      <c r="B228" t="s">
        <v>1380</v>
      </c>
    </row>
    <row r="229" spans="2:2" x14ac:dyDescent="0.25">
      <c r="B229" t="s">
        <v>1381</v>
      </c>
    </row>
    <row r="230" spans="2:2" x14ac:dyDescent="0.25">
      <c r="B230" t="s">
        <v>1382</v>
      </c>
    </row>
    <row r="231" spans="2:2" x14ac:dyDescent="0.25">
      <c r="B231" t="s">
        <v>1383</v>
      </c>
    </row>
    <row r="232" spans="2:2" x14ac:dyDescent="0.25">
      <c r="B232" t="s">
        <v>1384</v>
      </c>
    </row>
    <row r="233" spans="2:2" x14ac:dyDescent="0.25">
      <c r="B233" t="s">
        <v>1385</v>
      </c>
    </row>
    <row r="234" spans="2:2" x14ac:dyDescent="0.25">
      <c r="B234" t="s">
        <v>1386</v>
      </c>
    </row>
    <row r="235" spans="2:2" x14ac:dyDescent="0.25">
      <c r="B235" t="s">
        <v>1387</v>
      </c>
    </row>
    <row r="236" spans="2:2" x14ac:dyDescent="0.25">
      <c r="B236" t="s">
        <v>1388</v>
      </c>
    </row>
    <row r="237" spans="2:2" x14ac:dyDescent="0.25">
      <c r="B237" t="s">
        <v>1389</v>
      </c>
    </row>
    <row r="238" spans="2:2" x14ac:dyDescent="0.25">
      <c r="B238" t="s">
        <v>1390</v>
      </c>
    </row>
    <row r="239" spans="2:2" x14ac:dyDescent="0.25">
      <c r="B239" t="s">
        <v>1391</v>
      </c>
    </row>
    <row r="240" spans="2:2" x14ac:dyDescent="0.25">
      <c r="B240" t="s">
        <v>1392</v>
      </c>
    </row>
    <row r="241" spans="2:2" x14ac:dyDescent="0.25">
      <c r="B241" t="s">
        <v>1393</v>
      </c>
    </row>
    <row r="242" spans="2:2" x14ac:dyDescent="0.25">
      <c r="B242" t="s">
        <v>1394</v>
      </c>
    </row>
    <row r="243" spans="2:2" x14ac:dyDescent="0.25">
      <c r="B243" t="s">
        <v>1395</v>
      </c>
    </row>
    <row r="244" spans="2:2" x14ac:dyDescent="0.25">
      <c r="B244" t="s">
        <v>1396</v>
      </c>
    </row>
    <row r="245" spans="2:2" x14ac:dyDescent="0.25">
      <c r="B245" t="s">
        <v>1397</v>
      </c>
    </row>
    <row r="246" spans="2:2" x14ac:dyDescent="0.25">
      <c r="B246" t="s">
        <v>1398</v>
      </c>
    </row>
    <row r="247" spans="2:2" x14ac:dyDescent="0.25">
      <c r="B247" t="s">
        <v>1399</v>
      </c>
    </row>
    <row r="248" spans="2:2" x14ac:dyDescent="0.25">
      <c r="B248" t="s">
        <v>1400</v>
      </c>
    </row>
    <row r="249" spans="2:2" x14ac:dyDescent="0.25">
      <c r="B249" t="s">
        <v>1401</v>
      </c>
    </row>
    <row r="250" spans="2:2" x14ac:dyDescent="0.25">
      <c r="B250" t="s">
        <v>1402</v>
      </c>
    </row>
    <row r="251" spans="2:2" x14ac:dyDescent="0.25">
      <c r="B251" t="s">
        <v>1403</v>
      </c>
    </row>
    <row r="252" spans="2:2" x14ac:dyDescent="0.25">
      <c r="B252" t="s">
        <v>1404</v>
      </c>
    </row>
    <row r="253" spans="2:2" x14ac:dyDescent="0.25">
      <c r="B253" t="s">
        <v>1405</v>
      </c>
    </row>
    <row r="254" spans="2:2" x14ac:dyDescent="0.25">
      <c r="B254" t="s">
        <v>1406</v>
      </c>
    </row>
  </sheetData>
  <conditionalFormatting sqref="B2:B254">
    <cfRule type="expression" dxfId="2" priority="1">
      <formula>#REF!&lt;&gt;B2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4F0B8-E911-4B6A-97F9-7F46BD8617ED}">
  <sheetPr codeName="Sheet4">
    <tabColor theme="6"/>
  </sheetPr>
  <dimension ref="C2:C250"/>
  <sheetViews>
    <sheetView workbookViewId="0"/>
  </sheetViews>
  <sheetFormatPr defaultRowHeight="15" x14ac:dyDescent="0.25"/>
  <cols>
    <col min="3" max="3" width="95.42578125" bestFit="1" customWidth="1"/>
  </cols>
  <sheetData>
    <row r="2" spans="3:3" x14ac:dyDescent="0.25">
      <c r="C2" t="s">
        <v>1407</v>
      </c>
    </row>
    <row r="3" spans="3:3" x14ac:dyDescent="0.25">
      <c r="C3" t="s">
        <v>1408</v>
      </c>
    </row>
    <row r="4" spans="3:3" x14ac:dyDescent="0.25">
      <c r="C4" t="s">
        <v>1409</v>
      </c>
    </row>
    <row r="5" spans="3:3" x14ac:dyDescent="0.25">
      <c r="C5" t="s">
        <v>1410</v>
      </c>
    </row>
    <row r="6" spans="3:3" x14ac:dyDescent="0.25">
      <c r="C6" t="s">
        <v>1411</v>
      </c>
    </row>
    <row r="7" spans="3:3" x14ac:dyDescent="0.25">
      <c r="C7" t="s">
        <v>1412</v>
      </c>
    </row>
    <row r="8" spans="3:3" x14ac:dyDescent="0.25">
      <c r="C8" t="s">
        <v>1413</v>
      </c>
    </row>
    <row r="9" spans="3:3" x14ac:dyDescent="0.25">
      <c r="C9" t="s">
        <v>1414</v>
      </c>
    </row>
    <row r="10" spans="3:3" x14ac:dyDescent="0.25">
      <c r="C10" t="s">
        <v>1415</v>
      </c>
    </row>
    <row r="11" spans="3:3" x14ac:dyDescent="0.25">
      <c r="C11" t="s">
        <v>1416</v>
      </c>
    </row>
    <row r="12" spans="3:3" x14ac:dyDescent="0.25">
      <c r="C12" t="s">
        <v>1417</v>
      </c>
    </row>
    <row r="13" spans="3:3" x14ac:dyDescent="0.25">
      <c r="C13" t="s">
        <v>1418</v>
      </c>
    </row>
    <row r="14" spans="3:3" x14ac:dyDescent="0.25">
      <c r="C14" t="s">
        <v>1419</v>
      </c>
    </row>
    <row r="15" spans="3:3" x14ac:dyDescent="0.25">
      <c r="C15" t="s">
        <v>1420</v>
      </c>
    </row>
    <row r="16" spans="3:3" x14ac:dyDescent="0.25">
      <c r="C16" t="s">
        <v>1421</v>
      </c>
    </row>
    <row r="17" spans="3:3" x14ac:dyDescent="0.25">
      <c r="C17" t="s">
        <v>1422</v>
      </c>
    </row>
    <row r="18" spans="3:3" x14ac:dyDescent="0.25">
      <c r="C18" t="s">
        <v>1423</v>
      </c>
    </row>
    <row r="19" spans="3:3" x14ac:dyDescent="0.25">
      <c r="C19" t="s">
        <v>1424</v>
      </c>
    </row>
    <row r="20" spans="3:3" x14ac:dyDescent="0.25">
      <c r="C20" t="s">
        <v>1425</v>
      </c>
    </row>
    <row r="21" spans="3:3" x14ac:dyDescent="0.25">
      <c r="C21" t="s">
        <v>1426</v>
      </c>
    </row>
    <row r="22" spans="3:3" x14ac:dyDescent="0.25">
      <c r="C22" t="s">
        <v>1427</v>
      </c>
    </row>
    <row r="23" spans="3:3" x14ac:dyDescent="0.25">
      <c r="C23" t="s">
        <v>1428</v>
      </c>
    </row>
    <row r="24" spans="3:3" x14ac:dyDescent="0.25">
      <c r="C24" t="s">
        <v>1429</v>
      </c>
    </row>
    <row r="25" spans="3:3" x14ac:dyDescent="0.25">
      <c r="C25" t="s">
        <v>1430</v>
      </c>
    </row>
    <row r="26" spans="3:3" x14ac:dyDescent="0.25">
      <c r="C26" t="s">
        <v>1431</v>
      </c>
    </row>
    <row r="27" spans="3:3" x14ac:dyDescent="0.25">
      <c r="C27" t="s">
        <v>1432</v>
      </c>
    </row>
    <row r="28" spans="3:3" x14ac:dyDescent="0.25">
      <c r="C28" t="s">
        <v>1433</v>
      </c>
    </row>
    <row r="29" spans="3:3" x14ac:dyDescent="0.25">
      <c r="C29" t="s">
        <v>1434</v>
      </c>
    </row>
    <row r="30" spans="3:3" x14ac:dyDescent="0.25">
      <c r="C30" t="s">
        <v>1435</v>
      </c>
    </row>
    <row r="31" spans="3:3" x14ac:dyDescent="0.25">
      <c r="C31" t="s">
        <v>1436</v>
      </c>
    </row>
    <row r="32" spans="3:3" x14ac:dyDescent="0.25">
      <c r="C32" t="s">
        <v>1437</v>
      </c>
    </row>
    <row r="33" spans="3:3" x14ac:dyDescent="0.25">
      <c r="C33" t="s">
        <v>1438</v>
      </c>
    </row>
    <row r="34" spans="3:3" x14ac:dyDescent="0.25">
      <c r="C34" t="s">
        <v>1439</v>
      </c>
    </row>
    <row r="35" spans="3:3" x14ac:dyDescent="0.25">
      <c r="C35" t="s">
        <v>1440</v>
      </c>
    </row>
    <row r="36" spans="3:3" x14ac:dyDescent="0.25">
      <c r="C36" t="s">
        <v>1441</v>
      </c>
    </row>
    <row r="37" spans="3:3" x14ac:dyDescent="0.25">
      <c r="C37" t="s">
        <v>1442</v>
      </c>
    </row>
    <row r="38" spans="3:3" x14ac:dyDescent="0.25">
      <c r="C38" t="s">
        <v>1443</v>
      </c>
    </row>
    <row r="39" spans="3:3" x14ac:dyDescent="0.25">
      <c r="C39" t="s">
        <v>1444</v>
      </c>
    </row>
    <row r="40" spans="3:3" x14ac:dyDescent="0.25">
      <c r="C40" t="s">
        <v>1445</v>
      </c>
    </row>
    <row r="41" spans="3:3" x14ac:dyDescent="0.25">
      <c r="C41" t="s">
        <v>1446</v>
      </c>
    </row>
    <row r="42" spans="3:3" x14ac:dyDescent="0.25">
      <c r="C42" t="s">
        <v>1447</v>
      </c>
    </row>
    <row r="43" spans="3:3" x14ac:dyDescent="0.25">
      <c r="C43" t="s">
        <v>1448</v>
      </c>
    </row>
    <row r="44" spans="3:3" x14ac:dyDescent="0.25">
      <c r="C44" t="s">
        <v>1449</v>
      </c>
    </row>
    <row r="45" spans="3:3" x14ac:dyDescent="0.25">
      <c r="C45" t="s">
        <v>1450</v>
      </c>
    </row>
    <row r="46" spans="3:3" x14ac:dyDescent="0.25">
      <c r="C46" t="s">
        <v>1451</v>
      </c>
    </row>
    <row r="47" spans="3:3" x14ac:dyDescent="0.25">
      <c r="C47" t="s">
        <v>1452</v>
      </c>
    </row>
    <row r="48" spans="3:3" x14ac:dyDescent="0.25">
      <c r="C48" t="s">
        <v>1453</v>
      </c>
    </row>
    <row r="49" spans="3:3" x14ac:dyDescent="0.25">
      <c r="C49" t="s">
        <v>1454</v>
      </c>
    </row>
    <row r="50" spans="3:3" x14ac:dyDescent="0.25">
      <c r="C50" t="s">
        <v>1455</v>
      </c>
    </row>
    <row r="51" spans="3:3" x14ac:dyDescent="0.25">
      <c r="C51" t="s">
        <v>1456</v>
      </c>
    </row>
    <row r="52" spans="3:3" x14ac:dyDescent="0.25">
      <c r="C52" t="s">
        <v>1457</v>
      </c>
    </row>
    <row r="53" spans="3:3" x14ac:dyDescent="0.25">
      <c r="C53" t="s">
        <v>1458</v>
      </c>
    </row>
    <row r="54" spans="3:3" x14ac:dyDescent="0.25">
      <c r="C54" t="s">
        <v>1459</v>
      </c>
    </row>
    <row r="55" spans="3:3" x14ac:dyDescent="0.25">
      <c r="C55" t="s">
        <v>1460</v>
      </c>
    </row>
    <row r="56" spans="3:3" x14ac:dyDescent="0.25">
      <c r="C56" t="s">
        <v>1461</v>
      </c>
    </row>
    <row r="57" spans="3:3" x14ac:dyDescent="0.25">
      <c r="C57" t="s">
        <v>1462</v>
      </c>
    </row>
    <row r="58" spans="3:3" x14ac:dyDescent="0.25">
      <c r="C58" t="s">
        <v>1463</v>
      </c>
    </row>
    <row r="59" spans="3:3" x14ac:dyDescent="0.25">
      <c r="C59" t="s">
        <v>1464</v>
      </c>
    </row>
    <row r="60" spans="3:3" x14ac:dyDescent="0.25">
      <c r="C60" t="s">
        <v>1465</v>
      </c>
    </row>
    <row r="61" spans="3:3" x14ac:dyDescent="0.25">
      <c r="C61" t="s">
        <v>1466</v>
      </c>
    </row>
    <row r="62" spans="3:3" x14ac:dyDescent="0.25">
      <c r="C62" t="s">
        <v>1467</v>
      </c>
    </row>
    <row r="63" spans="3:3" x14ac:dyDescent="0.25">
      <c r="C63" t="s">
        <v>1468</v>
      </c>
    </row>
    <row r="64" spans="3:3" x14ac:dyDescent="0.25">
      <c r="C64" t="s">
        <v>1469</v>
      </c>
    </row>
    <row r="65" spans="3:3" x14ac:dyDescent="0.25">
      <c r="C65" t="s">
        <v>1470</v>
      </c>
    </row>
    <row r="66" spans="3:3" x14ac:dyDescent="0.25">
      <c r="C66" t="s">
        <v>1471</v>
      </c>
    </row>
    <row r="67" spans="3:3" x14ac:dyDescent="0.25">
      <c r="C67" t="s">
        <v>1472</v>
      </c>
    </row>
    <row r="68" spans="3:3" x14ac:dyDescent="0.25">
      <c r="C68" t="s">
        <v>1473</v>
      </c>
    </row>
    <row r="69" spans="3:3" x14ac:dyDescent="0.25">
      <c r="C69" t="s">
        <v>1474</v>
      </c>
    </row>
    <row r="70" spans="3:3" x14ac:dyDescent="0.25">
      <c r="C70" t="s">
        <v>1475</v>
      </c>
    </row>
    <row r="71" spans="3:3" x14ac:dyDescent="0.25">
      <c r="C71" t="s">
        <v>1476</v>
      </c>
    </row>
    <row r="72" spans="3:3" x14ac:dyDescent="0.25">
      <c r="C72" t="s">
        <v>1477</v>
      </c>
    </row>
    <row r="73" spans="3:3" x14ac:dyDescent="0.25">
      <c r="C73" t="s">
        <v>1478</v>
      </c>
    </row>
    <row r="74" spans="3:3" x14ac:dyDescent="0.25">
      <c r="C74" t="s">
        <v>1479</v>
      </c>
    </row>
    <row r="75" spans="3:3" x14ac:dyDescent="0.25">
      <c r="C75" t="s">
        <v>1480</v>
      </c>
    </row>
    <row r="76" spans="3:3" x14ac:dyDescent="0.25">
      <c r="C76" t="s">
        <v>1481</v>
      </c>
    </row>
    <row r="77" spans="3:3" x14ac:dyDescent="0.25">
      <c r="C77" t="s">
        <v>1482</v>
      </c>
    </row>
    <row r="78" spans="3:3" x14ac:dyDescent="0.25">
      <c r="C78" t="s">
        <v>1483</v>
      </c>
    </row>
    <row r="79" spans="3:3" x14ac:dyDescent="0.25">
      <c r="C79" t="s">
        <v>1484</v>
      </c>
    </row>
    <row r="80" spans="3:3" x14ac:dyDescent="0.25">
      <c r="C80" t="s">
        <v>1485</v>
      </c>
    </row>
    <row r="81" spans="3:3" x14ac:dyDescent="0.25">
      <c r="C81" t="s">
        <v>1486</v>
      </c>
    </row>
    <row r="82" spans="3:3" x14ac:dyDescent="0.25">
      <c r="C82" t="s">
        <v>1487</v>
      </c>
    </row>
    <row r="83" spans="3:3" x14ac:dyDescent="0.25">
      <c r="C83" t="s">
        <v>1488</v>
      </c>
    </row>
    <row r="84" spans="3:3" x14ac:dyDescent="0.25">
      <c r="C84" t="s">
        <v>1489</v>
      </c>
    </row>
    <row r="85" spans="3:3" x14ac:dyDescent="0.25">
      <c r="C85" t="s">
        <v>1490</v>
      </c>
    </row>
    <row r="86" spans="3:3" x14ac:dyDescent="0.25">
      <c r="C86" t="s">
        <v>1491</v>
      </c>
    </row>
    <row r="87" spans="3:3" x14ac:dyDescent="0.25">
      <c r="C87" t="s">
        <v>1492</v>
      </c>
    </row>
    <row r="88" spans="3:3" x14ac:dyDescent="0.25">
      <c r="C88" t="s">
        <v>1493</v>
      </c>
    </row>
    <row r="89" spans="3:3" x14ac:dyDescent="0.25">
      <c r="C89" t="s">
        <v>1494</v>
      </c>
    </row>
    <row r="90" spans="3:3" x14ac:dyDescent="0.25">
      <c r="C90" t="s">
        <v>1495</v>
      </c>
    </row>
    <row r="91" spans="3:3" x14ac:dyDescent="0.25">
      <c r="C91" t="s">
        <v>1496</v>
      </c>
    </row>
    <row r="92" spans="3:3" x14ac:dyDescent="0.25">
      <c r="C92" t="s">
        <v>1497</v>
      </c>
    </row>
    <row r="93" spans="3:3" x14ac:dyDescent="0.25">
      <c r="C93" t="s">
        <v>1498</v>
      </c>
    </row>
    <row r="94" spans="3:3" x14ac:dyDescent="0.25">
      <c r="C94" t="s">
        <v>1499</v>
      </c>
    </row>
    <row r="95" spans="3:3" x14ac:dyDescent="0.25">
      <c r="C95" t="s">
        <v>1500</v>
      </c>
    </row>
    <row r="96" spans="3:3" x14ac:dyDescent="0.25">
      <c r="C96" t="s">
        <v>1501</v>
      </c>
    </row>
    <row r="97" spans="3:3" x14ac:dyDescent="0.25">
      <c r="C97" t="s">
        <v>1502</v>
      </c>
    </row>
    <row r="98" spans="3:3" x14ac:dyDescent="0.25">
      <c r="C98" t="s">
        <v>1503</v>
      </c>
    </row>
    <row r="99" spans="3:3" x14ac:dyDescent="0.25">
      <c r="C99" t="s">
        <v>1504</v>
      </c>
    </row>
    <row r="100" spans="3:3" x14ac:dyDescent="0.25">
      <c r="C100" t="s">
        <v>1505</v>
      </c>
    </row>
    <row r="101" spans="3:3" x14ac:dyDescent="0.25">
      <c r="C101" t="s">
        <v>1506</v>
      </c>
    </row>
    <row r="102" spans="3:3" x14ac:dyDescent="0.25">
      <c r="C102" t="s">
        <v>1507</v>
      </c>
    </row>
    <row r="103" spans="3:3" x14ac:dyDescent="0.25">
      <c r="C103" t="s">
        <v>1508</v>
      </c>
    </row>
    <row r="104" spans="3:3" x14ac:dyDescent="0.25">
      <c r="C104" t="s">
        <v>1509</v>
      </c>
    </row>
    <row r="105" spans="3:3" x14ac:dyDescent="0.25">
      <c r="C105" t="s">
        <v>1510</v>
      </c>
    </row>
    <row r="106" spans="3:3" x14ac:dyDescent="0.25">
      <c r="C106" t="s">
        <v>1511</v>
      </c>
    </row>
    <row r="107" spans="3:3" x14ac:dyDescent="0.25">
      <c r="C107" t="s">
        <v>1512</v>
      </c>
    </row>
    <row r="108" spans="3:3" x14ac:dyDescent="0.25">
      <c r="C108" t="s">
        <v>1513</v>
      </c>
    </row>
    <row r="109" spans="3:3" x14ac:dyDescent="0.25">
      <c r="C109" t="s">
        <v>1514</v>
      </c>
    </row>
    <row r="110" spans="3:3" x14ac:dyDescent="0.25">
      <c r="C110" t="s">
        <v>1515</v>
      </c>
    </row>
    <row r="111" spans="3:3" x14ac:dyDescent="0.25">
      <c r="C111" t="s">
        <v>1516</v>
      </c>
    </row>
    <row r="112" spans="3:3" x14ac:dyDescent="0.25">
      <c r="C112" t="s">
        <v>1517</v>
      </c>
    </row>
    <row r="113" spans="3:3" x14ac:dyDescent="0.25">
      <c r="C113" t="s">
        <v>1518</v>
      </c>
    </row>
    <row r="114" spans="3:3" x14ac:dyDescent="0.25">
      <c r="C114" t="s">
        <v>1519</v>
      </c>
    </row>
    <row r="115" spans="3:3" x14ac:dyDescent="0.25">
      <c r="C115" t="s">
        <v>1520</v>
      </c>
    </row>
    <row r="116" spans="3:3" x14ac:dyDescent="0.25">
      <c r="C116" t="s">
        <v>1521</v>
      </c>
    </row>
    <row r="117" spans="3:3" x14ac:dyDescent="0.25">
      <c r="C117" t="s">
        <v>1522</v>
      </c>
    </row>
    <row r="118" spans="3:3" x14ac:dyDescent="0.25">
      <c r="C118" t="s">
        <v>1523</v>
      </c>
    </row>
    <row r="119" spans="3:3" x14ac:dyDescent="0.25">
      <c r="C119" t="s">
        <v>1524</v>
      </c>
    </row>
    <row r="120" spans="3:3" x14ac:dyDescent="0.25">
      <c r="C120" t="s">
        <v>1525</v>
      </c>
    </row>
    <row r="121" spans="3:3" x14ac:dyDescent="0.25">
      <c r="C121" t="s">
        <v>1526</v>
      </c>
    </row>
    <row r="122" spans="3:3" x14ac:dyDescent="0.25">
      <c r="C122" t="s">
        <v>1527</v>
      </c>
    </row>
    <row r="123" spans="3:3" x14ac:dyDescent="0.25">
      <c r="C123" t="s">
        <v>1528</v>
      </c>
    </row>
    <row r="124" spans="3:3" x14ac:dyDescent="0.25">
      <c r="C124" t="s">
        <v>1529</v>
      </c>
    </row>
    <row r="125" spans="3:3" x14ac:dyDescent="0.25">
      <c r="C125" t="s">
        <v>1530</v>
      </c>
    </row>
    <row r="126" spans="3:3" x14ac:dyDescent="0.25">
      <c r="C126" t="s">
        <v>1531</v>
      </c>
    </row>
    <row r="127" spans="3:3" x14ac:dyDescent="0.25">
      <c r="C127" t="s">
        <v>1532</v>
      </c>
    </row>
    <row r="128" spans="3:3" x14ac:dyDescent="0.25">
      <c r="C128" t="s">
        <v>1533</v>
      </c>
    </row>
    <row r="129" spans="3:3" x14ac:dyDescent="0.25">
      <c r="C129" t="s">
        <v>1534</v>
      </c>
    </row>
    <row r="130" spans="3:3" x14ac:dyDescent="0.25">
      <c r="C130" t="s">
        <v>1535</v>
      </c>
    </row>
    <row r="131" spans="3:3" x14ac:dyDescent="0.25">
      <c r="C131" t="s">
        <v>1536</v>
      </c>
    </row>
    <row r="132" spans="3:3" x14ac:dyDescent="0.25">
      <c r="C132" t="s">
        <v>1537</v>
      </c>
    </row>
    <row r="133" spans="3:3" x14ac:dyDescent="0.25">
      <c r="C133" t="s">
        <v>1538</v>
      </c>
    </row>
    <row r="134" spans="3:3" x14ac:dyDescent="0.25">
      <c r="C134" t="s">
        <v>1539</v>
      </c>
    </row>
    <row r="135" spans="3:3" x14ac:dyDescent="0.25">
      <c r="C135" t="s">
        <v>1540</v>
      </c>
    </row>
    <row r="136" spans="3:3" x14ac:dyDescent="0.25">
      <c r="C136" t="s">
        <v>1541</v>
      </c>
    </row>
    <row r="137" spans="3:3" x14ac:dyDescent="0.25">
      <c r="C137" t="s">
        <v>1542</v>
      </c>
    </row>
    <row r="138" spans="3:3" x14ac:dyDescent="0.25">
      <c r="C138" t="s">
        <v>1543</v>
      </c>
    </row>
    <row r="139" spans="3:3" x14ac:dyDescent="0.25">
      <c r="C139" t="s">
        <v>1544</v>
      </c>
    </row>
    <row r="140" spans="3:3" x14ac:dyDescent="0.25">
      <c r="C140" t="s">
        <v>1545</v>
      </c>
    </row>
    <row r="141" spans="3:3" x14ac:dyDescent="0.25">
      <c r="C141" t="s">
        <v>1546</v>
      </c>
    </row>
    <row r="142" spans="3:3" x14ac:dyDescent="0.25">
      <c r="C142" t="s">
        <v>1547</v>
      </c>
    </row>
    <row r="143" spans="3:3" x14ac:dyDescent="0.25">
      <c r="C143" t="s">
        <v>1548</v>
      </c>
    </row>
    <row r="144" spans="3:3" x14ac:dyDescent="0.25">
      <c r="C144" t="s">
        <v>1549</v>
      </c>
    </row>
    <row r="145" spans="3:3" x14ac:dyDescent="0.25">
      <c r="C145" t="s">
        <v>1550</v>
      </c>
    </row>
    <row r="146" spans="3:3" x14ac:dyDescent="0.25">
      <c r="C146" t="s">
        <v>1551</v>
      </c>
    </row>
    <row r="147" spans="3:3" x14ac:dyDescent="0.25">
      <c r="C147" t="s">
        <v>1552</v>
      </c>
    </row>
    <row r="148" spans="3:3" x14ac:dyDescent="0.25">
      <c r="C148" t="s">
        <v>1553</v>
      </c>
    </row>
    <row r="149" spans="3:3" x14ac:dyDescent="0.25">
      <c r="C149" t="s">
        <v>1554</v>
      </c>
    </row>
    <row r="150" spans="3:3" x14ac:dyDescent="0.25">
      <c r="C150" t="s">
        <v>1555</v>
      </c>
    </row>
    <row r="151" spans="3:3" x14ac:dyDescent="0.25">
      <c r="C151" t="s">
        <v>1556</v>
      </c>
    </row>
    <row r="152" spans="3:3" x14ac:dyDescent="0.25">
      <c r="C152" t="s">
        <v>1557</v>
      </c>
    </row>
    <row r="153" spans="3:3" x14ac:dyDescent="0.25">
      <c r="C153" t="s">
        <v>1558</v>
      </c>
    </row>
    <row r="154" spans="3:3" x14ac:dyDescent="0.25">
      <c r="C154" t="s">
        <v>1559</v>
      </c>
    </row>
    <row r="155" spans="3:3" x14ac:dyDescent="0.25">
      <c r="C155" t="s">
        <v>1560</v>
      </c>
    </row>
    <row r="156" spans="3:3" x14ac:dyDescent="0.25">
      <c r="C156" t="s">
        <v>1561</v>
      </c>
    </row>
    <row r="157" spans="3:3" x14ac:dyDescent="0.25">
      <c r="C157" t="s">
        <v>1562</v>
      </c>
    </row>
    <row r="158" spans="3:3" x14ac:dyDescent="0.25">
      <c r="C158" t="s">
        <v>1563</v>
      </c>
    </row>
    <row r="159" spans="3:3" x14ac:dyDescent="0.25">
      <c r="C159" t="s">
        <v>1564</v>
      </c>
    </row>
    <row r="160" spans="3:3" x14ac:dyDescent="0.25">
      <c r="C160" t="s">
        <v>1565</v>
      </c>
    </row>
    <row r="161" spans="3:3" x14ac:dyDescent="0.25">
      <c r="C161" t="s">
        <v>1566</v>
      </c>
    </row>
    <row r="162" spans="3:3" x14ac:dyDescent="0.25">
      <c r="C162" t="s">
        <v>1567</v>
      </c>
    </row>
    <row r="163" spans="3:3" x14ac:dyDescent="0.25">
      <c r="C163" t="s">
        <v>1568</v>
      </c>
    </row>
    <row r="164" spans="3:3" x14ac:dyDescent="0.25">
      <c r="C164" t="s">
        <v>1569</v>
      </c>
    </row>
    <row r="165" spans="3:3" x14ac:dyDescent="0.25">
      <c r="C165" t="s">
        <v>1570</v>
      </c>
    </row>
    <row r="166" spans="3:3" x14ac:dyDescent="0.25">
      <c r="C166" t="s">
        <v>1571</v>
      </c>
    </row>
    <row r="167" spans="3:3" x14ac:dyDescent="0.25">
      <c r="C167" t="s">
        <v>1572</v>
      </c>
    </row>
    <row r="168" spans="3:3" x14ac:dyDescent="0.25">
      <c r="C168" t="s">
        <v>1573</v>
      </c>
    </row>
    <row r="169" spans="3:3" x14ac:dyDescent="0.25">
      <c r="C169" t="s">
        <v>1574</v>
      </c>
    </row>
    <row r="170" spans="3:3" x14ac:dyDescent="0.25">
      <c r="C170" t="s">
        <v>1575</v>
      </c>
    </row>
    <row r="171" spans="3:3" x14ac:dyDescent="0.25">
      <c r="C171" t="s">
        <v>1576</v>
      </c>
    </row>
    <row r="172" spans="3:3" x14ac:dyDescent="0.25">
      <c r="C172" t="s">
        <v>1577</v>
      </c>
    </row>
    <row r="173" spans="3:3" x14ac:dyDescent="0.25">
      <c r="C173" t="s">
        <v>1578</v>
      </c>
    </row>
    <row r="174" spans="3:3" x14ac:dyDescent="0.25">
      <c r="C174" t="s">
        <v>1579</v>
      </c>
    </row>
    <row r="175" spans="3:3" x14ac:dyDescent="0.25">
      <c r="C175" t="s">
        <v>1580</v>
      </c>
    </row>
    <row r="176" spans="3:3" x14ac:dyDescent="0.25">
      <c r="C176" t="s">
        <v>1581</v>
      </c>
    </row>
    <row r="177" spans="3:3" x14ac:dyDescent="0.25">
      <c r="C177" t="s">
        <v>1582</v>
      </c>
    </row>
    <row r="178" spans="3:3" x14ac:dyDescent="0.25">
      <c r="C178" t="s">
        <v>1583</v>
      </c>
    </row>
    <row r="179" spans="3:3" x14ac:dyDescent="0.25">
      <c r="C179" t="s">
        <v>1584</v>
      </c>
    </row>
    <row r="180" spans="3:3" x14ac:dyDescent="0.25">
      <c r="C180" t="s">
        <v>1585</v>
      </c>
    </row>
    <row r="181" spans="3:3" x14ac:dyDescent="0.25">
      <c r="C181" t="s">
        <v>1586</v>
      </c>
    </row>
    <row r="182" spans="3:3" x14ac:dyDescent="0.25">
      <c r="C182" t="s">
        <v>1587</v>
      </c>
    </row>
    <row r="183" spans="3:3" x14ac:dyDescent="0.25">
      <c r="C183" t="s">
        <v>1588</v>
      </c>
    </row>
    <row r="184" spans="3:3" x14ac:dyDescent="0.25">
      <c r="C184" t="s">
        <v>1589</v>
      </c>
    </row>
    <row r="185" spans="3:3" x14ac:dyDescent="0.25">
      <c r="C185" t="s">
        <v>1590</v>
      </c>
    </row>
    <row r="186" spans="3:3" x14ac:dyDescent="0.25">
      <c r="C186" t="s">
        <v>1591</v>
      </c>
    </row>
    <row r="187" spans="3:3" x14ac:dyDescent="0.25">
      <c r="C187" t="s">
        <v>1592</v>
      </c>
    </row>
    <row r="188" spans="3:3" x14ac:dyDescent="0.25">
      <c r="C188" t="s">
        <v>1593</v>
      </c>
    </row>
    <row r="189" spans="3:3" x14ac:dyDescent="0.25">
      <c r="C189" t="s">
        <v>1594</v>
      </c>
    </row>
    <row r="190" spans="3:3" x14ac:dyDescent="0.25">
      <c r="C190" t="s">
        <v>1595</v>
      </c>
    </row>
    <row r="191" spans="3:3" x14ac:dyDescent="0.25">
      <c r="C191" t="s">
        <v>1596</v>
      </c>
    </row>
    <row r="192" spans="3:3" x14ac:dyDescent="0.25">
      <c r="C192" t="s">
        <v>1597</v>
      </c>
    </row>
    <row r="193" spans="3:3" x14ac:dyDescent="0.25">
      <c r="C193" t="s">
        <v>1598</v>
      </c>
    </row>
    <row r="194" spans="3:3" x14ac:dyDescent="0.25">
      <c r="C194" t="s">
        <v>1599</v>
      </c>
    </row>
    <row r="195" spans="3:3" x14ac:dyDescent="0.25">
      <c r="C195" t="s">
        <v>1600</v>
      </c>
    </row>
    <row r="196" spans="3:3" x14ac:dyDescent="0.25">
      <c r="C196" t="s">
        <v>1601</v>
      </c>
    </row>
    <row r="197" spans="3:3" x14ac:dyDescent="0.25">
      <c r="C197" t="s">
        <v>1602</v>
      </c>
    </row>
    <row r="198" spans="3:3" x14ac:dyDescent="0.25">
      <c r="C198" t="s">
        <v>1603</v>
      </c>
    </row>
    <row r="199" spans="3:3" x14ac:dyDescent="0.25">
      <c r="C199" t="s">
        <v>1604</v>
      </c>
    </row>
    <row r="200" spans="3:3" x14ac:dyDescent="0.25">
      <c r="C200" t="s">
        <v>1605</v>
      </c>
    </row>
    <row r="201" spans="3:3" x14ac:dyDescent="0.25">
      <c r="C201" t="s">
        <v>1606</v>
      </c>
    </row>
    <row r="202" spans="3:3" x14ac:dyDescent="0.25">
      <c r="C202" t="s">
        <v>1607</v>
      </c>
    </row>
    <row r="203" spans="3:3" x14ac:dyDescent="0.25">
      <c r="C203" t="s">
        <v>1608</v>
      </c>
    </row>
    <row r="204" spans="3:3" x14ac:dyDescent="0.25">
      <c r="C204" t="s">
        <v>1609</v>
      </c>
    </row>
    <row r="205" spans="3:3" x14ac:dyDescent="0.25">
      <c r="C205" t="s">
        <v>1610</v>
      </c>
    </row>
    <row r="206" spans="3:3" x14ac:dyDescent="0.25">
      <c r="C206" t="s">
        <v>1611</v>
      </c>
    </row>
    <row r="207" spans="3:3" x14ac:dyDescent="0.25">
      <c r="C207" t="s">
        <v>1612</v>
      </c>
    </row>
    <row r="208" spans="3:3" x14ac:dyDescent="0.25">
      <c r="C208" t="s">
        <v>1613</v>
      </c>
    </row>
    <row r="209" spans="3:3" x14ac:dyDescent="0.25">
      <c r="C209" t="s">
        <v>1614</v>
      </c>
    </row>
    <row r="210" spans="3:3" x14ac:dyDescent="0.25">
      <c r="C210" t="s">
        <v>1615</v>
      </c>
    </row>
    <row r="211" spans="3:3" x14ac:dyDescent="0.25">
      <c r="C211" t="s">
        <v>1616</v>
      </c>
    </row>
    <row r="212" spans="3:3" x14ac:dyDescent="0.25">
      <c r="C212" t="s">
        <v>1617</v>
      </c>
    </row>
    <row r="213" spans="3:3" x14ac:dyDescent="0.25">
      <c r="C213" t="s">
        <v>1618</v>
      </c>
    </row>
    <row r="214" spans="3:3" x14ac:dyDescent="0.25">
      <c r="C214" t="s">
        <v>1619</v>
      </c>
    </row>
    <row r="215" spans="3:3" x14ac:dyDescent="0.25">
      <c r="C215" t="s">
        <v>1620</v>
      </c>
    </row>
    <row r="216" spans="3:3" x14ac:dyDescent="0.25">
      <c r="C216" t="s">
        <v>1621</v>
      </c>
    </row>
    <row r="217" spans="3:3" x14ac:dyDescent="0.25">
      <c r="C217" t="s">
        <v>1622</v>
      </c>
    </row>
    <row r="218" spans="3:3" x14ac:dyDescent="0.25">
      <c r="C218" t="s">
        <v>1623</v>
      </c>
    </row>
    <row r="219" spans="3:3" x14ac:dyDescent="0.25">
      <c r="C219" t="s">
        <v>1624</v>
      </c>
    </row>
    <row r="220" spans="3:3" x14ac:dyDescent="0.25">
      <c r="C220" t="s">
        <v>1625</v>
      </c>
    </row>
    <row r="221" spans="3:3" x14ac:dyDescent="0.25">
      <c r="C221" t="s">
        <v>1626</v>
      </c>
    </row>
    <row r="222" spans="3:3" x14ac:dyDescent="0.25">
      <c r="C222" t="s">
        <v>1627</v>
      </c>
    </row>
    <row r="223" spans="3:3" x14ac:dyDescent="0.25">
      <c r="C223" t="s">
        <v>1628</v>
      </c>
    </row>
    <row r="224" spans="3:3" x14ac:dyDescent="0.25">
      <c r="C224" t="s">
        <v>1629</v>
      </c>
    </row>
    <row r="225" spans="3:3" x14ac:dyDescent="0.25">
      <c r="C225" t="s">
        <v>1630</v>
      </c>
    </row>
    <row r="226" spans="3:3" x14ac:dyDescent="0.25">
      <c r="C226" t="s">
        <v>1631</v>
      </c>
    </row>
    <row r="227" spans="3:3" x14ac:dyDescent="0.25">
      <c r="C227" t="s">
        <v>1632</v>
      </c>
    </row>
    <row r="228" spans="3:3" x14ac:dyDescent="0.25">
      <c r="C228" t="s">
        <v>1633</v>
      </c>
    </row>
    <row r="229" spans="3:3" x14ac:dyDescent="0.25">
      <c r="C229" t="s">
        <v>1634</v>
      </c>
    </row>
    <row r="230" spans="3:3" x14ac:dyDescent="0.25">
      <c r="C230" t="s">
        <v>1635</v>
      </c>
    </row>
    <row r="231" spans="3:3" x14ac:dyDescent="0.25">
      <c r="C231" t="s">
        <v>1636</v>
      </c>
    </row>
    <row r="232" spans="3:3" x14ac:dyDescent="0.25">
      <c r="C232" t="s">
        <v>1637</v>
      </c>
    </row>
    <row r="233" spans="3:3" x14ac:dyDescent="0.25">
      <c r="C233" t="s">
        <v>1638</v>
      </c>
    </row>
    <row r="234" spans="3:3" x14ac:dyDescent="0.25">
      <c r="C234" t="s">
        <v>1639</v>
      </c>
    </row>
    <row r="235" spans="3:3" x14ac:dyDescent="0.25">
      <c r="C235" t="s">
        <v>1640</v>
      </c>
    </row>
    <row r="236" spans="3:3" x14ac:dyDescent="0.25">
      <c r="C236" t="s">
        <v>1641</v>
      </c>
    </row>
    <row r="237" spans="3:3" x14ac:dyDescent="0.25">
      <c r="C237" t="s">
        <v>1642</v>
      </c>
    </row>
    <row r="238" spans="3:3" x14ac:dyDescent="0.25">
      <c r="C238" t="s">
        <v>1643</v>
      </c>
    </row>
    <row r="239" spans="3:3" x14ac:dyDescent="0.25">
      <c r="C239" t="s">
        <v>1644</v>
      </c>
    </row>
    <row r="240" spans="3:3" x14ac:dyDescent="0.25">
      <c r="C240" t="s">
        <v>1645</v>
      </c>
    </row>
    <row r="241" spans="3:3" x14ac:dyDescent="0.25">
      <c r="C241" t="s">
        <v>1646</v>
      </c>
    </row>
    <row r="242" spans="3:3" x14ac:dyDescent="0.25">
      <c r="C242" t="s">
        <v>1647</v>
      </c>
    </row>
    <row r="243" spans="3:3" x14ac:dyDescent="0.25">
      <c r="C243" t="s">
        <v>1648</v>
      </c>
    </row>
    <row r="244" spans="3:3" x14ac:dyDescent="0.25">
      <c r="C244" t="s">
        <v>1649</v>
      </c>
    </row>
    <row r="245" spans="3:3" x14ac:dyDescent="0.25">
      <c r="C245" t="s">
        <v>1650</v>
      </c>
    </row>
    <row r="246" spans="3:3" x14ac:dyDescent="0.25">
      <c r="C246" t="s">
        <v>1651</v>
      </c>
    </row>
    <row r="247" spans="3:3" x14ac:dyDescent="0.25">
      <c r="C247" t="s">
        <v>1652</v>
      </c>
    </row>
    <row r="248" spans="3:3" x14ac:dyDescent="0.25">
      <c r="C248" t="s">
        <v>1653</v>
      </c>
    </row>
    <row r="249" spans="3:3" x14ac:dyDescent="0.25">
      <c r="C249" t="s">
        <v>1654</v>
      </c>
    </row>
    <row r="250" spans="3:3" x14ac:dyDescent="0.25">
      <c r="C250" t="s">
        <v>1655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10AF2-0B66-4C57-B71A-B5795FF2B945}">
  <sheetPr codeName="Sheet7">
    <tabColor theme="6"/>
  </sheetPr>
  <dimension ref="B2:B25"/>
  <sheetViews>
    <sheetView workbookViewId="0"/>
  </sheetViews>
  <sheetFormatPr defaultRowHeight="15" x14ac:dyDescent="0.25"/>
  <cols>
    <col min="2" max="2" width="81" bestFit="1" customWidth="1"/>
  </cols>
  <sheetData>
    <row r="2" spans="2:2" x14ac:dyDescent="0.25">
      <c r="B2" t="s">
        <v>1656</v>
      </c>
    </row>
    <row r="3" spans="2:2" x14ac:dyDescent="0.25">
      <c r="B3" t="s">
        <v>1657</v>
      </c>
    </row>
    <row r="4" spans="2:2" x14ac:dyDescent="0.25">
      <c r="B4" t="s">
        <v>1658</v>
      </c>
    </row>
    <row r="5" spans="2:2" x14ac:dyDescent="0.25">
      <c r="B5" t="s">
        <v>1659</v>
      </c>
    </row>
    <row r="6" spans="2:2" x14ac:dyDescent="0.25">
      <c r="B6" t="s">
        <v>1660</v>
      </c>
    </row>
    <row r="7" spans="2:2" x14ac:dyDescent="0.25">
      <c r="B7" t="s">
        <v>1661</v>
      </c>
    </row>
    <row r="8" spans="2:2" x14ac:dyDescent="0.25">
      <c r="B8" t="s">
        <v>1662</v>
      </c>
    </row>
    <row r="9" spans="2:2" x14ac:dyDescent="0.25">
      <c r="B9" t="s">
        <v>1663</v>
      </c>
    </row>
    <row r="10" spans="2:2" x14ac:dyDescent="0.25">
      <c r="B10" t="s">
        <v>1664</v>
      </c>
    </row>
    <row r="11" spans="2:2" x14ac:dyDescent="0.25">
      <c r="B11" t="s">
        <v>1665</v>
      </c>
    </row>
    <row r="12" spans="2:2" x14ac:dyDescent="0.25">
      <c r="B12" t="s">
        <v>1666</v>
      </c>
    </row>
    <row r="13" spans="2:2" x14ac:dyDescent="0.25">
      <c r="B13" t="s">
        <v>1667</v>
      </c>
    </row>
    <row r="14" spans="2:2" x14ac:dyDescent="0.25">
      <c r="B14" t="s">
        <v>1668</v>
      </c>
    </row>
    <row r="15" spans="2:2" x14ac:dyDescent="0.25">
      <c r="B15" t="s">
        <v>1669</v>
      </c>
    </row>
    <row r="16" spans="2:2" x14ac:dyDescent="0.25">
      <c r="B16" t="s">
        <v>1670</v>
      </c>
    </row>
    <row r="17" spans="2:2" x14ac:dyDescent="0.25">
      <c r="B17" t="s">
        <v>1671</v>
      </c>
    </row>
    <row r="18" spans="2:2" x14ac:dyDescent="0.25">
      <c r="B18" t="s">
        <v>1672</v>
      </c>
    </row>
    <row r="19" spans="2:2" x14ac:dyDescent="0.25">
      <c r="B19" t="s">
        <v>1673</v>
      </c>
    </row>
    <row r="20" spans="2:2" x14ac:dyDescent="0.25">
      <c r="B20" t="s">
        <v>1674</v>
      </c>
    </row>
    <row r="21" spans="2:2" x14ac:dyDescent="0.25">
      <c r="B21" t="s">
        <v>1675</v>
      </c>
    </row>
    <row r="22" spans="2:2" x14ac:dyDescent="0.25">
      <c r="B22" t="s">
        <v>1676</v>
      </c>
    </row>
    <row r="23" spans="2:2" x14ac:dyDescent="0.25">
      <c r="B23" t="s">
        <v>1677</v>
      </c>
    </row>
    <row r="24" spans="2:2" x14ac:dyDescent="0.25">
      <c r="B24" t="s">
        <v>1678</v>
      </c>
    </row>
    <row r="25" spans="2:2" x14ac:dyDescent="0.25">
      <c r="B25" t="s">
        <v>1679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CCD38-86AF-473C-A73F-F171307120D1}">
  <sheetPr codeName="Sheet8">
    <tabColor theme="6"/>
  </sheetPr>
  <dimension ref="B2:B250"/>
  <sheetViews>
    <sheetView workbookViewId="0"/>
  </sheetViews>
  <sheetFormatPr defaultRowHeight="15" x14ac:dyDescent="0.25"/>
  <cols>
    <col min="2" max="2" width="86.5703125" bestFit="1" customWidth="1"/>
  </cols>
  <sheetData>
    <row r="2" spans="2:2" x14ac:dyDescent="0.25">
      <c r="B2" t="s">
        <v>1680</v>
      </c>
    </row>
    <row r="3" spans="2:2" x14ac:dyDescent="0.25">
      <c r="B3" t="s">
        <v>1681</v>
      </c>
    </row>
    <row r="4" spans="2:2" x14ac:dyDescent="0.25">
      <c r="B4" t="s">
        <v>1682</v>
      </c>
    </row>
    <row r="5" spans="2:2" x14ac:dyDescent="0.25">
      <c r="B5" t="s">
        <v>1683</v>
      </c>
    </row>
    <row r="6" spans="2:2" x14ac:dyDescent="0.25">
      <c r="B6" t="s">
        <v>1684</v>
      </c>
    </row>
    <row r="7" spans="2:2" x14ac:dyDescent="0.25">
      <c r="B7" t="s">
        <v>1685</v>
      </c>
    </row>
    <row r="8" spans="2:2" x14ac:dyDescent="0.25">
      <c r="B8" t="s">
        <v>1686</v>
      </c>
    </row>
    <row r="9" spans="2:2" x14ac:dyDescent="0.25">
      <c r="B9" t="s">
        <v>1687</v>
      </c>
    </row>
    <row r="10" spans="2:2" x14ac:dyDescent="0.25">
      <c r="B10" t="s">
        <v>1688</v>
      </c>
    </row>
    <row r="11" spans="2:2" x14ac:dyDescent="0.25">
      <c r="B11" t="s">
        <v>1689</v>
      </c>
    </row>
    <row r="12" spans="2:2" x14ac:dyDescent="0.25">
      <c r="B12" t="s">
        <v>1690</v>
      </c>
    </row>
    <row r="13" spans="2:2" x14ac:dyDescent="0.25">
      <c r="B13" t="s">
        <v>1691</v>
      </c>
    </row>
    <row r="14" spans="2:2" x14ac:dyDescent="0.25">
      <c r="B14" t="s">
        <v>1692</v>
      </c>
    </row>
    <row r="15" spans="2:2" x14ac:dyDescent="0.25">
      <c r="B15" t="s">
        <v>1693</v>
      </c>
    </row>
    <row r="16" spans="2:2" x14ac:dyDescent="0.25">
      <c r="B16" t="s">
        <v>1694</v>
      </c>
    </row>
    <row r="17" spans="2:2" x14ac:dyDescent="0.25">
      <c r="B17" t="s">
        <v>1695</v>
      </c>
    </row>
    <row r="18" spans="2:2" x14ac:dyDescent="0.25">
      <c r="B18" t="s">
        <v>1696</v>
      </c>
    </row>
    <row r="19" spans="2:2" x14ac:dyDescent="0.25">
      <c r="B19" t="s">
        <v>1697</v>
      </c>
    </row>
    <row r="20" spans="2:2" x14ac:dyDescent="0.25">
      <c r="B20" t="s">
        <v>1698</v>
      </c>
    </row>
    <row r="21" spans="2:2" x14ac:dyDescent="0.25">
      <c r="B21" t="s">
        <v>1699</v>
      </c>
    </row>
    <row r="22" spans="2:2" x14ac:dyDescent="0.25">
      <c r="B22" t="s">
        <v>1700</v>
      </c>
    </row>
    <row r="23" spans="2:2" x14ac:dyDescent="0.25">
      <c r="B23" t="s">
        <v>1701</v>
      </c>
    </row>
    <row r="24" spans="2:2" x14ac:dyDescent="0.25">
      <c r="B24" t="s">
        <v>1702</v>
      </c>
    </row>
    <row r="25" spans="2:2" x14ac:dyDescent="0.25">
      <c r="B25" t="s">
        <v>1703</v>
      </c>
    </row>
    <row r="26" spans="2:2" x14ac:dyDescent="0.25">
      <c r="B26" t="s">
        <v>1704</v>
      </c>
    </row>
    <row r="27" spans="2:2" x14ac:dyDescent="0.25">
      <c r="B27" t="s">
        <v>1705</v>
      </c>
    </row>
    <row r="28" spans="2:2" x14ac:dyDescent="0.25">
      <c r="B28" t="s">
        <v>1706</v>
      </c>
    </row>
    <row r="29" spans="2:2" x14ac:dyDescent="0.25">
      <c r="B29" t="s">
        <v>1707</v>
      </c>
    </row>
    <row r="30" spans="2:2" x14ac:dyDescent="0.25">
      <c r="B30" t="s">
        <v>1708</v>
      </c>
    </row>
    <row r="31" spans="2:2" x14ac:dyDescent="0.25">
      <c r="B31" t="s">
        <v>1709</v>
      </c>
    </row>
    <row r="32" spans="2:2" x14ac:dyDescent="0.25">
      <c r="B32" t="s">
        <v>1710</v>
      </c>
    </row>
    <row r="33" spans="2:2" x14ac:dyDescent="0.25">
      <c r="B33" t="s">
        <v>1711</v>
      </c>
    </row>
    <row r="34" spans="2:2" x14ac:dyDescent="0.25">
      <c r="B34" t="s">
        <v>1712</v>
      </c>
    </row>
    <row r="35" spans="2:2" x14ac:dyDescent="0.25">
      <c r="B35" t="s">
        <v>1713</v>
      </c>
    </row>
    <row r="36" spans="2:2" x14ac:dyDescent="0.25">
      <c r="B36" t="s">
        <v>1714</v>
      </c>
    </row>
    <row r="37" spans="2:2" x14ac:dyDescent="0.25">
      <c r="B37" t="s">
        <v>1715</v>
      </c>
    </row>
    <row r="38" spans="2:2" x14ac:dyDescent="0.25">
      <c r="B38" t="s">
        <v>1716</v>
      </c>
    </row>
    <row r="39" spans="2:2" x14ac:dyDescent="0.25">
      <c r="B39" t="s">
        <v>1717</v>
      </c>
    </row>
    <row r="40" spans="2:2" x14ac:dyDescent="0.25">
      <c r="B40" t="s">
        <v>1718</v>
      </c>
    </row>
    <row r="41" spans="2:2" x14ac:dyDescent="0.25">
      <c r="B41" t="s">
        <v>1719</v>
      </c>
    </row>
    <row r="42" spans="2:2" x14ac:dyDescent="0.25">
      <c r="B42" t="s">
        <v>1720</v>
      </c>
    </row>
    <row r="43" spans="2:2" x14ac:dyDescent="0.25">
      <c r="B43" t="s">
        <v>1721</v>
      </c>
    </row>
    <row r="44" spans="2:2" x14ac:dyDescent="0.25">
      <c r="B44" t="s">
        <v>1722</v>
      </c>
    </row>
    <row r="45" spans="2:2" x14ac:dyDescent="0.25">
      <c r="B45" t="s">
        <v>1723</v>
      </c>
    </row>
    <row r="46" spans="2:2" x14ac:dyDescent="0.25">
      <c r="B46" t="s">
        <v>1724</v>
      </c>
    </row>
    <row r="47" spans="2:2" x14ac:dyDescent="0.25">
      <c r="B47" t="s">
        <v>1725</v>
      </c>
    </row>
    <row r="48" spans="2:2" x14ac:dyDescent="0.25">
      <c r="B48" t="s">
        <v>1726</v>
      </c>
    </row>
    <row r="49" spans="2:2" x14ac:dyDescent="0.25">
      <c r="B49" t="s">
        <v>1727</v>
      </c>
    </row>
    <row r="50" spans="2:2" x14ac:dyDescent="0.25">
      <c r="B50" t="s">
        <v>1728</v>
      </c>
    </row>
    <row r="51" spans="2:2" x14ac:dyDescent="0.25">
      <c r="B51" t="s">
        <v>1729</v>
      </c>
    </row>
    <row r="52" spans="2:2" x14ac:dyDescent="0.25">
      <c r="B52" t="s">
        <v>1730</v>
      </c>
    </row>
    <row r="53" spans="2:2" x14ac:dyDescent="0.25">
      <c r="B53" t="s">
        <v>1731</v>
      </c>
    </row>
    <row r="54" spans="2:2" x14ac:dyDescent="0.25">
      <c r="B54" t="s">
        <v>1732</v>
      </c>
    </row>
    <row r="55" spans="2:2" x14ac:dyDescent="0.25">
      <c r="B55" t="s">
        <v>1733</v>
      </c>
    </row>
    <row r="56" spans="2:2" x14ac:dyDescent="0.25">
      <c r="B56" t="s">
        <v>1734</v>
      </c>
    </row>
    <row r="57" spans="2:2" x14ac:dyDescent="0.25">
      <c r="B57" t="s">
        <v>1735</v>
      </c>
    </row>
    <row r="58" spans="2:2" x14ac:dyDescent="0.25">
      <c r="B58" t="s">
        <v>1736</v>
      </c>
    </row>
    <row r="59" spans="2:2" x14ac:dyDescent="0.25">
      <c r="B59" t="s">
        <v>1737</v>
      </c>
    </row>
    <row r="60" spans="2:2" x14ac:dyDescent="0.25">
      <c r="B60" t="s">
        <v>1738</v>
      </c>
    </row>
    <row r="61" spans="2:2" x14ac:dyDescent="0.25">
      <c r="B61" t="s">
        <v>1739</v>
      </c>
    </row>
    <row r="62" spans="2:2" x14ac:dyDescent="0.25">
      <c r="B62" t="s">
        <v>1740</v>
      </c>
    </row>
    <row r="63" spans="2:2" x14ac:dyDescent="0.25">
      <c r="B63" t="s">
        <v>1741</v>
      </c>
    </row>
    <row r="64" spans="2:2" x14ac:dyDescent="0.25">
      <c r="B64" t="s">
        <v>1742</v>
      </c>
    </row>
    <row r="65" spans="2:2" x14ac:dyDescent="0.25">
      <c r="B65" t="s">
        <v>1743</v>
      </c>
    </row>
    <row r="66" spans="2:2" x14ac:dyDescent="0.25">
      <c r="B66" t="s">
        <v>1744</v>
      </c>
    </row>
    <row r="67" spans="2:2" x14ac:dyDescent="0.25">
      <c r="B67" t="s">
        <v>1745</v>
      </c>
    </row>
    <row r="68" spans="2:2" x14ac:dyDescent="0.25">
      <c r="B68" t="s">
        <v>1746</v>
      </c>
    </row>
    <row r="69" spans="2:2" x14ac:dyDescent="0.25">
      <c r="B69" t="s">
        <v>1747</v>
      </c>
    </row>
    <row r="70" spans="2:2" x14ac:dyDescent="0.25">
      <c r="B70" t="s">
        <v>1748</v>
      </c>
    </row>
    <row r="71" spans="2:2" x14ac:dyDescent="0.25">
      <c r="B71" t="s">
        <v>1749</v>
      </c>
    </row>
    <row r="72" spans="2:2" x14ac:dyDescent="0.25">
      <c r="B72" t="s">
        <v>1750</v>
      </c>
    </row>
    <row r="73" spans="2:2" x14ac:dyDescent="0.25">
      <c r="B73" t="s">
        <v>1751</v>
      </c>
    </row>
    <row r="74" spans="2:2" x14ac:dyDescent="0.25">
      <c r="B74" t="s">
        <v>1752</v>
      </c>
    </row>
    <row r="75" spans="2:2" x14ac:dyDescent="0.25">
      <c r="B75" t="s">
        <v>1753</v>
      </c>
    </row>
    <row r="76" spans="2:2" x14ac:dyDescent="0.25">
      <c r="B76" t="s">
        <v>1754</v>
      </c>
    </row>
    <row r="77" spans="2:2" x14ac:dyDescent="0.25">
      <c r="B77" t="s">
        <v>1755</v>
      </c>
    </row>
    <row r="78" spans="2:2" x14ac:dyDescent="0.25">
      <c r="B78" t="s">
        <v>1756</v>
      </c>
    </row>
    <row r="79" spans="2:2" x14ac:dyDescent="0.25">
      <c r="B79" t="s">
        <v>1757</v>
      </c>
    </row>
    <row r="80" spans="2:2" x14ac:dyDescent="0.25">
      <c r="B80" t="s">
        <v>1758</v>
      </c>
    </row>
    <row r="81" spans="2:2" x14ac:dyDescent="0.25">
      <c r="B81" t="s">
        <v>1759</v>
      </c>
    </row>
    <row r="82" spans="2:2" x14ac:dyDescent="0.25">
      <c r="B82" t="s">
        <v>1760</v>
      </c>
    </row>
    <row r="83" spans="2:2" x14ac:dyDescent="0.25">
      <c r="B83" t="s">
        <v>1761</v>
      </c>
    </row>
    <row r="84" spans="2:2" x14ac:dyDescent="0.25">
      <c r="B84" t="s">
        <v>1762</v>
      </c>
    </row>
    <row r="85" spans="2:2" x14ac:dyDescent="0.25">
      <c r="B85" t="s">
        <v>1763</v>
      </c>
    </row>
    <row r="86" spans="2:2" x14ac:dyDescent="0.25">
      <c r="B86" t="s">
        <v>1764</v>
      </c>
    </row>
    <row r="87" spans="2:2" x14ac:dyDescent="0.25">
      <c r="B87" t="s">
        <v>1765</v>
      </c>
    </row>
    <row r="88" spans="2:2" x14ac:dyDescent="0.25">
      <c r="B88" t="s">
        <v>1766</v>
      </c>
    </row>
    <row r="89" spans="2:2" x14ac:dyDescent="0.25">
      <c r="B89" t="s">
        <v>1767</v>
      </c>
    </row>
    <row r="90" spans="2:2" x14ac:dyDescent="0.25">
      <c r="B90" t="s">
        <v>1768</v>
      </c>
    </row>
    <row r="91" spans="2:2" x14ac:dyDescent="0.25">
      <c r="B91" t="s">
        <v>1769</v>
      </c>
    </row>
    <row r="92" spans="2:2" x14ac:dyDescent="0.25">
      <c r="B92" t="s">
        <v>1770</v>
      </c>
    </row>
    <row r="93" spans="2:2" x14ac:dyDescent="0.25">
      <c r="B93" t="s">
        <v>1771</v>
      </c>
    </row>
    <row r="94" spans="2:2" x14ac:dyDescent="0.25">
      <c r="B94" t="s">
        <v>1772</v>
      </c>
    </row>
    <row r="95" spans="2:2" x14ac:dyDescent="0.25">
      <c r="B95" t="s">
        <v>1773</v>
      </c>
    </row>
    <row r="96" spans="2:2" x14ac:dyDescent="0.25">
      <c r="B96" t="s">
        <v>1774</v>
      </c>
    </row>
    <row r="97" spans="2:2" x14ac:dyDescent="0.25">
      <c r="B97" t="s">
        <v>1775</v>
      </c>
    </row>
    <row r="98" spans="2:2" x14ac:dyDescent="0.25">
      <c r="B98" t="s">
        <v>1776</v>
      </c>
    </row>
    <row r="99" spans="2:2" x14ac:dyDescent="0.25">
      <c r="B99" t="s">
        <v>1777</v>
      </c>
    </row>
    <row r="100" spans="2:2" x14ac:dyDescent="0.25">
      <c r="B100" t="s">
        <v>1778</v>
      </c>
    </row>
    <row r="101" spans="2:2" x14ac:dyDescent="0.25">
      <c r="B101" t="s">
        <v>1779</v>
      </c>
    </row>
    <row r="102" spans="2:2" x14ac:dyDescent="0.25">
      <c r="B102" t="s">
        <v>1780</v>
      </c>
    </row>
    <row r="103" spans="2:2" x14ac:dyDescent="0.25">
      <c r="B103" t="s">
        <v>1781</v>
      </c>
    </row>
    <row r="104" spans="2:2" x14ac:dyDescent="0.25">
      <c r="B104" t="s">
        <v>1782</v>
      </c>
    </row>
    <row r="105" spans="2:2" x14ac:dyDescent="0.25">
      <c r="B105" t="s">
        <v>1783</v>
      </c>
    </row>
    <row r="106" spans="2:2" x14ac:dyDescent="0.25">
      <c r="B106" t="s">
        <v>1784</v>
      </c>
    </row>
    <row r="107" spans="2:2" x14ac:dyDescent="0.25">
      <c r="B107" t="s">
        <v>1785</v>
      </c>
    </row>
    <row r="108" spans="2:2" x14ac:dyDescent="0.25">
      <c r="B108" t="s">
        <v>1786</v>
      </c>
    </row>
    <row r="109" spans="2:2" x14ac:dyDescent="0.25">
      <c r="B109" t="s">
        <v>1787</v>
      </c>
    </row>
    <row r="110" spans="2:2" x14ac:dyDescent="0.25">
      <c r="B110" t="s">
        <v>1788</v>
      </c>
    </row>
    <row r="111" spans="2:2" x14ac:dyDescent="0.25">
      <c r="B111" t="s">
        <v>1789</v>
      </c>
    </row>
    <row r="112" spans="2:2" x14ac:dyDescent="0.25">
      <c r="B112" t="s">
        <v>1790</v>
      </c>
    </row>
    <row r="113" spans="2:2" x14ac:dyDescent="0.25">
      <c r="B113" t="s">
        <v>1791</v>
      </c>
    </row>
    <row r="114" spans="2:2" x14ac:dyDescent="0.25">
      <c r="B114" t="s">
        <v>1792</v>
      </c>
    </row>
    <row r="115" spans="2:2" x14ac:dyDescent="0.25">
      <c r="B115" t="s">
        <v>1793</v>
      </c>
    </row>
    <row r="116" spans="2:2" x14ac:dyDescent="0.25">
      <c r="B116" t="s">
        <v>1794</v>
      </c>
    </row>
    <row r="117" spans="2:2" x14ac:dyDescent="0.25">
      <c r="B117" t="s">
        <v>1795</v>
      </c>
    </row>
    <row r="118" spans="2:2" x14ac:dyDescent="0.25">
      <c r="B118" t="s">
        <v>1796</v>
      </c>
    </row>
    <row r="119" spans="2:2" x14ac:dyDescent="0.25">
      <c r="B119" t="s">
        <v>1797</v>
      </c>
    </row>
    <row r="120" spans="2:2" x14ac:dyDescent="0.25">
      <c r="B120" t="s">
        <v>1798</v>
      </c>
    </row>
    <row r="121" spans="2:2" x14ac:dyDescent="0.25">
      <c r="B121" t="s">
        <v>1799</v>
      </c>
    </row>
    <row r="122" spans="2:2" x14ac:dyDescent="0.25">
      <c r="B122" t="s">
        <v>1800</v>
      </c>
    </row>
    <row r="123" spans="2:2" x14ac:dyDescent="0.25">
      <c r="B123" t="s">
        <v>1801</v>
      </c>
    </row>
    <row r="124" spans="2:2" x14ac:dyDescent="0.25">
      <c r="B124" t="s">
        <v>1802</v>
      </c>
    </row>
    <row r="125" spans="2:2" x14ac:dyDescent="0.25">
      <c r="B125" t="s">
        <v>1803</v>
      </c>
    </row>
    <row r="126" spans="2:2" x14ac:dyDescent="0.25">
      <c r="B126" t="s">
        <v>1804</v>
      </c>
    </row>
    <row r="127" spans="2:2" x14ac:dyDescent="0.25">
      <c r="B127" t="s">
        <v>1805</v>
      </c>
    </row>
    <row r="128" spans="2:2" x14ac:dyDescent="0.25">
      <c r="B128" t="s">
        <v>1806</v>
      </c>
    </row>
    <row r="129" spans="2:2" x14ac:dyDescent="0.25">
      <c r="B129" t="s">
        <v>1807</v>
      </c>
    </row>
    <row r="130" spans="2:2" x14ac:dyDescent="0.25">
      <c r="B130" t="s">
        <v>1808</v>
      </c>
    </row>
    <row r="131" spans="2:2" x14ac:dyDescent="0.25">
      <c r="B131" t="s">
        <v>1809</v>
      </c>
    </row>
    <row r="132" spans="2:2" x14ac:dyDescent="0.25">
      <c r="B132" t="s">
        <v>1810</v>
      </c>
    </row>
    <row r="133" spans="2:2" x14ac:dyDescent="0.25">
      <c r="B133" t="s">
        <v>1811</v>
      </c>
    </row>
    <row r="134" spans="2:2" x14ac:dyDescent="0.25">
      <c r="B134" t="s">
        <v>1812</v>
      </c>
    </row>
    <row r="135" spans="2:2" x14ac:dyDescent="0.25">
      <c r="B135" t="s">
        <v>1813</v>
      </c>
    </row>
    <row r="136" spans="2:2" x14ac:dyDescent="0.25">
      <c r="B136" t="s">
        <v>1814</v>
      </c>
    </row>
    <row r="137" spans="2:2" x14ac:dyDescent="0.25">
      <c r="B137" t="s">
        <v>1815</v>
      </c>
    </row>
    <row r="138" spans="2:2" x14ac:dyDescent="0.25">
      <c r="B138" t="s">
        <v>1816</v>
      </c>
    </row>
    <row r="139" spans="2:2" x14ac:dyDescent="0.25">
      <c r="B139" t="s">
        <v>1817</v>
      </c>
    </row>
    <row r="140" spans="2:2" x14ac:dyDescent="0.25">
      <c r="B140" t="s">
        <v>1818</v>
      </c>
    </row>
    <row r="141" spans="2:2" x14ac:dyDescent="0.25">
      <c r="B141" t="s">
        <v>1819</v>
      </c>
    </row>
    <row r="142" spans="2:2" x14ac:dyDescent="0.25">
      <c r="B142" t="s">
        <v>1820</v>
      </c>
    </row>
    <row r="143" spans="2:2" x14ac:dyDescent="0.25">
      <c r="B143" t="s">
        <v>1821</v>
      </c>
    </row>
    <row r="144" spans="2:2" x14ac:dyDescent="0.25">
      <c r="B144" t="s">
        <v>1822</v>
      </c>
    </row>
    <row r="145" spans="2:2" x14ac:dyDescent="0.25">
      <c r="B145" t="s">
        <v>1823</v>
      </c>
    </row>
    <row r="146" spans="2:2" x14ac:dyDescent="0.25">
      <c r="B146" t="s">
        <v>1824</v>
      </c>
    </row>
    <row r="147" spans="2:2" x14ac:dyDescent="0.25">
      <c r="B147" t="s">
        <v>1825</v>
      </c>
    </row>
    <row r="148" spans="2:2" x14ac:dyDescent="0.25">
      <c r="B148" t="s">
        <v>1826</v>
      </c>
    </row>
    <row r="149" spans="2:2" x14ac:dyDescent="0.25">
      <c r="B149" t="s">
        <v>1827</v>
      </c>
    </row>
    <row r="150" spans="2:2" x14ac:dyDescent="0.25">
      <c r="B150" t="s">
        <v>1828</v>
      </c>
    </row>
    <row r="151" spans="2:2" x14ac:dyDescent="0.25">
      <c r="B151" t="s">
        <v>1829</v>
      </c>
    </row>
    <row r="152" spans="2:2" x14ac:dyDescent="0.25">
      <c r="B152" t="s">
        <v>1830</v>
      </c>
    </row>
    <row r="153" spans="2:2" x14ac:dyDescent="0.25">
      <c r="B153" t="s">
        <v>1831</v>
      </c>
    </row>
    <row r="154" spans="2:2" x14ac:dyDescent="0.25">
      <c r="B154" t="s">
        <v>1832</v>
      </c>
    </row>
    <row r="155" spans="2:2" x14ac:dyDescent="0.25">
      <c r="B155" t="s">
        <v>1833</v>
      </c>
    </row>
    <row r="156" spans="2:2" x14ac:dyDescent="0.25">
      <c r="B156" t="s">
        <v>1834</v>
      </c>
    </row>
    <row r="157" spans="2:2" x14ac:dyDescent="0.25">
      <c r="B157" t="s">
        <v>1835</v>
      </c>
    </row>
    <row r="158" spans="2:2" x14ac:dyDescent="0.25">
      <c r="B158" t="s">
        <v>1836</v>
      </c>
    </row>
    <row r="159" spans="2:2" x14ac:dyDescent="0.25">
      <c r="B159" t="s">
        <v>1837</v>
      </c>
    </row>
    <row r="160" spans="2:2" x14ac:dyDescent="0.25">
      <c r="B160" t="s">
        <v>1838</v>
      </c>
    </row>
    <row r="161" spans="2:2" x14ac:dyDescent="0.25">
      <c r="B161" t="s">
        <v>1839</v>
      </c>
    </row>
    <row r="162" spans="2:2" x14ac:dyDescent="0.25">
      <c r="B162" t="s">
        <v>1840</v>
      </c>
    </row>
    <row r="163" spans="2:2" x14ac:dyDescent="0.25">
      <c r="B163" t="s">
        <v>1841</v>
      </c>
    </row>
    <row r="164" spans="2:2" x14ac:dyDescent="0.25">
      <c r="B164" t="s">
        <v>1842</v>
      </c>
    </row>
    <row r="165" spans="2:2" x14ac:dyDescent="0.25">
      <c r="B165" t="s">
        <v>1843</v>
      </c>
    </row>
    <row r="166" spans="2:2" x14ac:dyDescent="0.25">
      <c r="B166" t="s">
        <v>1844</v>
      </c>
    </row>
    <row r="167" spans="2:2" x14ac:dyDescent="0.25">
      <c r="B167" t="s">
        <v>1845</v>
      </c>
    </row>
    <row r="168" spans="2:2" x14ac:dyDescent="0.25">
      <c r="B168" t="s">
        <v>1846</v>
      </c>
    </row>
    <row r="169" spans="2:2" x14ac:dyDescent="0.25">
      <c r="B169" t="s">
        <v>1847</v>
      </c>
    </row>
    <row r="170" spans="2:2" x14ac:dyDescent="0.25">
      <c r="B170" t="s">
        <v>1848</v>
      </c>
    </row>
    <row r="171" spans="2:2" x14ac:dyDescent="0.25">
      <c r="B171" t="s">
        <v>1849</v>
      </c>
    </row>
    <row r="172" spans="2:2" x14ac:dyDescent="0.25">
      <c r="B172" t="s">
        <v>1850</v>
      </c>
    </row>
    <row r="173" spans="2:2" x14ac:dyDescent="0.25">
      <c r="B173" t="s">
        <v>1851</v>
      </c>
    </row>
    <row r="174" spans="2:2" x14ac:dyDescent="0.25">
      <c r="B174" t="s">
        <v>1852</v>
      </c>
    </row>
    <row r="175" spans="2:2" x14ac:dyDescent="0.25">
      <c r="B175" t="s">
        <v>1853</v>
      </c>
    </row>
    <row r="176" spans="2:2" x14ac:dyDescent="0.25">
      <c r="B176" t="s">
        <v>1854</v>
      </c>
    </row>
    <row r="177" spans="2:2" x14ac:dyDescent="0.25">
      <c r="B177" t="s">
        <v>1855</v>
      </c>
    </row>
    <row r="178" spans="2:2" x14ac:dyDescent="0.25">
      <c r="B178" t="s">
        <v>1856</v>
      </c>
    </row>
    <row r="179" spans="2:2" x14ac:dyDescent="0.25">
      <c r="B179" t="s">
        <v>1857</v>
      </c>
    </row>
    <row r="180" spans="2:2" x14ac:dyDescent="0.25">
      <c r="B180" t="s">
        <v>1858</v>
      </c>
    </row>
    <row r="181" spans="2:2" x14ac:dyDescent="0.25">
      <c r="B181" t="s">
        <v>1859</v>
      </c>
    </row>
    <row r="182" spans="2:2" x14ac:dyDescent="0.25">
      <c r="B182" t="s">
        <v>1860</v>
      </c>
    </row>
    <row r="183" spans="2:2" x14ac:dyDescent="0.25">
      <c r="B183" t="s">
        <v>1861</v>
      </c>
    </row>
    <row r="184" spans="2:2" x14ac:dyDescent="0.25">
      <c r="B184" t="s">
        <v>1862</v>
      </c>
    </row>
    <row r="185" spans="2:2" x14ac:dyDescent="0.25">
      <c r="B185" t="s">
        <v>1863</v>
      </c>
    </row>
    <row r="186" spans="2:2" x14ac:dyDescent="0.25">
      <c r="B186" t="s">
        <v>1864</v>
      </c>
    </row>
    <row r="187" spans="2:2" x14ac:dyDescent="0.25">
      <c r="B187" t="s">
        <v>1865</v>
      </c>
    </row>
    <row r="188" spans="2:2" x14ac:dyDescent="0.25">
      <c r="B188" t="s">
        <v>1866</v>
      </c>
    </row>
    <row r="189" spans="2:2" x14ac:dyDescent="0.25">
      <c r="B189" t="s">
        <v>1867</v>
      </c>
    </row>
    <row r="190" spans="2:2" x14ac:dyDescent="0.25">
      <c r="B190" t="s">
        <v>1868</v>
      </c>
    </row>
    <row r="191" spans="2:2" x14ac:dyDescent="0.25">
      <c r="B191" t="s">
        <v>1869</v>
      </c>
    </row>
    <row r="192" spans="2:2" x14ac:dyDescent="0.25">
      <c r="B192" t="s">
        <v>1870</v>
      </c>
    </row>
    <row r="193" spans="2:2" x14ac:dyDescent="0.25">
      <c r="B193" t="s">
        <v>1871</v>
      </c>
    </row>
    <row r="194" spans="2:2" x14ac:dyDescent="0.25">
      <c r="B194" t="s">
        <v>1872</v>
      </c>
    </row>
    <row r="195" spans="2:2" x14ac:dyDescent="0.25">
      <c r="B195" t="s">
        <v>1873</v>
      </c>
    </row>
    <row r="196" spans="2:2" x14ac:dyDescent="0.25">
      <c r="B196" t="s">
        <v>1874</v>
      </c>
    </row>
    <row r="197" spans="2:2" x14ac:dyDescent="0.25">
      <c r="B197" t="s">
        <v>1875</v>
      </c>
    </row>
    <row r="198" spans="2:2" x14ac:dyDescent="0.25">
      <c r="B198" t="s">
        <v>1876</v>
      </c>
    </row>
    <row r="199" spans="2:2" x14ac:dyDescent="0.25">
      <c r="B199" t="s">
        <v>1877</v>
      </c>
    </row>
    <row r="200" spans="2:2" x14ac:dyDescent="0.25">
      <c r="B200" t="s">
        <v>1878</v>
      </c>
    </row>
    <row r="201" spans="2:2" x14ac:dyDescent="0.25">
      <c r="B201" t="s">
        <v>1879</v>
      </c>
    </row>
    <row r="202" spans="2:2" x14ac:dyDescent="0.25">
      <c r="B202" t="s">
        <v>1880</v>
      </c>
    </row>
    <row r="203" spans="2:2" x14ac:dyDescent="0.25">
      <c r="B203" t="s">
        <v>1881</v>
      </c>
    </row>
    <row r="204" spans="2:2" x14ac:dyDescent="0.25">
      <c r="B204" t="s">
        <v>1882</v>
      </c>
    </row>
    <row r="205" spans="2:2" x14ac:dyDescent="0.25">
      <c r="B205" t="s">
        <v>1883</v>
      </c>
    </row>
    <row r="206" spans="2:2" x14ac:dyDescent="0.25">
      <c r="B206" t="s">
        <v>1884</v>
      </c>
    </row>
    <row r="207" spans="2:2" x14ac:dyDescent="0.25">
      <c r="B207" t="s">
        <v>1885</v>
      </c>
    </row>
    <row r="208" spans="2:2" x14ac:dyDescent="0.25">
      <c r="B208" t="s">
        <v>1886</v>
      </c>
    </row>
    <row r="209" spans="2:2" x14ac:dyDescent="0.25">
      <c r="B209" t="s">
        <v>1887</v>
      </c>
    </row>
    <row r="210" spans="2:2" x14ac:dyDescent="0.25">
      <c r="B210" t="s">
        <v>1888</v>
      </c>
    </row>
    <row r="211" spans="2:2" x14ac:dyDescent="0.25">
      <c r="B211" t="s">
        <v>1889</v>
      </c>
    </row>
    <row r="212" spans="2:2" x14ac:dyDescent="0.25">
      <c r="B212" t="s">
        <v>1890</v>
      </c>
    </row>
    <row r="213" spans="2:2" x14ac:dyDescent="0.25">
      <c r="B213" t="s">
        <v>1891</v>
      </c>
    </row>
    <row r="214" spans="2:2" x14ac:dyDescent="0.25">
      <c r="B214" t="s">
        <v>1892</v>
      </c>
    </row>
    <row r="215" spans="2:2" x14ac:dyDescent="0.25">
      <c r="B215" t="s">
        <v>1893</v>
      </c>
    </row>
    <row r="216" spans="2:2" x14ac:dyDescent="0.25">
      <c r="B216" t="s">
        <v>1894</v>
      </c>
    </row>
    <row r="217" spans="2:2" x14ac:dyDescent="0.25">
      <c r="B217" t="s">
        <v>1895</v>
      </c>
    </row>
    <row r="218" spans="2:2" x14ac:dyDescent="0.25">
      <c r="B218" t="s">
        <v>1896</v>
      </c>
    </row>
    <row r="219" spans="2:2" x14ac:dyDescent="0.25">
      <c r="B219" t="s">
        <v>1897</v>
      </c>
    </row>
    <row r="220" spans="2:2" x14ac:dyDescent="0.25">
      <c r="B220" t="s">
        <v>1898</v>
      </c>
    </row>
    <row r="221" spans="2:2" x14ac:dyDescent="0.25">
      <c r="B221" t="s">
        <v>1899</v>
      </c>
    </row>
    <row r="222" spans="2:2" x14ac:dyDescent="0.25">
      <c r="B222" t="s">
        <v>1900</v>
      </c>
    </row>
    <row r="223" spans="2:2" x14ac:dyDescent="0.25">
      <c r="B223" t="s">
        <v>1901</v>
      </c>
    </row>
    <row r="224" spans="2:2" x14ac:dyDescent="0.25">
      <c r="B224" t="s">
        <v>1902</v>
      </c>
    </row>
    <row r="225" spans="2:2" x14ac:dyDescent="0.25">
      <c r="B225" t="s">
        <v>1903</v>
      </c>
    </row>
    <row r="226" spans="2:2" x14ac:dyDescent="0.25">
      <c r="B226" t="s">
        <v>1904</v>
      </c>
    </row>
    <row r="227" spans="2:2" x14ac:dyDescent="0.25">
      <c r="B227" t="s">
        <v>1905</v>
      </c>
    </row>
    <row r="228" spans="2:2" x14ac:dyDescent="0.25">
      <c r="B228" t="s">
        <v>1906</v>
      </c>
    </row>
    <row r="229" spans="2:2" x14ac:dyDescent="0.25">
      <c r="B229" t="s">
        <v>1907</v>
      </c>
    </row>
    <row r="230" spans="2:2" x14ac:dyDescent="0.25">
      <c r="B230" t="s">
        <v>1908</v>
      </c>
    </row>
    <row r="231" spans="2:2" x14ac:dyDescent="0.25">
      <c r="B231" t="s">
        <v>1909</v>
      </c>
    </row>
    <row r="232" spans="2:2" x14ac:dyDescent="0.25">
      <c r="B232" t="s">
        <v>1910</v>
      </c>
    </row>
    <row r="233" spans="2:2" x14ac:dyDescent="0.25">
      <c r="B233" t="s">
        <v>1911</v>
      </c>
    </row>
    <row r="234" spans="2:2" x14ac:dyDescent="0.25">
      <c r="B234" t="s">
        <v>1912</v>
      </c>
    </row>
    <row r="235" spans="2:2" x14ac:dyDescent="0.25">
      <c r="B235" t="s">
        <v>1913</v>
      </c>
    </row>
    <row r="236" spans="2:2" x14ac:dyDescent="0.25">
      <c r="B236" t="s">
        <v>1914</v>
      </c>
    </row>
    <row r="237" spans="2:2" x14ac:dyDescent="0.25">
      <c r="B237" t="s">
        <v>1915</v>
      </c>
    </row>
    <row r="238" spans="2:2" x14ac:dyDescent="0.25">
      <c r="B238" t="s">
        <v>1916</v>
      </c>
    </row>
    <row r="239" spans="2:2" x14ac:dyDescent="0.25">
      <c r="B239" t="s">
        <v>1917</v>
      </c>
    </row>
    <row r="240" spans="2:2" x14ac:dyDescent="0.25">
      <c r="B240" t="s">
        <v>1918</v>
      </c>
    </row>
    <row r="241" spans="2:2" x14ac:dyDescent="0.25">
      <c r="B241" t="s">
        <v>1919</v>
      </c>
    </row>
    <row r="242" spans="2:2" x14ac:dyDescent="0.25">
      <c r="B242" t="s">
        <v>1920</v>
      </c>
    </row>
    <row r="243" spans="2:2" x14ac:dyDescent="0.25">
      <c r="B243" t="s">
        <v>1921</v>
      </c>
    </row>
    <row r="244" spans="2:2" x14ac:dyDescent="0.25">
      <c r="B244" t="s">
        <v>1922</v>
      </c>
    </row>
    <row r="245" spans="2:2" x14ac:dyDescent="0.25">
      <c r="B245" t="s">
        <v>1923</v>
      </c>
    </row>
    <row r="246" spans="2:2" x14ac:dyDescent="0.25">
      <c r="B246" t="s">
        <v>1924</v>
      </c>
    </row>
    <row r="247" spans="2:2" x14ac:dyDescent="0.25">
      <c r="B247" t="s">
        <v>1925</v>
      </c>
    </row>
    <row r="248" spans="2:2" x14ac:dyDescent="0.25">
      <c r="B248" t="s">
        <v>1926</v>
      </c>
    </row>
    <row r="249" spans="2:2" x14ac:dyDescent="0.25">
      <c r="B249" t="s">
        <v>1927</v>
      </c>
    </row>
    <row r="250" spans="2:2" x14ac:dyDescent="0.25">
      <c r="B250" t="s">
        <v>1928</v>
      </c>
    </row>
  </sheetData>
  <conditionalFormatting sqref="B2:B249">
    <cfRule type="expression" dxfId="1" priority="2">
      <formula>#REF!&lt;&gt;B2</formula>
    </cfRule>
  </conditionalFormatting>
  <conditionalFormatting sqref="B250">
    <cfRule type="expression" dxfId="0" priority="1">
      <formula>#REF!&lt;&gt;B250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E4D74-7772-4981-90C1-671717C570B2}">
  <sheetPr codeName="Sheet9">
    <tabColor theme="6"/>
  </sheetPr>
  <dimension ref="B2:B25"/>
  <sheetViews>
    <sheetView workbookViewId="0"/>
  </sheetViews>
  <sheetFormatPr defaultRowHeight="15" x14ac:dyDescent="0.25"/>
  <cols>
    <col min="2" max="2" width="72.140625" bestFit="1" customWidth="1"/>
  </cols>
  <sheetData>
    <row r="2" spans="2:2" x14ac:dyDescent="0.25">
      <c r="B2" t="s">
        <v>1929</v>
      </c>
    </row>
    <row r="3" spans="2:2" x14ac:dyDescent="0.25">
      <c r="B3" t="s">
        <v>1930</v>
      </c>
    </row>
    <row r="4" spans="2:2" x14ac:dyDescent="0.25">
      <c r="B4" t="s">
        <v>1931</v>
      </c>
    </row>
    <row r="5" spans="2:2" x14ac:dyDescent="0.25">
      <c r="B5" t="s">
        <v>1932</v>
      </c>
    </row>
    <row r="6" spans="2:2" x14ac:dyDescent="0.25">
      <c r="B6" t="s">
        <v>1933</v>
      </c>
    </row>
    <row r="7" spans="2:2" x14ac:dyDescent="0.25">
      <c r="B7" t="s">
        <v>1934</v>
      </c>
    </row>
    <row r="8" spans="2:2" x14ac:dyDescent="0.25">
      <c r="B8" t="s">
        <v>1935</v>
      </c>
    </row>
    <row r="9" spans="2:2" x14ac:dyDescent="0.25">
      <c r="B9" t="s">
        <v>1936</v>
      </c>
    </row>
    <row r="10" spans="2:2" x14ac:dyDescent="0.25">
      <c r="B10" t="s">
        <v>1937</v>
      </c>
    </row>
    <row r="11" spans="2:2" x14ac:dyDescent="0.25">
      <c r="B11" t="s">
        <v>1938</v>
      </c>
    </row>
    <row r="12" spans="2:2" x14ac:dyDescent="0.25">
      <c r="B12" t="s">
        <v>1939</v>
      </c>
    </row>
    <row r="13" spans="2:2" x14ac:dyDescent="0.25">
      <c r="B13" t="s">
        <v>1940</v>
      </c>
    </row>
    <row r="14" spans="2:2" x14ac:dyDescent="0.25">
      <c r="B14" t="s">
        <v>1941</v>
      </c>
    </row>
    <row r="15" spans="2:2" x14ac:dyDescent="0.25">
      <c r="B15" t="s">
        <v>1942</v>
      </c>
    </row>
    <row r="16" spans="2:2" x14ac:dyDescent="0.25">
      <c r="B16" t="s">
        <v>1943</v>
      </c>
    </row>
    <row r="17" spans="2:2" x14ac:dyDescent="0.25">
      <c r="B17" t="s">
        <v>1944</v>
      </c>
    </row>
    <row r="18" spans="2:2" x14ac:dyDescent="0.25">
      <c r="B18" t="s">
        <v>1945</v>
      </c>
    </row>
    <row r="19" spans="2:2" x14ac:dyDescent="0.25">
      <c r="B19" t="s">
        <v>1946</v>
      </c>
    </row>
    <row r="20" spans="2:2" x14ac:dyDescent="0.25">
      <c r="B20" t="s">
        <v>1947</v>
      </c>
    </row>
    <row r="21" spans="2:2" x14ac:dyDescent="0.25">
      <c r="B21" t="s">
        <v>1948</v>
      </c>
    </row>
    <row r="22" spans="2:2" x14ac:dyDescent="0.25">
      <c r="B22" t="s">
        <v>1949</v>
      </c>
    </row>
    <row r="23" spans="2:2" x14ac:dyDescent="0.25">
      <c r="B23" t="s">
        <v>1950</v>
      </c>
    </row>
    <row r="24" spans="2:2" x14ac:dyDescent="0.25">
      <c r="B24" t="s">
        <v>1951</v>
      </c>
    </row>
    <row r="25" spans="2:2" x14ac:dyDescent="0.25">
      <c r="B25" t="s">
        <v>1952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1D4DB-21A2-4317-B26F-ECAC11192155}">
  <sheetPr codeName="Sheet1">
    <tabColor theme="6"/>
  </sheetPr>
  <dimension ref="C7:T78"/>
  <sheetViews>
    <sheetView workbookViewId="0"/>
  </sheetViews>
  <sheetFormatPr defaultRowHeight="15" x14ac:dyDescent="0.25"/>
  <cols>
    <col min="6" max="6" width="37.28515625" bestFit="1" customWidth="1"/>
    <col min="8" max="8" width="19.42578125" bestFit="1" customWidth="1"/>
  </cols>
  <sheetData>
    <row r="7" spans="5:20" ht="15.75" thickBot="1" x14ac:dyDescent="0.3">
      <c r="E7" s="155" t="s">
        <v>973</v>
      </c>
      <c r="F7" s="155" t="s">
        <v>974</v>
      </c>
      <c r="G7" s="155"/>
      <c r="H7" s="155" t="s">
        <v>975</v>
      </c>
      <c r="I7" s="155" t="s">
        <v>976</v>
      </c>
      <c r="J7" s="155"/>
    </row>
    <row r="8" spans="5:20" ht="15.75" thickTop="1" x14ac:dyDescent="0.25">
      <c r="F8" s="184" t="s">
        <v>977</v>
      </c>
      <c r="G8">
        <v>1</v>
      </c>
      <c r="H8" t="s">
        <v>978</v>
      </c>
      <c r="I8" t="s">
        <v>979</v>
      </c>
      <c r="J8" t="s">
        <v>980</v>
      </c>
      <c r="M8" t="s">
        <v>981</v>
      </c>
      <c r="O8" t="str" cm="1">
        <f t="array" ref="O8:O19">""""&amp;J8:J19&amp;""""</f>
        <v>"O35"</v>
      </c>
      <c r="Q8" t="str" cm="1">
        <f t="array" ref="Q8:Q19">""""&amp;H8:H19&amp;""""</f>
        <v>"Ledge Dimensions"</v>
      </c>
      <c r="T8" t="str">
        <f>_xlfn.TEXTJOIN(",",,_xlfn.ANCHORARRAY(Q8))</f>
        <v>"Ledge Dimensions","Ledge Dimensions","Ledge Dimensions","Ledge Flexure","Ledge Flexure","Ledge Flexure","Ledge Flexure","Ledge Shear","Ledge Shear","Ledge Shear","Hanger","Hanger"</v>
      </c>
    </row>
    <row r="9" spans="5:20" x14ac:dyDescent="0.25">
      <c r="F9" s="184" t="s">
        <v>982</v>
      </c>
      <c r="G9">
        <v>1</v>
      </c>
      <c r="H9" t="s">
        <v>978</v>
      </c>
      <c r="I9" t="s">
        <v>983</v>
      </c>
      <c r="J9" t="s">
        <v>984</v>
      </c>
      <c r="M9" t="s">
        <v>985</v>
      </c>
      <c r="O9" t="str">
        <v>"O77"</v>
      </c>
      <c r="Q9" t="str">
        <v>"Ledge Dimensions"</v>
      </c>
    </row>
    <row r="10" spans="5:20" x14ac:dyDescent="0.25">
      <c r="F10" s="184" t="s">
        <v>986</v>
      </c>
      <c r="G10">
        <v>1</v>
      </c>
      <c r="H10" t="s">
        <v>978</v>
      </c>
      <c r="I10" t="s">
        <v>987</v>
      </c>
      <c r="J10" t="s">
        <v>988</v>
      </c>
      <c r="M10" t="s">
        <v>989</v>
      </c>
      <c r="O10" t="str">
        <v>"O46"</v>
      </c>
      <c r="Q10" t="str">
        <v>"Ledge Dimensions"</v>
      </c>
      <c r="T10" t="str">
        <f>_xlfn.TEXTJOIN(",",,_xlfn.ANCHORARRAY(O8))</f>
        <v>"O35","O77","O46","N78","O83","N90","N98","O62","N67","O96","O78","O87"</v>
      </c>
    </row>
    <row r="11" spans="5:20" x14ac:dyDescent="0.25">
      <c r="F11" s="177" t="s">
        <v>990</v>
      </c>
      <c r="G11">
        <v>1</v>
      </c>
      <c r="H11" t="s">
        <v>991</v>
      </c>
      <c r="I11" t="s">
        <v>992</v>
      </c>
      <c r="J11" t="s">
        <v>992</v>
      </c>
      <c r="M11" t="s">
        <v>993</v>
      </c>
      <c r="O11" t="str">
        <v>"N78"</v>
      </c>
      <c r="Q11" t="str">
        <v>"Ledge Flexure"</v>
      </c>
    </row>
    <row r="12" spans="5:20" x14ac:dyDescent="0.25">
      <c r="F12" s="184" t="s">
        <v>991</v>
      </c>
      <c r="G12">
        <v>1</v>
      </c>
      <c r="H12" t="s">
        <v>991</v>
      </c>
      <c r="I12" t="s">
        <v>994</v>
      </c>
      <c r="J12" t="s">
        <v>994</v>
      </c>
      <c r="M12" t="s">
        <v>995</v>
      </c>
      <c r="O12" t="str">
        <v>"O83"</v>
      </c>
      <c r="Q12" t="str">
        <v>"Ledge Flexure"</v>
      </c>
    </row>
    <row r="13" spans="5:20" x14ac:dyDescent="0.25">
      <c r="F13" s="138" t="s">
        <v>996</v>
      </c>
      <c r="G13">
        <v>1</v>
      </c>
      <c r="H13" t="s">
        <v>991</v>
      </c>
      <c r="I13" t="s">
        <v>997</v>
      </c>
      <c r="J13" t="s">
        <v>997</v>
      </c>
      <c r="M13" t="s">
        <v>998</v>
      </c>
      <c r="O13" t="str">
        <v>"N90"</v>
      </c>
      <c r="Q13" t="str">
        <v>"Ledge Flexure"</v>
      </c>
    </row>
    <row r="14" spans="5:20" x14ac:dyDescent="0.25">
      <c r="F14" t="s">
        <v>999</v>
      </c>
      <c r="G14">
        <v>1</v>
      </c>
      <c r="H14" t="s">
        <v>991</v>
      </c>
      <c r="I14" t="s">
        <v>1000</v>
      </c>
      <c r="J14" t="s">
        <v>1000</v>
      </c>
      <c r="M14" t="s">
        <v>1001</v>
      </c>
      <c r="O14" t="str">
        <v>"N98"</v>
      </c>
      <c r="Q14" t="str">
        <v>"Ledge Flexure"</v>
      </c>
    </row>
    <row r="15" spans="5:20" x14ac:dyDescent="0.25">
      <c r="F15" s="184" t="s">
        <v>1002</v>
      </c>
      <c r="G15">
        <v>1</v>
      </c>
      <c r="H15" t="s">
        <v>1003</v>
      </c>
      <c r="I15" t="s">
        <v>1004</v>
      </c>
      <c r="J15" t="s">
        <v>1005</v>
      </c>
      <c r="M15" t="s">
        <v>1006</v>
      </c>
      <c r="O15" t="str">
        <v>"O62"</v>
      </c>
      <c r="Q15" t="str">
        <v>"Ledge Shear"</v>
      </c>
    </row>
    <row r="16" spans="5:20" x14ac:dyDescent="0.25">
      <c r="F16" t="s">
        <v>1007</v>
      </c>
      <c r="G16">
        <v>1</v>
      </c>
      <c r="H16" t="s">
        <v>1003</v>
      </c>
      <c r="I16" t="s">
        <v>1008</v>
      </c>
      <c r="J16" t="s">
        <v>1008</v>
      </c>
      <c r="M16" t="s">
        <v>1009</v>
      </c>
      <c r="O16" t="str">
        <v>"N67"</v>
      </c>
      <c r="Q16" t="str">
        <v>"Ledge Shear"</v>
      </c>
    </row>
    <row r="17" spans="3:20" x14ac:dyDescent="0.25">
      <c r="C17" t="s">
        <v>1010</v>
      </c>
      <c r="F17" t="s">
        <v>1011</v>
      </c>
      <c r="G17">
        <v>1</v>
      </c>
      <c r="H17" t="s">
        <v>1003</v>
      </c>
      <c r="I17" t="s">
        <v>1012</v>
      </c>
      <c r="J17" t="s">
        <v>1013</v>
      </c>
      <c r="M17" t="s">
        <v>1014</v>
      </c>
      <c r="O17" t="str">
        <v>"O96"</v>
      </c>
      <c r="Q17" t="str">
        <v>"Ledge Shear"</v>
      </c>
    </row>
    <row r="18" spans="3:20" x14ac:dyDescent="0.25">
      <c r="F18" s="184" t="s">
        <v>1015</v>
      </c>
      <c r="G18">
        <v>1</v>
      </c>
      <c r="H18" t="s">
        <v>1016</v>
      </c>
      <c r="I18" t="s">
        <v>1017</v>
      </c>
      <c r="J18" t="s">
        <v>1018</v>
      </c>
      <c r="M18" t="s">
        <v>1019</v>
      </c>
      <c r="O18" t="str">
        <v>"O78"</v>
      </c>
      <c r="Q18" t="str">
        <v>"Hanger"</v>
      </c>
    </row>
    <row r="19" spans="3:20" x14ac:dyDescent="0.25">
      <c r="F19" s="185" t="s">
        <v>1020</v>
      </c>
      <c r="G19">
        <v>1</v>
      </c>
      <c r="H19" t="s">
        <v>1016</v>
      </c>
      <c r="I19" t="s">
        <v>1021</v>
      </c>
      <c r="J19" t="s">
        <v>1022</v>
      </c>
      <c r="M19" t="s">
        <v>1023</v>
      </c>
      <c r="O19" t="str">
        <v>"O87"</v>
      </c>
      <c r="Q19" t="str">
        <v>"Hanger"</v>
      </c>
    </row>
    <row r="30" spans="3:20" ht="15.75" thickBot="1" x14ac:dyDescent="0.3">
      <c r="E30" s="155" t="s">
        <v>1024</v>
      </c>
      <c r="F30" s="155" t="s">
        <v>1025</v>
      </c>
      <c r="G30" s="155"/>
      <c r="H30" s="155" t="s">
        <v>975</v>
      </c>
      <c r="I30" s="155" t="s">
        <v>976</v>
      </c>
      <c r="J30" s="155"/>
    </row>
    <row r="31" spans="3:20" ht="15.75" thickTop="1" x14ac:dyDescent="0.25">
      <c r="F31" t="s">
        <v>977</v>
      </c>
      <c r="G31">
        <v>1</v>
      </c>
      <c r="H31" t="s">
        <v>978</v>
      </c>
      <c r="I31" t="s">
        <v>1026</v>
      </c>
      <c r="J31" t="s">
        <v>1027</v>
      </c>
      <c r="O31" t="str" cm="1">
        <f t="array" ref="O31:O42">""""&amp;J31:J42&amp;""""</f>
        <v>"O27"</v>
      </c>
      <c r="Q31" t="str" cm="1">
        <f t="array" ref="Q31:Q42">""""&amp;H31:H42&amp;""""</f>
        <v>"Ledge Dimensions"</v>
      </c>
      <c r="T31" t="str">
        <f>_xlfn.TEXTJOIN(",",,_xlfn.ANCHORARRAY(Q31))</f>
        <v>"Ledge Dimensions","Ledge Dimensions","Ledge Dimensions","Ledge Flexure","Ledge Flexure","Ledge Flexure","Ledge Flexure","Ledge Shear","Ledge Shear","Ledge Shear","Hanger","Hanger"</v>
      </c>
    </row>
    <row r="32" spans="3:20" x14ac:dyDescent="0.25">
      <c r="F32" t="s">
        <v>982</v>
      </c>
      <c r="G32">
        <v>1</v>
      </c>
      <c r="H32" t="s">
        <v>978</v>
      </c>
      <c r="I32" t="s">
        <v>1028</v>
      </c>
      <c r="J32" t="s">
        <v>1029</v>
      </c>
      <c r="O32" t="str">
        <v>"O68"</v>
      </c>
      <c r="Q32" t="str">
        <v>"Ledge Dimensions"</v>
      </c>
    </row>
    <row r="33" spans="5:20" x14ac:dyDescent="0.25">
      <c r="F33" t="s">
        <v>986</v>
      </c>
      <c r="G33">
        <v>1</v>
      </c>
      <c r="H33" t="s">
        <v>978</v>
      </c>
      <c r="I33" t="s">
        <v>987</v>
      </c>
      <c r="J33" t="s">
        <v>988</v>
      </c>
      <c r="O33" t="str">
        <v>"O46"</v>
      </c>
      <c r="Q33" t="str">
        <v>"Ledge Dimensions"</v>
      </c>
      <c r="T33" t="str">
        <f>_xlfn.TEXTJOIN(",",,_xlfn.ANCHORARRAY(O31))</f>
        <v>"O27","O68","O46","N36","O41","N48","N56","O36","N41","O84","O37","O46"</v>
      </c>
    </row>
    <row r="34" spans="5:20" x14ac:dyDescent="0.25">
      <c r="F34" s="177" t="s">
        <v>990</v>
      </c>
      <c r="G34">
        <v>1</v>
      </c>
      <c r="H34" t="s">
        <v>991</v>
      </c>
      <c r="I34" t="s">
        <v>1030</v>
      </c>
      <c r="J34" t="s">
        <v>1030</v>
      </c>
      <c r="O34" t="str">
        <v>"N36"</v>
      </c>
      <c r="Q34" t="str">
        <v>"Ledge Flexure"</v>
      </c>
    </row>
    <row r="35" spans="5:20" x14ac:dyDescent="0.25">
      <c r="F35" t="s">
        <v>991</v>
      </c>
      <c r="G35">
        <v>1</v>
      </c>
      <c r="H35" t="s">
        <v>991</v>
      </c>
      <c r="I35" t="s">
        <v>1031</v>
      </c>
      <c r="J35" t="s">
        <v>1031</v>
      </c>
      <c r="O35" t="str">
        <v>"O41"</v>
      </c>
      <c r="Q35" t="str">
        <v>"Ledge Flexure"</v>
      </c>
    </row>
    <row r="36" spans="5:20" x14ac:dyDescent="0.25">
      <c r="F36" t="s">
        <v>996</v>
      </c>
      <c r="G36">
        <v>1</v>
      </c>
      <c r="H36" t="s">
        <v>991</v>
      </c>
      <c r="I36" t="s">
        <v>1032</v>
      </c>
      <c r="J36" t="s">
        <v>1032</v>
      </c>
      <c r="O36" t="str">
        <v>"N48"</v>
      </c>
      <c r="Q36" t="str">
        <v>"Ledge Flexure"</v>
      </c>
    </row>
    <row r="37" spans="5:20" x14ac:dyDescent="0.25">
      <c r="F37" t="s">
        <v>999</v>
      </c>
      <c r="G37">
        <v>1</v>
      </c>
      <c r="H37" t="s">
        <v>991</v>
      </c>
      <c r="I37" t="s">
        <v>1033</v>
      </c>
      <c r="J37" t="s">
        <v>1033</v>
      </c>
      <c r="O37" t="str">
        <v>"N56"</v>
      </c>
      <c r="Q37" t="str">
        <v>"Ledge Flexure"</v>
      </c>
    </row>
    <row r="38" spans="5:20" x14ac:dyDescent="0.25">
      <c r="F38" t="s">
        <v>1002</v>
      </c>
      <c r="G38">
        <v>1</v>
      </c>
      <c r="H38" t="s">
        <v>1003</v>
      </c>
      <c r="I38" t="s">
        <v>1034</v>
      </c>
      <c r="J38" t="s">
        <v>1035</v>
      </c>
      <c r="O38" t="str">
        <v>"O36"</v>
      </c>
      <c r="Q38" t="str">
        <v>"Ledge Shear"</v>
      </c>
    </row>
    <row r="39" spans="5:20" x14ac:dyDescent="0.25">
      <c r="F39" t="s">
        <v>1007</v>
      </c>
      <c r="G39">
        <v>1</v>
      </c>
      <c r="H39" t="s">
        <v>1003</v>
      </c>
      <c r="I39" t="s">
        <v>1036</v>
      </c>
      <c r="J39" t="s">
        <v>1036</v>
      </c>
      <c r="O39" t="str">
        <v>"N41"</v>
      </c>
      <c r="Q39" t="str">
        <v>"Ledge Shear"</v>
      </c>
    </row>
    <row r="40" spans="5:20" x14ac:dyDescent="0.25">
      <c r="F40" t="s">
        <v>1011</v>
      </c>
      <c r="G40">
        <v>1</v>
      </c>
      <c r="H40" t="s">
        <v>1003</v>
      </c>
      <c r="I40" t="s">
        <v>1037</v>
      </c>
      <c r="J40" t="s">
        <v>1038</v>
      </c>
      <c r="O40" t="str">
        <v>"O84"</v>
      </c>
      <c r="Q40" t="str">
        <v>"Ledge Shear"</v>
      </c>
    </row>
    <row r="41" spans="5:20" x14ac:dyDescent="0.25">
      <c r="F41" t="s">
        <v>1015</v>
      </c>
      <c r="G41">
        <v>1</v>
      </c>
      <c r="H41" t="s">
        <v>1016</v>
      </c>
      <c r="I41" t="s">
        <v>1039</v>
      </c>
      <c r="J41" t="s">
        <v>1040</v>
      </c>
      <c r="O41" t="str">
        <v>"O37"</v>
      </c>
      <c r="Q41" t="str">
        <v>"Hanger"</v>
      </c>
    </row>
    <row r="42" spans="5:20" x14ac:dyDescent="0.25">
      <c r="F42" s="136" t="s">
        <v>1020</v>
      </c>
      <c r="G42">
        <v>1</v>
      </c>
      <c r="H42" t="s">
        <v>1016</v>
      </c>
      <c r="I42" t="s">
        <v>1041</v>
      </c>
      <c r="J42" t="s">
        <v>988</v>
      </c>
      <c r="O42" t="str">
        <v>"O46"</v>
      </c>
      <c r="Q42" t="str">
        <v>"Hanger"</v>
      </c>
    </row>
    <row r="46" spans="5:20" ht="15.75" thickBot="1" x14ac:dyDescent="0.3">
      <c r="E46" s="155" t="s">
        <v>1024</v>
      </c>
      <c r="F46" s="155" t="s">
        <v>1042</v>
      </c>
      <c r="G46" s="155"/>
      <c r="H46" s="155" t="s">
        <v>975</v>
      </c>
      <c r="I46" s="155" t="s">
        <v>976</v>
      </c>
      <c r="J46" s="155"/>
    </row>
    <row r="47" spans="5:20" ht="15.75" thickTop="1" x14ac:dyDescent="0.25">
      <c r="F47" s="177" t="s">
        <v>889</v>
      </c>
      <c r="G47">
        <v>1</v>
      </c>
      <c r="H47" t="s">
        <v>978</v>
      </c>
      <c r="I47" t="s">
        <v>1043</v>
      </c>
      <c r="J47" t="s">
        <v>1043</v>
      </c>
      <c r="O47" t="str" cm="1">
        <f t="array" ref="O47:O57">""""&amp;J47:J57&amp;""""</f>
        <v>"J16"</v>
      </c>
      <c r="Q47" t="str" cm="1">
        <f t="array" ref="Q47:Q57">""""&amp;H47:H57&amp;""""</f>
        <v>"Ledge Dimensions"</v>
      </c>
      <c r="T47" t="str">
        <f>_xlfn.TEXTJOIN(",",,_xlfn.ANCHORARRAY(Q47))</f>
        <v>"Ledge Dimensions","Ledge Dimensions","Web Shear","Web Shear","Web Shear","Web Shear","Max Shear w Torsion","Max Shear w Torsion","Max Torsion w Shear","Max Torsion w Shear","Skin"</v>
      </c>
    </row>
    <row r="48" spans="5:20" x14ac:dyDescent="0.25">
      <c r="F48" s="177" t="s">
        <v>890</v>
      </c>
      <c r="G48">
        <v>1</v>
      </c>
      <c r="H48" t="s">
        <v>978</v>
      </c>
      <c r="I48" t="s">
        <v>1044</v>
      </c>
      <c r="J48" t="s">
        <v>1044</v>
      </c>
      <c r="O48" t="str">
        <v>"J19"</v>
      </c>
      <c r="Q48" t="str">
        <v>"Ledge Dimensions"</v>
      </c>
    </row>
    <row r="49" spans="5:20" x14ac:dyDescent="0.25">
      <c r="F49" s="177" t="s">
        <v>870</v>
      </c>
      <c r="G49">
        <v>1</v>
      </c>
      <c r="H49" t="s">
        <v>1045</v>
      </c>
      <c r="I49" t="s">
        <v>1046</v>
      </c>
      <c r="J49" t="s">
        <v>1046</v>
      </c>
      <c r="O49" t="str">
        <v>"M27"</v>
      </c>
      <c r="Q49" t="str">
        <v>"Web Shear"</v>
      </c>
      <c r="T49" t="str">
        <f>_xlfn.TEXTJOIN(",",,_xlfn.ANCHORARRAY(O47))</f>
        <v>"J16","J19","M27","N36","M40","M42","M27","N54","M27","N54","O28"</v>
      </c>
    </row>
    <row r="50" spans="5:20" x14ac:dyDescent="0.25">
      <c r="F50" t="s">
        <v>871</v>
      </c>
      <c r="G50">
        <v>1</v>
      </c>
      <c r="H50" t="s">
        <v>1045</v>
      </c>
      <c r="I50" t="s">
        <v>1034</v>
      </c>
      <c r="J50" t="s">
        <v>1030</v>
      </c>
      <c r="O50" t="str">
        <v>"N36"</v>
      </c>
      <c r="Q50" t="str">
        <v>"Web Shear"</v>
      </c>
    </row>
    <row r="51" spans="5:20" x14ac:dyDescent="0.25">
      <c r="F51" t="s">
        <v>872</v>
      </c>
      <c r="G51">
        <v>1</v>
      </c>
      <c r="H51" t="s">
        <v>1045</v>
      </c>
      <c r="I51" t="s">
        <v>1047</v>
      </c>
      <c r="J51" t="s">
        <v>1047</v>
      </c>
      <c r="O51" t="str">
        <v>"M40"</v>
      </c>
      <c r="Q51" t="str">
        <v>"Web Shear"</v>
      </c>
    </row>
    <row r="52" spans="5:20" x14ac:dyDescent="0.25">
      <c r="F52" t="s">
        <v>873</v>
      </c>
      <c r="G52">
        <v>1</v>
      </c>
      <c r="H52" t="s">
        <v>1045</v>
      </c>
      <c r="I52" t="s">
        <v>1048</v>
      </c>
      <c r="J52" t="s">
        <v>1048</v>
      </c>
      <c r="O52" t="str">
        <v>"M42"</v>
      </c>
      <c r="Q52" t="str">
        <v>"Web Shear"</v>
      </c>
    </row>
    <row r="53" spans="5:20" x14ac:dyDescent="0.25">
      <c r="F53" s="177" t="s">
        <v>874</v>
      </c>
      <c r="G53">
        <v>1</v>
      </c>
      <c r="H53" t="s">
        <v>1049</v>
      </c>
      <c r="I53" t="s">
        <v>1046</v>
      </c>
      <c r="J53" t="s">
        <v>1046</v>
      </c>
      <c r="O53" t="str">
        <v>"M27"</v>
      </c>
      <c r="Q53" t="str">
        <v>"Max Shear w Torsion"</v>
      </c>
    </row>
    <row r="54" spans="5:20" x14ac:dyDescent="0.25">
      <c r="F54" t="s">
        <v>875</v>
      </c>
      <c r="G54">
        <v>1</v>
      </c>
      <c r="H54" t="s">
        <v>1049</v>
      </c>
      <c r="I54" t="s">
        <v>1050</v>
      </c>
      <c r="J54" t="s">
        <v>1050</v>
      </c>
      <c r="O54" t="str">
        <v>"N54"</v>
      </c>
      <c r="Q54" t="str">
        <v>"Max Shear w Torsion"</v>
      </c>
    </row>
    <row r="55" spans="5:20" x14ac:dyDescent="0.25">
      <c r="F55" s="177" t="s">
        <v>876</v>
      </c>
      <c r="G55">
        <v>1</v>
      </c>
      <c r="H55" t="s">
        <v>1051</v>
      </c>
      <c r="I55" t="s">
        <v>1046</v>
      </c>
      <c r="J55" t="s">
        <v>1046</v>
      </c>
      <c r="O55" t="str">
        <v>"M27"</v>
      </c>
      <c r="Q55" t="str">
        <v>"Max Torsion w Shear"</v>
      </c>
    </row>
    <row r="56" spans="5:20" x14ac:dyDescent="0.25">
      <c r="F56" t="s">
        <v>877</v>
      </c>
      <c r="G56">
        <v>1</v>
      </c>
      <c r="H56" t="s">
        <v>1051</v>
      </c>
      <c r="I56" t="s">
        <v>1050</v>
      </c>
      <c r="J56" t="s">
        <v>1050</v>
      </c>
      <c r="O56" t="str">
        <v>"N54"</v>
      </c>
      <c r="Q56" t="str">
        <v>"Max Torsion w Shear"</v>
      </c>
    </row>
    <row r="57" spans="5:20" x14ac:dyDescent="0.25">
      <c r="F57" t="s">
        <v>878</v>
      </c>
      <c r="G57">
        <v>1</v>
      </c>
      <c r="H57" t="s">
        <v>1052</v>
      </c>
      <c r="I57" t="s">
        <v>1053</v>
      </c>
      <c r="J57" t="s">
        <v>1053</v>
      </c>
      <c r="O57" t="str">
        <v>"O28"</v>
      </c>
      <c r="Q57" t="str">
        <v>"Skin"</v>
      </c>
    </row>
    <row r="61" spans="5:20" ht="15.75" thickBot="1" x14ac:dyDescent="0.3">
      <c r="E61" s="155" t="s">
        <v>1054</v>
      </c>
      <c r="F61" s="155" t="s">
        <v>1042</v>
      </c>
      <c r="G61" s="155"/>
      <c r="H61" s="155" t="s">
        <v>975</v>
      </c>
      <c r="I61" s="155" t="s">
        <v>976</v>
      </c>
      <c r="J61" s="155"/>
    </row>
    <row r="62" spans="5:20" ht="15.75" thickTop="1" x14ac:dyDescent="0.25">
      <c r="F62" s="177" t="s">
        <v>882</v>
      </c>
      <c r="G62">
        <v>1</v>
      </c>
      <c r="H62" t="s">
        <v>1055</v>
      </c>
      <c r="I62" t="s">
        <v>1056</v>
      </c>
      <c r="O62" t="str" cm="1">
        <f t="array" ref="O62:O68">""""&amp;I62:I68&amp;""""</f>
        <v>"L19"</v>
      </c>
      <c r="Q62" t="str" cm="1">
        <f t="array" ref="Q62:Q68">""""&amp;H62:H68&amp;""""</f>
        <v>"Bars A"</v>
      </c>
      <c r="T62" t="str">
        <f>_xlfn.TEXTJOIN(",",,_xlfn.ANCHORARRAY(Q62))</f>
        <v>"Bars A","Bars A","Bars A","Bars A","Bars A","Bars A","Bars A"</v>
      </c>
    </row>
    <row r="63" spans="5:20" x14ac:dyDescent="0.25">
      <c r="F63" s="177" t="s">
        <v>883</v>
      </c>
      <c r="G63">
        <v>1</v>
      </c>
      <c r="H63" t="s">
        <v>1055</v>
      </c>
      <c r="I63" t="s">
        <v>1057</v>
      </c>
      <c r="O63" t="str">
        <v>"L24"</v>
      </c>
      <c r="Q63" t="str">
        <v>"Bars A"</v>
      </c>
    </row>
    <row r="64" spans="5:20" x14ac:dyDescent="0.25">
      <c r="F64" t="s">
        <v>884</v>
      </c>
      <c r="G64">
        <v>1</v>
      </c>
      <c r="H64" t="s">
        <v>1055</v>
      </c>
      <c r="I64" t="s">
        <v>1058</v>
      </c>
      <c r="O64" t="str">
        <v>"D30"</v>
      </c>
      <c r="Q64" t="str">
        <v>"Bars A"</v>
      </c>
      <c r="T64" t="str">
        <f>_xlfn.TEXTJOIN(",",,_xlfn.ANCHORARRAY(O62))</f>
        <v>"L19","L24","D30","J40","L52","H65","L75"</v>
      </c>
    </row>
    <row r="65" spans="5:20" x14ac:dyDescent="0.25">
      <c r="F65" t="s">
        <v>885</v>
      </c>
      <c r="G65">
        <v>1</v>
      </c>
      <c r="H65" t="s">
        <v>1055</v>
      </c>
      <c r="I65" t="s">
        <v>1059</v>
      </c>
      <c r="O65" t="str">
        <v>"J40"</v>
      </c>
      <c r="Q65" t="str">
        <v>"Bars A"</v>
      </c>
    </row>
    <row r="66" spans="5:20" x14ac:dyDescent="0.25">
      <c r="F66" t="s">
        <v>886</v>
      </c>
      <c r="G66">
        <v>1</v>
      </c>
      <c r="H66" t="s">
        <v>1055</v>
      </c>
      <c r="I66" t="s">
        <v>1060</v>
      </c>
      <c r="O66" t="str">
        <v>"L52"</v>
      </c>
      <c r="Q66" t="str">
        <v>"Bars A"</v>
      </c>
    </row>
    <row r="67" spans="5:20" x14ac:dyDescent="0.25">
      <c r="F67" t="s">
        <v>887</v>
      </c>
      <c r="G67">
        <v>1</v>
      </c>
      <c r="H67" t="s">
        <v>1055</v>
      </c>
      <c r="I67" t="s">
        <v>1061</v>
      </c>
      <c r="O67" t="str">
        <v>"H65"</v>
      </c>
      <c r="Q67" t="str">
        <v>"Bars A"</v>
      </c>
    </row>
    <row r="68" spans="5:20" x14ac:dyDescent="0.25">
      <c r="F68" t="s">
        <v>972</v>
      </c>
      <c r="G68">
        <v>1</v>
      </c>
      <c r="H68" t="s">
        <v>1055</v>
      </c>
      <c r="I68" t="s">
        <v>1073</v>
      </c>
      <c r="O68" t="str">
        <v>"L75"</v>
      </c>
      <c r="Q68" t="str">
        <v>"Bars A"</v>
      </c>
    </row>
    <row r="73" spans="5:20" ht="15.75" thickBot="1" x14ac:dyDescent="0.3">
      <c r="E73" s="155" t="s">
        <v>777</v>
      </c>
      <c r="F73" s="155" t="s">
        <v>1062</v>
      </c>
      <c r="G73" s="155"/>
      <c r="H73" s="155" t="s">
        <v>975</v>
      </c>
      <c r="I73" s="155" t="s">
        <v>976</v>
      </c>
    </row>
    <row r="74" spans="5:20" ht="15.75" thickTop="1" x14ac:dyDescent="0.25">
      <c r="F74" t="s">
        <v>1063</v>
      </c>
      <c r="H74" t="s">
        <v>731</v>
      </c>
      <c r="I74" t="s">
        <v>1064</v>
      </c>
      <c r="O74" t="str" cm="1">
        <f t="array" ref="O74:O78">""""&amp;I74:I78&amp;""""</f>
        <v>"I34"</v>
      </c>
      <c r="Q74" t="str" cm="1">
        <f t="array" ref="Q74:Q78">""""&amp;H74:H78&amp;""""</f>
        <v>"Geometry"</v>
      </c>
      <c r="T74" t="str">
        <f>_xlfn.TEXTJOIN(",",,_xlfn.ANCHORARRAY(Q74))</f>
        <v>"Geometry","Geometry","Geometry","Geometry","Geometry"</v>
      </c>
    </row>
    <row r="75" spans="5:20" x14ac:dyDescent="0.25">
      <c r="F75" t="s">
        <v>1065</v>
      </c>
      <c r="H75" t="s">
        <v>731</v>
      </c>
      <c r="I75" t="s">
        <v>1066</v>
      </c>
      <c r="O75" t="str">
        <v>"I35"</v>
      </c>
      <c r="Q75" t="str">
        <v>"Geometry"</v>
      </c>
    </row>
    <row r="76" spans="5:20" x14ac:dyDescent="0.25">
      <c r="F76" t="s">
        <v>1067</v>
      </c>
      <c r="H76" t="s">
        <v>731</v>
      </c>
      <c r="I76" t="s">
        <v>1068</v>
      </c>
      <c r="O76" t="str">
        <v>"L34"</v>
      </c>
      <c r="Q76" t="str">
        <v>"Geometry"</v>
      </c>
      <c r="T76" t="str">
        <f>_xlfn.TEXTJOIN(",",,_xlfn.ANCHORARRAY(O74))</f>
        <v>"I34","I35","L34","L35","I36"</v>
      </c>
    </row>
    <row r="77" spans="5:20" x14ac:dyDescent="0.25">
      <c r="F77" t="s">
        <v>1069</v>
      </c>
      <c r="H77" t="s">
        <v>731</v>
      </c>
      <c r="I77" t="s">
        <v>1070</v>
      </c>
      <c r="O77" t="str">
        <v>"L35"</v>
      </c>
      <c r="Q77" t="str">
        <v>"Geometry"</v>
      </c>
    </row>
    <row r="78" spans="5:20" x14ac:dyDescent="0.25">
      <c r="F78" t="s">
        <v>1071</v>
      </c>
      <c r="H78" t="s">
        <v>731</v>
      </c>
      <c r="I78" t="s">
        <v>1072</v>
      </c>
      <c r="O78" t="str">
        <v>"I36"</v>
      </c>
      <c r="Q78" t="str">
        <v>"Geometry"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260</vt:i4>
      </vt:variant>
    </vt:vector>
  </HeadingPairs>
  <TitlesOfParts>
    <vt:vector size="271" baseType="lpstr">
      <vt:lpstr>Bent Data</vt:lpstr>
      <vt:lpstr>Bent Search</vt:lpstr>
      <vt:lpstr>Reference</vt:lpstr>
      <vt:lpstr>Girder Geometries</vt:lpstr>
      <vt:lpstr>Macro Line Generator</vt:lpstr>
      <vt:lpstr>FromBentSearch</vt:lpstr>
      <vt:lpstr>FromBentDesignSpreadsheet</vt:lpstr>
      <vt:lpstr>FromInvTDesignSpreadsheet</vt:lpstr>
      <vt:lpstr>ToBentDesignSpreadsheet</vt:lpstr>
      <vt:lpstr>ToInvTDesignSpreadsheet</vt:lpstr>
      <vt:lpstr>Macro Line Generator for output</vt:lpstr>
      <vt:lpstr>addl_DC_M</vt:lpstr>
      <vt:lpstr>addl_DC_Mx</vt:lpstr>
      <vt:lpstr>addl_DC_P</vt:lpstr>
      <vt:lpstr>addl_LL_Mx</vt:lpstr>
      <vt:lpstr>addl_Ll_My</vt:lpstr>
      <vt:lpstr>addl_LL_P</vt:lpstr>
      <vt:lpstr>AestheticCol</vt:lpstr>
      <vt:lpstr>Arow1</vt:lpstr>
      <vt:lpstr>Arow2</vt:lpstr>
      <vt:lpstr>Arow3</vt:lpstr>
      <vt:lpstr>BackBentSkew</vt:lpstr>
      <vt:lpstr>BarS</vt:lpstr>
      <vt:lpstr>BarsA</vt:lpstr>
      <vt:lpstr>BarsAdist</vt:lpstr>
      <vt:lpstr>BarSArrange</vt:lpstr>
      <vt:lpstr>BarsB</vt:lpstr>
      <vt:lpstr>BarsBdist</vt:lpstr>
      <vt:lpstr>BarsH</vt:lpstr>
      <vt:lpstr>BarSinsideLegs</vt:lpstr>
      <vt:lpstr>BarsM</vt:lpstr>
      <vt:lpstr>BarsMspacing</vt:lpstr>
      <vt:lpstr>BarsN</vt:lpstr>
      <vt:lpstr>BarsNspacing</vt:lpstr>
      <vt:lpstr>BarSspacing</vt:lpstr>
      <vt:lpstr>BarsTledgeNo</vt:lpstr>
      <vt:lpstr>BarsTstem</vt:lpstr>
      <vt:lpstr>BarsTstemNo</vt:lpstr>
      <vt:lpstr>BarsTtopLedgeNo</vt:lpstr>
      <vt:lpstr>BarTable</vt:lpstr>
      <vt:lpstr>BBSPA1</vt:lpstr>
      <vt:lpstr>BBSPA10</vt:lpstr>
      <vt:lpstr>BBSPA11</vt:lpstr>
      <vt:lpstr>BBSPA12</vt:lpstr>
      <vt:lpstr>BBSPA13</vt:lpstr>
      <vt:lpstr>BBSPA14</vt:lpstr>
      <vt:lpstr>BBSPA15</vt:lpstr>
      <vt:lpstr>BBSPA16</vt:lpstr>
      <vt:lpstr>BBSPA17</vt:lpstr>
      <vt:lpstr>BBSPA18</vt:lpstr>
      <vt:lpstr>BBSPA19</vt:lpstr>
      <vt:lpstr>BBSPA2</vt:lpstr>
      <vt:lpstr>BBSPA20</vt:lpstr>
      <vt:lpstr>BBSPA3</vt:lpstr>
      <vt:lpstr>BBSPA4</vt:lpstr>
      <vt:lpstr>BBSPA5</vt:lpstr>
      <vt:lpstr>BBSPA6</vt:lpstr>
      <vt:lpstr>BBSPA7</vt:lpstr>
      <vt:lpstr>BBSPA8</vt:lpstr>
      <vt:lpstr>BBSPA9</vt:lpstr>
      <vt:lpstr>BeamType</vt:lpstr>
      <vt:lpstr>BearingDist</vt:lpstr>
      <vt:lpstr>BentSkew</vt:lpstr>
      <vt:lpstr>BkBm1toCapEnd</vt:lpstr>
      <vt:lpstr>BkBms</vt:lpstr>
      <vt:lpstr>bkbrgpad</vt:lpstr>
      <vt:lpstr>bkspangirder</vt:lpstr>
      <vt:lpstr>bkspanhaunch</vt:lpstr>
      <vt:lpstr>bkspanpgl</vt:lpstr>
      <vt:lpstr>Bm1toCapEnd</vt:lpstr>
      <vt:lpstr>BR_Neglect</vt:lpstr>
      <vt:lpstr>Breakbacks</vt:lpstr>
      <vt:lpstr>Brg_Length</vt:lpstr>
      <vt:lpstr>Brg_Width</vt:lpstr>
      <vt:lpstr>Brow1</vt:lpstr>
      <vt:lpstr>Brow2</vt:lpstr>
      <vt:lpstr>Brow3</vt:lpstr>
      <vt:lpstr>CAP18NegMomLocation</vt:lpstr>
      <vt:lpstr>capdensity</vt:lpstr>
      <vt:lpstr>capheight</vt:lpstr>
      <vt:lpstr>CapitalWeight</vt:lpstr>
      <vt:lpstr>CapitalWidth</vt:lpstr>
      <vt:lpstr>CapLedgeDepth</vt:lpstr>
      <vt:lpstr>caplength</vt:lpstr>
      <vt:lpstr>capstemWidth</vt:lpstr>
      <vt:lpstr>CapType</vt:lpstr>
      <vt:lpstr>Cmplx_Bk_CCBm1</vt:lpstr>
      <vt:lpstr>Cmplx_Bk_CCBm10</vt:lpstr>
      <vt:lpstr>Cmplx_Bk_CCBm11</vt:lpstr>
      <vt:lpstr>Cmplx_Bk_CCBm12</vt:lpstr>
      <vt:lpstr>Cmplx_Bk_CCBm13</vt:lpstr>
      <vt:lpstr>Cmplx_Bk_CCBm14</vt:lpstr>
      <vt:lpstr>Cmplx_Bk_CCBm15</vt:lpstr>
      <vt:lpstr>Cmplx_Bk_CCBm16</vt:lpstr>
      <vt:lpstr>Cmplx_Bk_CCBm17</vt:lpstr>
      <vt:lpstr>Cmplx_Bk_CCBm18</vt:lpstr>
      <vt:lpstr>Cmplx_Bk_CCBm19</vt:lpstr>
      <vt:lpstr>Cmplx_Bk_CCBm2</vt:lpstr>
      <vt:lpstr>Cmplx_Bk_CCBm20</vt:lpstr>
      <vt:lpstr>Cmplx_Bk_CCBm3</vt:lpstr>
      <vt:lpstr>Cmplx_Bk_CCBm4</vt:lpstr>
      <vt:lpstr>Cmplx_Bk_CCBm5</vt:lpstr>
      <vt:lpstr>Cmplx_Bk_CCBm6</vt:lpstr>
      <vt:lpstr>Cmplx_Bk_CCBm7</vt:lpstr>
      <vt:lpstr>Cmplx_Bk_CCBm8</vt:lpstr>
      <vt:lpstr>Cmplx_Bk_CCBm9</vt:lpstr>
      <vt:lpstr>Cmplx_Bk_PGLBm1</vt:lpstr>
      <vt:lpstr>Cmplx_Bk_PGLBm10</vt:lpstr>
      <vt:lpstr>Cmplx_Bk_PGLBm11</vt:lpstr>
      <vt:lpstr>Cmplx_Bk_PGLBm12</vt:lpstr>
      <vt:lpstr>Cmplx_Bk_PGLBm13</vt:lpstr>
      <vt:lpstr>Cmplx_Bk_PGLBm14</vt:lpstr>
      <vt:lpstr>Cmplx_Bk_PGLBm15</vt:lpstr>
      <vt:lpstr>Cmplx_Bk_PGLBm16</vt:lpstr>
      <vt:lpstr>Cmplx_Bk_PGLBm17</vt:lpstr>
      <vt:lpstr>Cmplx_Bk_PGLBm18</vt:lpstr>
      <vt:lpstr>Cmplx_Bk_PGLBm19</vt:lpstr>
      <vt:lpstr>Cmplx_Bk_PGLBm2</vt:lpstr>
      <vt:lpstr>Cmplx_Bk_PGLBm20</vt:lpstr>
      <vt:lpstr>Cmplx_Bk_PGLBm3</vt:lpstr>
      <vt:lpstr>Cmplx_Bk_PGLBm4</vt:lpstr>
      <vt:lpstr>Cmplx_Bk_PGLBm5</vt:lpstr>
      <vt:lpstr>Cmplx_Bk_PGLBm6</vt:lpstr>
      <vt:lpstr>Cmplx_Bk_PGLBm7</vt:lpstr>
      <vt:lpstr>Cmplx_Bk_PGLBm8</vt:lpstr>
      <vt:lpstr>Cmplx_Bk_PGLBm9</vt:lpstr>
      <vt:lpstr>Cmplx_Bk_Width</vt:lpstr>
      <vt:lpstr>Cmplx_Fd_CCBm1</vt:lpstr>
      <vt:lpstr>Cmplx_Fd_CCBm10</vt:lpstr>
      <vt:lpstr>Cmplx_Fd_CCBm11</vt:lpstr>
      <vt:lpstr>Cmplx_Fd_CCBm12</vt:lpstr>
      <vt:lpstr>Cmplx_Fd_CCBm13</vt:lpstr>
      <vt:lpstr>Cmplx_Fd_CCBm14</vt:lpstr>
      <vt:lpstr>Cmplx_Fd_CCBm15</vt:lpstr>
      <vt:lpstr>Cmplx_Fd_CCBm16</vt:lpstr>
      <vt:lpstr>Cmplx_Fd_CCBm17</vt:lpstr>
      <vt:lpstr>Cmplx_Fd_CCBm18</vt:lpstr>
      <vt:lpstr>Cmplx_Fd_CCBm19</vt:lpstr>
      <vt:lpstr>Cmplx_Fd_CCBm2</vt:lpstr>
      <vt:lpstr>Cmplx_Fd_CCBm20</vt:lpstr>
      <vt:lpstr>Cmplx_Fd_CCBm3</vt:lpstr>
      <vt:lpstr>Cmplx_Fd_CCBm4</vt:lpstr>
      <vt:lpstr>Cmplx_Fd_CCBm5</vt:lpstr>
      <vt:lpstr>Cmplx_Fd_CCBm6</vt:lpstr>
      <vt:lpstr>Cmplx_Fd_CCBm7</vt:lpstr>
      <vt:lpstr>Cmplx_Fd_CCBm8</vt:lpstr>
      <vt:lpstr>Cmplx_Fd_CCBm9</vt:lpstr>
      <vt:lpstr>Cmplx_Fd_PGLBm1</vt:lpstr>
      <vt:lpstr>Cmplx_Fd_PGLBm10</vt:lpstr>
      <vt:lpstr>Cmplx_Fd_PGLBm11</vt:lpstr>
      <vt:lpstr>Cmplx_Fd_PGLBm12</vt:lpstr>
      <vt:lpstr>Cmplx_Fd_PGLBm13</vt:lpstr>
      <vt:lpstr>Cmplx_Fd_PGLBm14</vt:lpstr>
      <vt:lpstr>Cmplx_Fd_PGLBm15</vt:lpstr>
      <vt:lpstr>Cmplx_Fd_PGLBm16</vt:lpstr>
      <vt:lpstr>Cmplx_Fd_PGLBm17</vt:lpstr>
      <vt:lpstr>Cmplx_Fd_PGLBm18</vt:lpstr>
      <vt:lpstr>Cmplx_Fd_PGLBm19</vt:lpstr>
      <vt:lpstr>Cmplx_Fd_PGLBm2</vt:lpstr>
      <vt:lpstr>Cmplx_Fd_PGLBm20</vt:lpstr>
      <vt:lpstr>Cmplx_Fd_PGLBm3</vt:lpstr>
      <vt:lpstr>Cmplx_Fd_PGLBm4</vt:lpstr>
      <vt:lpstr>Cmplx_Fd_PGLBm5</vt:lpstr>
      <vt:lpstr>Cmplx_Fd_PGLBm6</vt:lpstr>
      <vt:lpstr>Cmplx_Fd_PGLBm7</vt:lpstr>
      <vt:lpstr>Cmplx_Fd_PGLBm8</vt:lpstr>
      <vt:lpstr>Cmplx_Fd_PGLBm9</vt:lpstr>
      <vt:lpstr>Cmplx_Fd_Width</vt:lpstr>
      <vt:lpstr>ColHeightI</vt:lpstr>
      <vt:lpstr>ColHeightII</vt:lpstr>
      <vt:lpstr>collongwidth</vt:lpstr>
      <vt:lpstr>ColSpa1</vt:lpstr>
      <vt:lpstr>ColSpa10</vt:lpstr>
      <vt:lpstr>ColSpa2</vt:lpstr>
      <vt:lpstr>ColSpa3</vt:lpstr>
      <vt:lpstr>ColSpa4</vt:lpstr>
      <vt:lpstr>ColSpa5</vt:lpstr>
      <vt:lpstr>ColSpa6</vt:lpstr>
      <vt:lpstr>ColSpa7</vt:lpstr>
      <vt:lpstr>ColSpa8</vt:lpstr>
      <vt:lpstr>ColSpa9</vt:lpstr>
      <vt:lpstr>coltranswidth</vt:lpstr>
      <vt:lpstr>ColType</vt:lpstr>
      <vt:lpstr>ComplexDistToSta</vt:lpstr>
      <vt:lpstr>ComplexGeom</vt:lpstr>
      <vt:lpstr>ComplexSkew</vt:lpstr>
      <vt:lpstr>crossslope</vt:lpstr>
      <vt:lpstr>DeckWidth</vt:lpstr>
      <vt:lpstr>DesignWindSpeed</vt:lpstr>
      <vt:lpstr>dsgnspeed</vt:lpstr>
      <vt:lpstr>Earwall_Area</vt:lpstr>
      <vt:lpstr>Earwall_Left</vt:lpstr>
      <vt:lpstr>Earwall_Right</vt:lpstr>
      <vt:lpstr>ElevationAdjust</vt:lpstr>
      <vt:lpstr>ExGirConsidered</vt:lpstr>
      <vt:lpstr>ExGirConsideredSC</vt:lpstr>
      <vt:lpstr>exposure</vt:lpstr>
      <vt:lpstr>FBSPA1</vt:lpstr>
      <vt:lpstr>FBSPA10</vt:lpstr>
      <vt:lpstr>FBSPA11</vt:lpstr>
      <vt:lpstr>FBSPA12</vt:lpstr>
      <vt:lpstr>FBSPA13</vt:lpstr>
      <vt:lpstr>FBSPA14</vt:lpstr>
      <vt:lpstr>FBSPA15</vt:lpstr>
      <vt:lpstr>FBSPA16</vt:lpstr>
      <vt:lpstr>FBSPA17</vt:lpstr>
      <vt:lpstr>FBSPA18</vt:lpstr>
      <vt:lpstr>FBSPA19</vt:lpstr>
      <vt:lpstr>FBSPA2</vt:lpstr>
      <vt:lpstr>FBSPA20</vt:lpstr>
      <vt:lpstr>FBSPA3</vt:lpstr>
      <vt:lpstr>FBSPA4</vt:lpstr>
      <vt:lpstr>FBSPA5</vt:lpstr>
      <vt:lpstr>FBSPA6</vt:lpstr>
      <vt:lpstr>FBSPA7</vt:lpstr>
      <vt:lpstr>FBSPA8</vt:lpstr>
      <vt:lpstr>FBSPA9</vt:lpstr>
      <vt:lpstr>fc</vt:lpstr>
      <vt:lpstr>FdBms</vt:lpstr>
      <vt:lpstr>fdbrgpad</vt:lpstr>
      <vt:lpstr>fdspangirder</vt:lpstr>
      <vt:lpstr>fdspanhaunch</vt:lpstr>
      <vt:lpstr>fdspanpgl</vt:lpstr>
      <vt:lpstr>FwdBentSkew</vt:lpstr>
      <vt:lpstr>FWSthickness</vt:lpstr>
      <vt:lpstr>FWSwt</vt:lpstr>
      <vt:lpstr>fy</vt:lpstr>
      <vt:lpstr>IncreaseClearCover</vt:lpstr>
      <vt:lpstr>InputIncrement</vt:lpstr>
      <vt:lpstr>INTBMLLDF</vt:lpstr>
      <vt:lpstr>INTBMLLDFMC</vt:lpstr>
      <vt:lpstr>InvT_P_Ext_srv</vt:lpstr>
      <vt:lpstr>InvTeeBotWidth</vt:lpstr>
      <vt:lpstr>InvTName</vt:lpstr>
      <vt:lpstr>IsPedestalContinuous</vt:lpstr>
      <vt:lpstr>IsSearchMode</vt:lpstr>
      <vt:lpstr>MiscCapWt</vt:lpstr>
      <vt:lpstr>ModuleIName</vt:lpstr>
      <vt:lpstr>NoHbars</vt:lpstr>
      <vt:lpstr>NoSupports</vt:lpstr>
      <vt:lpstr>offsettolevelingpad</vt:lpstr>
      <vt:lpstr>OSOH</vt:lpstr>
      <vt:lpstr>OSOHBack</vt:lpstr>
      <vt:lpstr>OSOHBackRT</vt:lpstr>
      <vt:lpstr>OSOHRT</vt:lpstr>
      <vt:lpstr>PedestalHt</vt:lpstr>
      <vt:lpstr>PGLdist</vt:lpstr>
      <vt:lpstr>PGLradius</vt:lpstr>
      <vt:lpstr>'Bent Search'!Print_Area</vt:lpstr>
      <vt:lpstr>'Bent Data'!Print_Titles</vt:lpstr>
      <vt:lpstr>ProjectSubject</vt:lpstr>
      <vt:lpstr>rail3rd</vt:lpstr>
      <vt:lpstr>RailDistributeBackEnd</vt:lpstr>
      <vt:lpstr>RailDistributeBackStart</vt:lpstr>
      <vt:lpstr>RailDistributeFwdEnd</vt:lpstr>
      <vt:lpstr>RailDistributeFwdStart</vt:lpstr>
      <vt:lpstr>RailDistribution</vt:lpstr>
      <vt:lpstr>railLeft</vt:lpstr>
      <vt:lpstr>railRight</vt:lpstr>
      <vt:lpstr>RoughnessCategory</vt:lpstr>
      <vt:lpstr>sdwkdensity</vt:lpstr>
      <vt:lpstr>sdwkthickness</vt:lpstr>
      <vt:lpstr>sdwkwidth</vt:lpstr>
      <vt:lpstr>segmentlength</vt:lpstr>
      <vt:lpstr>slabthickness</vt:lpstr>
      <vt:lpstr>super?</vt:lpstr>
      <vt:lpstr>SWalkDistributeBackEnd</vt:lpstr>
      <vt:lpstr>SWalkDistributeBackStart</vt:lpstr>
      <vt:lpstr>SWalkDistributeFwdEnd</vt:lpstr>
      <vt:lpstr>SWalkDistributeFwdStart</vt:lpstr>
      <vt:lpstr>utilities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Miller, Cole</dc:creator>
  <cp:lastModifiedBy>Miller, Cole</cp:lastModifiedBy>
  <cp:lastPrinted>2023-08-22T23:47:24Z</cp:lastPrinted>
  <dcterms:created xsi:type="dcterms:W3CDTF">2023-04-12T18:16:25Z</dcterms:created>
  <dcterms:modified xsi:type="dcterms:W3CDTF">2023-12-18T16:21:39Z</dcterms:modified>
</cp:coreProperties>
</file>